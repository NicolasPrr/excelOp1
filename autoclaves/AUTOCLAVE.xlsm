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cuments\F2G MACROS\AUTOCLAVE\"/>
    </mc:Choice>
  </mc:AlternateContent>
  <bookViews>
    <workbookView xWindow="0" yWindow="0" windowWidth="15345" windowHeight="4455" firstSheet="6" activeTab="7" xr2:uid="{00000000-000D-0000-FFFF-FFFF00000000}"/>
  </bookViews>
  <sheets>
    <sheet name="Index" sheetId="5" r:id="rId1"/>
    <sheet name="Comparar" sheetId="6" r:id="rId2"/>
    <sheet name="DATASENSOR" sheetId="201" state="hidden" r:id="rId3"/>
    <sheet name="REPRODUCIBILIDAD" sheetId="272" r:id="rId4"/>
    <sheet name="alt" sheetId="126" state="hidden" r:id="rId5"/>
    <sheet name="Grafica DESEMPEÑO  TEMP1" sheetId="308" r:id="rId6"/>
    <sheet name="Periodo E DESEMPEÑO  TEMP1" sheetId="309" r:id="rId7"/>
    <sheet name="DESEMPEÑO  TEMP1" sheetId="305" r:id="rId8"/>
    <sheet name="DESEMPEÑO  TEMP2" sheetId="306" r:id="rId9"/>
    <sheet name="DESEMPEÑO  TEMP3" sheetId="307" r:id="rId10"/>
  </sheets>
  <functionGroups builtInGroupCount="19"/>
  <calcPr calcId="171027"/>
  <fileRecoveryPr autoRecover="0"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272" l="1"/>
  <c r="G21" i="272"/>
  <c r="G20" i="272"/>
  <c r="G19" i="272"/>
  <c r="G18" i="272"/>
  <c r="G17" i="272"/>
  <c r="G16" i="272"/>
  <c r="G15" i="272"/>
  <c r="G14" i="272"/>
  <c r="G13" i="272"/>
  <c r="G12" i="272"/>
  <c r="G11" i="272"/>
  <c r="G10" i="272"/>
  <c r="G9" i="272"/>
  <c r="G8" i="272"/>
  <c r="G7" i="272"/>
  <c r="G6" i="272"/>
  <c r="G5" i="272"/>
  <c r="G3" i="272"/>
  <c r="G4" i="272"/>
  <c r="H21" i="272" l="1"/>
  <c r="I21" i="272" s="1"/>
  <c r="H22" i="272"/>
  <c r="J22" i="272" s="1"/>
  <c r="F21" i="272"/>
  <c r="F22" i="272"/>
  <c r="E21" i="272"/>
  <c r="E22" i="272"/>
  <c r="J21" i="272" l="1"/>
  <c r="I22" i="272"/>
  <c r="H20" i="272"/>
  <c r="H19" i="272"/>
  <c r="J19" i="272" s="1"/>
  <c r="H18" i="272"/>
  <c r="H17" i="272"/>
  <c r="H16" i="272"/>
  <c r="H15" i="272"/>
  <c r="H14" i="272"/>
  <c r="H13" i="272"/>
  <c r="H12" i="272"/>
  <c r="H11" i="272"/>
  <c r="H10" i="272"/>
  <c r="H9" i="272"/>
  <c r="H8" i="272"/>
  <c r="H7" i="272"/>
  <c r="H6" i="272"/>
  <c r="H5" i="272"/>
  <c r="H4" i="272"/>
  <c r="H3" i="272"/>
  <c r="F3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E20" i="272"/>
  <c r="E19" i="272"/>
  <c r="E18" i="272"/>
  <c r="E17" i="272"/>
  <c r="E16" i="272"/>
  <c r="E15" i="272"/>
  <c r="E14" i="272"/>
  <c r="E13" i="272"/>
  <c r="E12" i="272"/>
  <c r="E11" i="272"/>
  <c r="E10" i="272"/>
  <c r="E9" i="272"/>
  <c r="E8" i="272"/>
  <c r="E7" i="272"/>
  <c r="E6" i="272"/>
  <c r="E5" i="272"/>
  <c r="E4" i="272"/>
  <c r="E3" i="272"/>
  <c r="J12" i="272" l="1"/>
  <c r="J17" i="272"/>
  <c r="J15" i="272"/>
  <c r="J18" i="272"/>
  <c r="I15" i="272"/>
  <c r="I14" i="272"/>
  <c r="I20" i="272"/>
  <c r="J20" i="272"/>
  <c r="J16" i="272"/>
  <c r="J14" i="272"/>
  <c r="I19" i="272"/>
  <c r="I18" i="272"/>
  <c r="I17" i="272"/>
  <c r="J4" i="272"/>
  <c r="J3" i="272"/>
  <c r="J13" i="272"/>
  <c r="I13" i="272"/>
  <c r="J11" i="272"/>
  <c r="J10" i="272"/>
  <c r="J9" i="272"/>
  <c r="J8" i="272"/>
  <c r="J7" i="272"/>
  <c r="J6" i="272"/>
  <c r="J5" i="272"/>
  <c r="I10" i="272"/>
  <c r="I6" i="272"/>
  <c r="I4" i="272"/>
  <c r="I8" i="272"/>
  <c r="I12" i="272"/>
  <c r="I3" i="272"/>
  <c r="I5" i="272"/>
  <c r="I7" i="272"/>
  <c r="I9" i="272"/>
  <c r="I11" i="272"/>
  <c r="I16" i="272" l="1"/>
  <c r="N1" i="6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<sst xmlns="http://schemas.openxmlformats.org/spreadsheetml/2006/main" count="355" uniqueCount="171">
  <si>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</si>
  <si>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</si>
  <si>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</si>
  <si>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</si>
  <si>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</si>
  <si>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</si>
  <si>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</si>
  <si>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</si>
  <si>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</si>
  <si>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</si>
  <si>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</si>
  <si>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</si>
  <si>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</si>
  <si>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</si>
  <si>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</si>
  <si>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</si>
  <si>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</si>
  <si>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</si>
  <si>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</si>
  <si>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</si>
  <si>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</si>
  <si>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</si>
  <si>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</si>
  <si>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</si>
  <si>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</si>
  <si>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</si>
  <si>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</si>
  <si>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</si>
  <si>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</si>
  <si>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</si>
  <si>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</si>
  <si>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</si>
  <si>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</si>
  <si>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</si>
  <si>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</si>
  <si>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</si>
  <si>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</si>
  <si>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</si>
  <si>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</si>
  <si>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</si>
  <si>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</si>
  <si>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</si>
  <si>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</si>
  <si>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</si>
  <si>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</si>
  <si>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</si>
  <si>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</si>
  <si>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</si>
  <si>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</si>
  <si>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</si>
  <si>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</si>
  <si>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</si>
  <si>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</si>
  <si>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</si>
  <si>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</si>
  <si>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</si>
  <si>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</si>
  <si>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</si>
  <si>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</si>
  <si>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</si>
  <si>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</si>
  <si>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</si>
  <si>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</si>
  <si>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</si>
  <si>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</si>
  <si>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</si>
  <si>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</si>
  <si>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</si>
  <si>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</si>
  <si>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</si>
  <si>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</si>
  <si>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</si>
  <si>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</si>
  <si>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</si>
  <si>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</si>
  <si>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</si>
  <si>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</si>
  <si>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</si>
  <si>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</si>
  <si>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</si>
  <si>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</si>
  <si>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</si>
  <si>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</si>
  <si>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</si>
  <si>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???????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</si>
  <si>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</si>
  <si>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</si>
  <si>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</si>
  <si>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</si>
  <si>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</si>
  <si>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</si>
  <si>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</si>
  <si>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</si>
  <si>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</si>
  <si>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</si>
  <si>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</si>
  <si>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</si>
  <si>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ESTERILIZADO POLVO ANTIBIOTICO</t>
  </si>
  <si>
    <t>VAP 5001-PHARMA VI / NP</t>
  </si>
  <si>
    <t>030303</t>
  </si>
  <si>
    <t>I-17082901-54</t>
  </si>
  <si>
    <t>144 LITROS</t>
  </si>
  <si>
    <t>DESEMPEÑO</t>
  </si>
  <si>
    <t>Promedio</t>
  </si>
  <si>
    <t>LMS2192</t>
  </si>
  <si>
    <t>PUNTO 7</t>
  </si>
  <si>
    <t>PUNTO 8</t>
  </si>
  <si>
    <t>PUNTO 9</t>
  </si>
  <si>
    <t>PUNTO 1</t>
  </si>
  <si>
    <t>PUNTO 2</t>
  </si>
  <si>
    <t>PUNTO 3</t>
  </si>
  <si>
    <t>PUNTO 4</t>
  </si>
  <si>
    <t>PUNTO 5</t>
  </si>
  <si>
    <t>PUNTO 6</t>
  </si>
  <si>
    <t>PUNTO 10</t>
  </si>
  <si>
    <t>PUNTO 11</t>
  </si>
  <si>
    <t>PUNTO 13</t>
  </si>
  <si>
    <t>PUNTO 14</t>
  </si>
  <si>
    <t>PUNTO 15</t>
  </si>
  <si>
    <t>Valor Fo (min)</t>
  </si>
  <si>
    <t>Desv Estandar</t>
  </si>
  <si>
    <t xml:space="preserve">Valor </t>
  </si>
  <si>
    <t>Muestras</t>
  </si>
  <si>
    <t>Limite conf. I</t>
  </si>
  <si>
    <t>Limite conf. S</t>
  </si>
  <si>
    <t>#</t>
  </si>
  <si>
    <t>DES1</t>
  </si>
  <si>
    <t>DES2</t>
  </si>
  <si>
    <t>DES3</t>
  </si>
  <si>
    <t>(min)</t>
  </si>
  <si>
    <t>t</t>
  </si>
  <si>
    <t>PUNTO 16</t>
  </si>
  <si>
    <t>PUNTO 17</t>
  </si>
  <si>
    <t>PUNTO 18</t>
  </si>
  <si>
    <t>Concentracion</t>
  </si>
  <si>
    <t>Valor D</t>
  </si>
  <si>
    <t>Valor F0</t>
  </si>
  <si>
    <t>punto 12</t>
  </si>
  <si>
    <t>PUNTO 19</t>
  </si>
  <si>
    <t>PUNTO 20</t>
  </si>
  <si>
    <t>valor t</t>
  </si>
  <si>
    <t>TABLA 1. CALIFICACIÓN  DESEMPEÑO  TEMP- ESTUDIO DE DISTRIBUCIÓN DE CALOR</t>
  </si>
  <si>
    <t>EQUIPO: AUTOCLAVE.SERIAL: 030303  MARCA: HOGNER  UBICACIÓN: ESTERILIZADO POLVO ANTIBIOTICO</t>
  </si>
  <si>
    <t>LABORATORIOS BAGÓ DE BOLIVIA S.A.  FECHA CALIFICACIÓN: 01/11/2017</t>
  </si>
  <si>
    <t>Ponga el indicativo</t>
  </si>
  <si>
    <t>Ponga C en caso de CARGA.</t>
  </si>
  <si>
    <t>Orden numerico</t>
  </si>
  <si>
    <t>Ciclo:</t>
  </si>
  <si>
    <t>Periodo estable</t>
  </si>
  <si>
    <t>Maximo</t>
  </si>
  <si>
    <t>Minimo</t>
  </si>
  <si>
    <t>Periodos estables:</t>
  </si>
  <si>
    <t>TABLA 2. CALIFICACIÓN  DESEMPEÑO  TEMP- ESTUDIO DE DISTRIBUCIÓN DE CALOR</t>
  </si>
  <si>
    <t>TABLA 3. CALIFICACIÓN  DESEMPEÑO  TEMP- ESTUDIO DE DISTRIBUCIÓN DE CALOR</t>
  </si>
  <si>
    <t>C</t>
  </si>
  <si>
    <t>HORA</t>
  </si>
  <si>
    <t>FECHA</t>
  </si>
  <si>
    <t>X</t>
  </si>
  <si>
    <t>Pegar aquí</t>
  </si>
  <si>
    <t>Apertura de puerta:</t>
  </si>
  <si>
    <t>Corte de energia:</t>
  </si>
  <si>
    <t>CAMARA</t>
  </si>
  <si>
    <t>Diferencia</t>
  </si>
  <si>
    <t>Maxima diferencia</t>
  </si>
  <si>
    <t>DIFERENCIA RESPECTO AL PROMEDIO</t>
  </si>
  <si>
    <t xml:space="preserve">SENSORES DEL EQUIPO: </t>
  </si>
  <si>
    <t>maxDifFirst</t>
  </si>
  <si>
    <t>CARGA</t>
  </si>
  <si>
    <t>VALORES DEL F_0</t>
  </si>
  <si>
    <t>TIEMPO DEL PERIODO ESTABLE</t>
  </si>
  <si>
    <t>VALOR DE F_0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</si>
</sst>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"/>
    <numFmt numFmtId="166" formatCode="hh:mm:ss\ AM/PM"/>
    <numFmt numFmtId="167" formatCode="yyyy\-mm\-dd"/>
  </numFmts>
  <fonts count="1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  <font>
      <sz val="11"/>
      <color theme="1"/>
      <name val="Agency FB"/>
      <family val="2"/>
    </font>
    <font>
      <b/>
      <sz val="11"/>
      <color indexed="10"/>
      <name val="Agency FB"/>
      <family val="2"/>
    </font>
    <font>
      <b/>
      <sz val="11"/>
      <color theme="1"/>
      <name val="Agency FB"/>
      <family val="2"/>
    </font>
    <font>
      <sz val="11"/>
      <color rgb="FF000000"/>
      <name val="Calibri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FFCC05"/>
        <bgColor indexed="64"/>
      </patternFill>
    </fill>
    <fill>
      <patternFill patternType="solid">
        <fgColor rgb="FFFFB73B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193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7" xfId="0" applyBorder="1"/>
    <xf numFmtId="0" fontId="8" fillId="0" borderId="9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0" fillId="0" borderId="10" xfId="0" applyBorder="1"/>
    <xf numFmtId="0" fontId="10" fillId="9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0" fontId="10" fillId="9" borderId="47" xfId="0" applyFont="1" applyFill="1" applyBorder="1" applyAlignment="1">
      <alignment horizontal="center"/>
    </xf>
    <xf numFmtId="0" fontId="10" fillId="10" borderId="47" xfId="0" applyFont="1" applyFill="1" applyBorder="1" applyAlignment="1">
      <alignment horizontal="center"/>
    </xf>
    <xf numFmtId="167" fontId="10" fillId="9" borderId="0" xfId="0" applyNumberFormat="1" applyFont="1" applyFill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0" fillId="9" borderId="0" xfId="0" applyFill="1"/>
    <xf numFmtId="49" fontId="3" fillId="9" borderId="0" xfId="0" applyNumberFormat="1" applyFont="1" applyFill="1"/>
    <xf numFmtId="166" fontId="0" fillId="9" borderId="0" xfId="0" applyNumberFormat="1" applyFill="1"/>
    <xf numFmtId="165" fontId="0" fillId="9" borderId="0" xfId="0" applyNumberFormat="1" applyFill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11" fillId="9" borderId="48" xfId="0" applyFont="1" applyFill="1" applyBorder="1" applyAlignment="1">
      <alignment horizontal="center"/>
    </xf>
    <xf numFmtId="0" fontId="10" fillId="9" borderId="49" xfId="0" applyFont="1" applyFill="1" applyBorder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12" fillId="9" borderId="50" xfId="0" applyFont="1" applyFill="1" applyBorder="1" applyAlignment="1">
      <alignment horizontal="center"/>
    </xf>
    <xf numFmtId="0" fontId="10" fillId="9" borderId="51" xfId="0" applyFont="1" applyFill="1" applyBorder="1" applyAlignment="1">
      <alignment horizontal="center"/>
    </xf>
    <xf numFmtId="0" fontId="10" fillId="9" borderId="28" xfId="0" applyFont="1" applyFill="1" applyBorder="1" applyAlignment="1">
      <alignment horizontal="center"/>
    </xf>
    <xf numFmtId="0" fontId="12" fillId="9" borderId="52" xfId="0" applyFont="1" applyFill="1" applyBorder="1" applyAlignment="1">
      <alignment horizontal="center"/>
    </xf>
    <xf numFmtId="0" fontId="10" fillId="9" borderId="53" xfId="0" applyFont="1" applyFill="1" applyBorder="1" applyAlignment="1">
      <alignment horizontal="center"/>
    </xf>
    <xf numFmtId="0" fontId="10" fillId="9" borderId="29" xfId="0" applyFont="1" applyFill="1" applyBorder="1" applyAlignment="1">
      <alignment horizontal="center"/>
    </xf>
    <xf numFmtId="0" fontId="7" fillId="9" borderId="0" xfId="0" applyFont="1" applyFill="1" applyAlignment="1">
      <alignment horizontal="center"/>
    </xf>
    <xf numFmtId="0" fontId="14" fillId="9" borderId="48" xfId="0" applyFont="1" applyFill="1" applyBorder="1" applyAlignment="1">
      <alignment horizontal="center"/>
    </xf>
    <xf numFmtId="0" fontId="7" fillId="9" borderId="49" xfId="0" applyFont="1" applyFill="1" applyBorder="1" applyAlignment="1">
      <alignment horizontal="center"/>
    </xf>
    <xf numFmtId="0" fontId="7" fillId="9" borderId="20" xfId="0" applyFont="1" applyFill="1" applyBorder="1" applyAlignment="1">
      <alignment horizontal="center"/>
    </xf>
    <xf numFmtId="0" fontId="7" fillId="9" borderId="47" xfId="0" applyFont="1" applyFill="1" applyBorder="1" applyAlignment="1">
      <alignment horizontal="center"/>
    </xf>
    <xf numFmtId="0" fontId="7" fillId="9" borderId="49" xfId="0" applyFont="1" applyFill="1" applyBorder="1" applyAlignment="1">
      <alignment horizontal="center"/>
    </xf>
    <xf numFmtId="14" fontId="7" fillId="9" borderId="49" xfId="0" applyNumberFormat="1" applyFont="1" applyFill="1" applyBorder="1" applyAlignment="1">
      <alignment horizontal="center"/>
    </xf>
    <xf numFmtId="21" fontId="7" fillId="9" borderId="49" xfId="0" applyNumberFormat="1" applyFont="1" applyFill="1" applyBorder="1" applyAlignment="1">
      <alignment horizontal="center"/>
    </xf>
    <xf numFmtId="21" fontId="7" fillId="9" borderId="20" xfId="0" applyNumberFormat="1" applyFont="1" applyFill="1" applyBorder="1" applyAlignment="1">
      <alignment horizontal="center"/>
    </xf>
    <xf numFmtId="0" fontId="15" fillId="9" borderId="50" xfId="0" applyFont="1" applyFill="1" applyBorder="1" applyAlignment="1">
      <alignment horizontal="center"/>
    </xf>
    <xf numFmtId="0" fontId="7" fillId="9" borderId="51" xfId="0" applyFont="1" applyFill="1" applyBorder="1" applyAlignment="1">
      <alignment horizontal="center"/>
    </xf>
    <xf numFmtId="0" fontId="7" fillId="9" borderId="28" xfId="0" applyFont="1" applyFill="1" applyBorder="1" applyAlignment="1">
      <alignment horizontal="center"/>
    </xf>
    <xf numFmtId="0" fontId="15" fillId="9" borderId="52" xfId="0" applyFont="1" applyFill="1" applyBorder="1" applyAlignment="1">
      <alignment horizontal="center"/>
    </xf>
    <xf numFmtId="0" fontId="7" fillId="9" borderId="53" xfId="0" applyFont="1" applyFill="1" applyBorder="1" applyAlignment="1">
      <alignment horizontal="center"/>
    </xf>
    <xf numFmtId="0" fontId="7" fillId="9" borderId="29" xfId="0" applyFont="1" applyFill="1" applyBorder="1" applyAlignment="1">
      <alignment horizontal="center"/>
    </xf>
    <xf numFmtId="165" fontId="7" fillId="9" borderId="48" xfId="0" applyNumberFormat="1" applyFont="1" applyFill="1" applyBorder="1" applyAlignment="1">
      <alignment horizontal="center"/>
    </xf>
    <xf numFmtId="165" fontId="7" fillId="9" borderId="49" xfId="0" applyNumberFormat="1" applyFont="1" applyFill="1" applyBorder="1" applyAlignment="1">
      <alignment horizontal="center"/>
    </xf>
    <xf numFmtId="165" fontId="7" fillId="9" borderId="20" xfId="0" applyNumberFormat="1" applyFont="1" applyFill="1" applyBorder="1" applyAlignment="1">
      <alignment horizontal="center"/>
    </xf>
    <xf numFmtId="0" fontId="7" fillId="9" borderId="48" xfId="0" applyFont="1" applyFill="1" applyBorder="1" applyAlignment="1">
      <alignment horizontal="center"/>
    </xf>
    <xf numFmtId="49" fontId="15" fillId="9" borderId="47" xfId="0" applyNumberFormat="1" applyFont="1" applyFill="1" applyBorder="1" applyAlignment="1">
      <alignment horizontal="center"/>
    </xf>
    <xf numFmtId="49" fontId="15" fillId="9" borderId="0" xfId="0" applyNumberFormat="1" applyFont="1" applyFill="1" applyAlignment="1">
      <alignment horizontal="center"/>
    </xf>
    <xf numFmtId="167" fontId="7" fillId="9" borderId="54" xfId="0" applyNumberFormat="1" applyFont="1" applyFill="1" applyBorder="1" applyAlignment="1">
      <alignment horizontal="center"/>
    </xf>
    <xf numFmtId="166" fontId="7" fillId="9" borderId="54" xfId="0" applyNumberFormat="1" applyFont="1" applyFill="1" applyBorder="1" applyAlignment="1">
      <alignment horizontal="center"/>
    </xf>
    <xf numFmtId="165" fontId="7" fillId="9" borderId="54" xfId="0" applyNumberFormat="1" applyFont="1" applyFill="1" applyBorder="1" applyAlignment="1">
      <alignment horizontal="center"/>
    </xf>
    <xf numFmtId="0" fontId="7" fillId="9" borderId="54" xfId="0" applyFont="1" applyFill="1" applyBorder="1" applyAlignment="1">
      <alignment horizontal="center"/>
    </xf>
    <xf numFmtId="165" fontId="7" fillId="9" borderId="0" xfId="0" applyNumberFormat="1" applyFont="1" applyFill="1" applyAlignment="1">
      <alignment horizontal="center"/>
    </xf>
    <xf numFmtId="167" fontId="7" fillId="9" borderId="55" xfId="0" applyNumberFormat="1" applyFont="1" applyFill="1" applyBorder="1" applyAlignment="1">
      <alignment horizontal="center"/>
    </xf>
    <xf numFmtId="166" fontId="7" fillId="9" borderId="55" xfId="0" applyNumberFormat="1" applyFont="1" applyFill="1" applyBorder="1" applyAlignment="1">
      <alignment horizontal="center"/>
    </xf>
    <xf numFmtId="165" fontId="7" fillId="9" borderId="55" xfId="0" applyNumberFormat="1" applyFont="1" applyFill="1" applyBorder="1" applyAlignment="1">
      <alignment horizontal="center"/>
    </xf>
    <xf numFmtId="0" fontId="7" fillId="9" borderId="55" xfId="0" applyFont="1" applyFill="1" applyBorder="1" applyAlignment="1">
      <alignment horizontal="center"/>
    </xf>
    <xf numFmtId="167" fontId="7" fillId="10" borderId="55" xfId="0" applyNumberFormat="1" applyFont="1" applyFill="1" applyBorder="1" applyAlignment="1">
      <alignment horizontal="center"/>
    </xf>
    <xf numFmtId="166" fontId="7" fillId="10" borderId="55" xfId="0" applyNumberFormat="1" applyFont="1" applyFill="1" applyBorder="1" applyAlignment="1">
      <alignment horizontal="center"/>
    </xf>
    <xf numFmtId="165" fontId="7" fillId="10" borderId="55" xfId="0" applyNumberFormat="1" applyFont="1" applyFill="1" applyBorder="1" applyAlignment="1">
      <alignment horizontal="center"/>
    </xf>
    <xf numFmtId="0" fontId="7" fillId="10" borderId="55" xfId="0" applyFont="1" applyFill="1" applyBorder="1" applyAlignment="1">
      <alignment horizontal="center"/>
    </xf>
    <xf numFmtId="165" fontId="7" fillId="12" borderId="55" xfId="0" applyNumberFormat="1" applyFont="1" applyFill="1" applyBorder="1" applyAlignment="1">
      <alignment horizontal="center"/>
    </xf>
    <xf numFmtId="167" fontId="7" fillId="9" borderId="56" xfId="0" applyNumberFormat="1" applyFont="1" applyFill="1" applyBorder="1" applyAlignment="1">
      <alignment horizontal="center"/>
    </xf>
    <xf numFmtId="166" fontId="7" fillId="9" borderId="56" xfId="0" applyNumberFormat="1" applyFont="1" applyFill="1" applyBorder="1" applyAlignment="1">
      <alignment horizontal="center"/>
    </xf>
    <xf numFmtId="165" fontId="7" fillId="9" borderId="56" xfId="0" applyNumberFormat="1" applyFont="1" applyFill="1" applyBorder="1" applyAlignment="1">
      <alignment horizontal="center"/>
    </xf>
    <xf numFmtId="0" fontId="7" fillId="9" borderId="56" xfId="0" applyFont="1" applyFill="1" applyBorder="1" applyAlignment="1">
      <alignment horizontal="center"/>
    </xf>
    <xf numFmtId="0" fontId="7" fillId="9" borderId="47" xfId="0" applyFont="1" applyFill="1" applyBorder="1" applyAlignment="1">
      <alignment horizontal="left"/>
    </xf>
    <xf numFmtId="0" fontId="7" fillId="9" borderId="47" xfId="0" applyFont="1" applyFill="1" applyBorder="1" applyAlignment="1">
      <alignment horizontal="right"/>
    </xf>
    <xf numFmtId="0" fontId="7" fillId="10" borderId="47" xfId="0" applyFont="1" applyFill="1" applyBorder="1" applyAlignment="1">
      <alignment horizontal="center"/>
    </xf>
    <xf numFmtId="165" fontId="7" fillId="9" borderId="47" xfId="0" applyNumberFormat="1" applyFont="1" applyFill="1" applyBorder="1" applyAlignment="1">
      <alignment horizontal="right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030303 MARCA: HOGNER UBICACIÓN: ESTERILIZADO POLVO ANTIBIOTICO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BAGÓ DE BOLIVIA S.A.  FECHA CALIFICACIÓN: 2017-11-01</a:t>
            </a:r>
          </a:p>
        </c:rich>
      </c:tx>
      <c:layout>
        <c:manualLayout>
          <c:xMode val="edge"/>
          <c:yMode val="edge"/>
          <c:x val="0.1726879475485906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TEMP1'!$BB$31:$BB$184</c:f>
              <c:numCache>
                <c:formatCode>0.0</c:formatCode>
                <c:ptCount val="154"/>
                <c:pt idx="0">
                  <c:v>29.24</c:v>
                </c:pt>
                <c:pt idx="1">
                  <c:v>29.07</c:v>
                </c:pt>
                <c:pt idx="2">
                  <c:v>28.91</c:v>
                </c:pt>
                <c:pt idx="3">
                  <c:v>28.76</c:v>
                </c:pt>
                <c:pt idx="4">
                  <c:v>28.61</c:v>
                </c:pt>
                <c:pt idx="5">
                  <c:v>28.47</c:v>
                </c:pt>
                <c:pt idx="6">
                  <c:v>28.33</c:v>
                </c:pt>
                <c:pt idx="7">
                  <c:v>28.19</c:v>
                </c:pt>
                <c:pt idx="8">
                  <c:v>28.06</c:v>
                </c:pt>
                <c:pt idx="9">
                  <c:v>27.93</c:v>
                </c:pt>
                <c:pt idx="10">
                  <c:v>27.8</c:v>
                </c:pt>
                <c:pt idx="11">
                  <c:v>27.68</c:v>
                </c:pt>
                <c:pt idx="12">
                  <c:v>27.55</c:v>
                </c:pt>
                <c:pt idx="13">
                  <c:v>27.43</c:v>
                </c:pt>
                <c:pt idx="14">
                  <c:v>27.31</c:v>
                </c:pt>
                <c:pt idx="15">
                  <c:v>27.45</c:v>
                </c:pt>
                <c:pt idx="16">
                  <c:v>27.85</c:v>
                </c:pt>
                <c:pt idx="17">
                  <c:v>28.76</c:v>
                </c:pt>
                <c:pt idx="18">
                  <c:v>30.09</c:v>
                </c:pt>
                <c:pt idx="19">
                  <c:v>31.64</c:v>
                </c:pt>
                <c:pt idx="20">
                  <c:v>34.869999999999997</c:v>
                </c:pt>
                <c:pt idx="21">
                  <c:v>36.549999999999997</c:v>
                </c:pt>
                <c:pt idx="22">
                  <c:v>38.130000000000003</c:v>
                </c:pt>
                <c:pt idx="23">
                  <c:v>39.15</c:v>
                </c:pt>
                <c:pt idx="24">
                  <c:v>39.590000000000003</c:v>
                </c:pt>
                <c:pt idx="25">
                  <c:v>40.17</c:v>
                </c:pt>
                <c:pt idx="26">
                  <c:v>42.87</c:v>
                </c:pt>
                <c:pt idx="27">
                  <c:v>48.6</c:v>
                </c:pt>
                <c:pt idx="28">
                  <c:v>56.36</c:v>
                </c:pt>
                <c:pt idx="29">
                  <c:v>62.23</c:v>
                </c:pt>
                <c:pt idx="30">
                  <c:v>66.64</c:v>
                </c:pt>
                <c:pt idx="31">
                  <c:v>70.069999999999993</c:v>
                </c:pt>
                <c:pt idx="32">
                  <c:v>73.25</c:v>
                </c:pt>
                <c:pt idx="33">
                  <c:v>76.62</c:v>
                </c:pt>
                <c:pt idx="34">
                  <c:v>80.52</c:v>
                </c:pt>
                <c:pt idx="35">
                  <c:v>84.87</c:v>
                </c:pt>
                <c:pt idx="36">
                  <c:v>89.53</c:v>
                </c:pt>
                <c:pt idx="37">
                  <c:v>93.83</c:v>
                </c:pt>
                <c:pt idx="38">
                  <c:v>97.55</c:v>
                </c:pt>
                <c:pt idx="39">
                  <c:v>100.51</c:v>
                </c:pt>
                <c:pt idx="40">
                  <c:v>103.33</c:v>
                </c:pt>
                <c:pt idx="41">
                  <c:v>105.47</c:v>
                </c:pt>
                <c:pt idx="42">
                  <c:v>107.31</c:v>
                </c:pt>
                <c:pt idx="43">
                  <c:v>108.99</c:v>
                </c:pt>
                <c:pt idx="44">
                  <c:v>110.27</c:v>
                </c:pt>
                <c:pt idx="45">
                  <c:v>111.58</c:v>
                </c:pt>
                <c:pt idx="46">
                  <c:v>112.52</c:v>
                </c:pt>
                <c:pt idx="47">
                  <c:v>113.49</c:v>
                </c:pt>
                <c:pt idx="48">
                  <c:v>114.24</c:v>
                </c:pt>
                <c:pt idx="49">
                  <c:v>114.93</c:v>
                </c:pt>
                <c:pt idx="50">
                  <c:v>115.55</c:v>
                </c:pt>
                <c:pt idx="51">
                  <c:v>116.04</c:v>
                </c:pt>
                <c:pt idx="52">
                  <c:v>116.57</c:v>
                </c:pt>
                <c:pt idx="53">
                  <c:v>116.91</c:v>
                </c:pt>
                <c:pt idx="54">
                  <c:v>117.35</c:v>
                </c:pt>
                <c:pt idx="55">
                  <c:v>117.61</c:v>
                </c:pt>
                <c:pt idx="56">
                  <c:v>117.95</c:v>
                </c:pt>
                <c:pt idx="57">
                  <c:v>118.17</c:v>
                </c:pt>
                <c:pt idx="58">
                  <c:v>118.42</c:v>
                </c:pt>
                <c:pt idx="59">
                  <c:v>118.63</c:v>
                </c:pt>
                <c:pt idx="60">
                  <c:v>118.78</c:v>
                </c:pt>
                <c:pt idx="61">
                  <c:v>119.03</c:v>
                </c:pt>
                <c:pt idx="62">
                  <c:v>119.17</c:v>
                </c:pt>
                <c:pt idx="63">
                  <c:v>119.39</c:v>
                </c:pt>
                <c:pt idx="64">
                  <c:v>119.54</c:v>
                </c:pt>
                <c:pt idx="65">
                  <c:v>119.68</c:v>
                </c:pt>
                <c:pt idx="66">
                  <c:v>119.87</c:v>
                </c:pt>
                <c:pt idx="67">
                  <c:v>119.97</c:v>
                </c:pt>
                <c:pt idx="68">
                  <c:v>120.13</c:v>
                </c:pt>
                <c:pt idx="69">
                  <c:v>120.24</c:v>
                </c:pt>
                <c:pt idx="70">
                  <c:v>120.33</c:v>
                </c:pt>
                <c:pt idx="71">
                  <c:v>120.44</c:v>
                </c:pt>
                <c:pt idx="72">
                  <c:v>120.52</c:v>
                </c:pt>
                <c:pt idx="73">
                  <c:v>120.61</c:v>
                </c:pt>
                <c:pt idx="74">
                  <c:v>120.69</c:v>
                </c:pt>
                <c:pt idx="75">
                  <c:v>120.73</c:v>
                </c:pt>
                <c:pt idx="76">
                  <c:v>120.85</c:v>
                </c:pt>
                <c:pt idx="77">
                  <c:v>120.86</c:v>
                </c:pt>
                <c:pt idx="78">
                  <c:v>120.95</c:v>
                </c:pt>
                <c:pt idx="79">
                  <c:v>120.96</c:v>
                </c:pt>
                <c:pt idx="80">
                  <c:v>121.05</c:v>
                </c:pt>
                <c:pt idx="81">
                  <c:v>121.05</c:v>
                </c:pt>
                <c:pt idx="82">
                  <c:v>121.14</c:v>
                </c:pt>
                <c:pt idx="83">
                  <c:v>121.14</c:v>
                </c:pt>
                <c:pt idx="84">
                  <c:v>121.21</c:v>
                </c:pt>
                <c:pt idx="85">
                  <c:v>121.2</c:v>
                </c:pt>
                <c:pt idx="86">
                  <c:v>121.27</c:v>
                </c:pt>
                <c:pt idx="87">
                  <c:v>121.26</c:v>
                </c:pt>
                <c:pt idx="88">
                  <c:v>121.31</c:v>
                </c:pt>
                <c:pt idx="89">
                  <c:v>121.31</c:v>
                </c:pt>
                <c:pt idx="90">
                  <c:v>121.34</c:v>
                </c:pt>
                <c:pt idx="91">
                  <c:v>121.36</c:v>
                </c:pt>
                <c:pt idx="92">
                  <c:v>121.35</c:v>
                </c:pt>
                <c:pt idx="93">
                  <c:v>121.39</c:v>
                </c:pt>
                <c:pt idx="94">
                  <c:v>121.37</c:v>
                </c:pt>
                <c:pt idx="95">
                  <c:v>121.43</c:v>
                </c:pt>
                <c:pt idx="96">
                  <c:v>121.41</c:v>
                </c:pt>
                <c:pt idx="97">
                  <c:v>121.47</c:v>
                </c:pt>
                <c:pt idx="98">
                  <c:v>121.44</c:v>
                </c:pt>
                <c:pt idx="99">
                  <c:v>121.49</c:v>
                </c:pt>
                <c:pt idx="100">
                  <c:v>121.46</c:v>
                </c:pt>
                <c:pt idx="101">
                  <c:v>121.51</c:v>
                </c:pt>
                <c:pt idx="102">
                  <c:v>121.48</c:v>
                </c:pt>
                <c:pt idx="103">
                  <c:v>121.52</c:v>
                </c:pt>
                <c:pt idx="104">
                  <c:v>121.51</c:v>
                </c:pt>
                <c:pt idx="105">
                  <c:v>121.55</c:v>
                </c:pt>
                <c:pt idx="106">
                  <c:v>121.53</c:v>
                </c:pt>
                <c:pt idx="107">
                  <c:v>121.56</c:v>
                </c:pt>
                <c:pt idx="108">
                  <c:v>121.55</c:v>
                </c:pt>
                <c:pt idx="109">
                  <c:v>121.57</c:v>
                </c:pt>
                <c:pt idx="110">
                  <c:v>121.57</c:v>
                </c:pt>
                <c:pt idx="111">
                  <c:v>121.58</c:v>
                </c:pt>
                <c:pt idx="112">
                  <c:v>121.59</c:v>
                </c:pt>
                <c:pt idx="113">
                  <c:v>121.59</c:v>
                </c:pt>
                <c:pt idx="114">
                  <c:v>121.62</c:v>
                </c:pt>
                <c:pt idx="115">
                  <c:v>121.59</c:v>
                </c:pt>
                <c:pt idx="116">
                  <c:v>121.64</c:v>
                </c:pt>
                <c:pt idx="117">
                  <c:v>121.6</c:v>
                </c:pt>
                <c:pt idx="118">
                  <c:v>121.65</c:v>
                </c:pt>
                <c:pt idx="119">
                  <c:v>121.63</c:v>
                </c:pt>
                <c:pt idx="120">
                  <c:v>121.66</c:v>
                </c:pt>
                <c:pt idx="121">
                  <c:v>121.66</c:v>
                </c:pt>
                <c:pt idx="122">
                  <c:v>121.66</c:v>
                </c:pt>
                <c:pt idx="123">
                  <c:v>121.66</c:v>
                </c:pt>
                <c:pt idx="124">
                  <c:v>121.66</c:v>
                </c:pt>
                <c:pt idx="125">
                  <c:v>121.68</c:v>
                </c:pt>
                <c:pt idx="126">
                  <c:v>121.66</c:v>
                </c:pt>
                <c:pt idx="127">
                  <c:v>121.7</c:v>
                </c:pt>
                <c:pt idx="128">
                  <c:v>121.66</c:v>
                </c:pt>
                <c:pt idx="129">
                  <c:v>121.72</c:v>
                </c:pt>
                <c:pt idx="130">
                  <c:v>121.68</c:v>
                </c:pt>
                <c:pt idx="131">
                  <c:v>121.72</c:v>
                </c:pt>
                <c:pt idx="132">
                  <c:v>121.69</c:v>
                </c:pt>
                <c:pt idx="133">
                  <c:v>121.35</c:v>
                </c:pt>
                <c:pt idx="134">
                  <c:v>120.41</c:v>
                </c:pt>
                <c:pt idx="135">
                  <c:v>119.22</c:v>
                </c:pt>
                <c:pt idx="136">
                  <c:v>117.98</c:v>
                </c:pt>
                <c:pt idx="137">
                  <c:v>116.69</c:v>
                </c:pt>
                <c:pt idx="138">
                  <c:v>115.43</c:v>
                </c:pt>
                <c:pt idx="139">
                  <c:v>114.25</c:v>
                </c:pt>
                <c:pt idx="140">
                  <c:v>113.18</c:v>
                </c:pt>
                <c:pt idx="141">
                  <c:v>112.2</c:v>
                </c:pt>
                <c:pt idx="142">
                  <c:v>111.28</c:v>
                </c:pt>
                <c:pt idx="143">
                  <c:v>110.31</c:v>
                </c:pt>
                <c:pt idx="144">
                  <c:v>109.29</c:v>
                </c:pt>
                <c:pt idx="145">
                  <c:v>108.2</c:v>
                </c:pt>
                <c:pt idx="146">
                  <c:v>107.36</c:v>
                </c:pt>
                <c:pt idx="147">
                  <c:v>106.38</c:v>
                </c:pt>
                <c:pt idx="148">
                  <c:v>102.01</c:v>
                </c:pt>
                <c:pt idx="149">
                  <c:v>86.16</c:v>
                </c:pt>
                <c:pt idx="150">
                  <c:v>73.3</c:v>
                </c:pt>
                <c:pt idx="151">
                  <c:v>63.86</c:v>
                </c:pt>
                <c:pt idx="152">
                  <c:v>56.71</c:v>
                </c:pt>
                <c:pt idx="153">
                  <c:v>47.54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424-46F0-BD2D-EE6AAAE60383}"/>
            </c:ext>
          </c:extLst>
        </c:ser>
        <c:ser>
          <c:idx val="1"/>
          <c:order val="1"/>
          <c:tx>
            <c:strRef>
              <c:f>'DESEMPEÑO 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TEMP1'!$BC$31:$BC$184</c:f>
              <c:numCache>
                <c:formatCode>0.0</c:formatCode>
                <c:ptCount val="154"/>
                <c:pt idx="0">
                  <c:v>26.28</c:v>
                </c:pt>
                <c:pt idx="1">
                  <c:v>26.21</c:v>
                </c:pt>
                <c:pt idx="2">
                  <c:v>26.14</c:v>
                </c:pt>
                <c:pt idx="3">
                  <c:v>26.07</c:v>
                </c:pt>
                <c:pt idx="4">
                  <c:v>26</c:v>
                </c:pt>
                <c:pt idx="5">
                  <c:v>25.93</c:v>
                </c:pt>
                <c:pt idx="6">
                  <c:v>25.86</c:v>
                </c:pt>
                <c:pt idx="7">
                  <c:v>25.8</c:v>
                </c:pt>
                <c:pt idx="8">
                  <c:v>25.74</c:v>
                </c:pt>
                <c:pt idx="9">
                  <c:v>25.67</c:v>
                </c:pt>
                <c:pt idx="10">
                  <c:v>25.62</c:v>
                </c:pt>
                <c:pt idx="11">
                  <c:v>25.56</c:v>
                </c:pt>
                <c:pt idx="12">
                  <c:v>25.5</c:v>
                </c:pt>
                <c:pt idx="13">
                  <c:v>25.44</c:v>
                </c:pt>
                <c:pt idx="14">
                  <c:v>25.89</c:v>
                </c:pt>
                <c:pt idx="15">
                  <c:v>27.13</c:v>
                </c:pt>
                <c:pt idx="16">
                  <c:v>28.58</c:v>
                </c:pt>
                <c:pt idx="17">
                  <c:v>29.54</c:v>
                </c:pt>
                <c:pt idx="18">
                  <c:v>30.28</c:v>
                </c:pt>
                <c:pt idx="19">
                  <c:v>31.18</c:v>
                </c:pt>
                <c:pt idx="20">
                  <c:v>32.17</c:v>
                </c:pt>
                <c:pt idx="21">
                  <c:v>33.11</c:v>
                </c:pt>
                <c:pt idx="22">
                  <c:v>34.07</c:v>
                </c:pt>
                <c:pt idx="23">
                  <c:v>34.97</c:v>
                </c:pt>
                <c:pt idx="24">
                  <c:v>35.82</c:v>
                </c:pt>
                <c:pt idx="25">
                  <c:v>37.01</c:v>
                </c:pt>
                <c:pt idx="26">
                  <c:v>40.26</c:v>
                </c:pt>
                <c:pt idx="27">
                  <c:v>44.57</c:v>
                </c:pt>
                <c:pt idx="28">
                  <c:v>49.29</c:v>
                </c:pt>
                <c:pt idx="29">
                  <c:v>55.38</c:v>
                </c:pt>
                <c:pt idx="30">
                  <c:v>62.32</c:v>
                </c:pt>
                <c:pt idx="31">
                  <c:v>69.17</c:v>
                </c:pt>
                <c:pt idx="32">
                  <c:v>75.680000000000007</c:v>
                </c:pt>
                <c:pt idx="33">
                  <c:v>81.680000000000007</c:v>
                </c:pt>
                <c:pt idx="34">
                  <c:v>87.09</c:v>
                </c:pt>
                <c:pt idx="35">
                  <c:v>91.96</c:v>
                </c:pt>
                <c:pt idx="36">
                  <c:v>96.29</c:v>
                </c:pt>
                <c:pt idx="37">
                  <c:v>100.03</c:v>
                </c:pt>
                <c:pt idx="38">
                  <c:v>103.12</c:v>
                </c:pt>
                <c:pt idx="39">
                  <c:v>105.29</c:v>
                </c:pt>
                <c:pt idx="40">
                  <c:v>107.17</c:v>
                </c:pt>
                <c:pt idx="41">
                  <c:v>108.63</c:v>
                </c:pt>
                <c:pt idx="42">
                  <c:v>110.04</c:v>
                </c:pt>
                <c:pt idx="43">
                  <c:v>112.59</c:v>
                </c:pt>
                <c:pt idx="44">
                  <c:v>113.8</c:v>
                </c:pt>
                <c:pt idx="45">
                  <c:v>114.87</c:v>
                </c:pt>
                <c:pt idx="46">
                  <c:v>115.6</c:v>
                </c:pt>
                <c:pt idx="47">
                  <c:v>116.34</c:v>
                </c:pt>
                <c:pt idx="48">
                  <c:v>116.89</c:v>
                </c:pt>
                <c:pt idx="49">
                  <c:v>117.39</c:v>
                </c:pt>
                <c:pt idx="50">
                  <c:v>117.81</c:v>
                </c:pt>
                <c:pt idx="51">
                  <c:v>118.12</c:v>
                </c:pt>
                <c:pt idx="52">
                  <c:v>118.48</c:v>
                </c:pt>
                <c:pt idx="53">
                  <c:v>118.66</c:v>
                </c:pt>
                <c:pt idx="54">
                  <c:v>118.95</c:v>
                </c:pt>
                <c:pt idx="55">
                  <c:v>119.08</c:v>
                </c:pt>
                <c:pt idx="56">
                  <c:v>119.31</c:v>
                </c:pt>
                <c:pt idx="57">
                  <c:v>119.42</c:v>
                </c:pt>
                <c:pt idx="58">
                  <c:v>119.56</c:v>
                </c:pt>
                <c:pt idx="59">
                  <c:v>119.68</c:v>
                </c:pt>
                <c:pt idx="60">
                  <c:v>119.74</c:v>
                </c:pt>
                <c:pt idx="61">
                  <c:v>119.91</c:v>
                </c:pt>
                <c:pt idx="62">
                  <c:v>120</c:v>
                </c:pt>
                <c:pt idx="63">
                  <c:v>120.19</c:v>
                </c:pt>
                <c:pt idx="64">
                  <c:v>120.3</c:v>
                </c:pt>
                <c:pt idx="65">
                  <c:v>120.39</c:v>
                </c:pt>
                <c:pt idx="66">
                  <c:v>120.54</c:v>
                </c:pt>
                <c:pt idx="67">
                  <c:v>120.58</c:v>
                </c:pt>
                <c:pt idx="68">
                  <c:v>120.69</c:v>
                </c:pt>
                <c:pt idx="69">
                  <c:v>120.75</c:v>
                </c:pt>
                <c:pt idx="70">
                  <c:v>120.78</c:v>
                </c:pt>
                <c:pt idx="71">
                  <c:v>120.85</c:v>
                </c:pt>
                <c:pt idx="72">
                  <c:v>120.89</c:v>
                </c:pt>
                <c:pt idx="73">
                  <c:v>120.94</c:v>
                </c:pt>
                <c:pt idx="74">
                  <c:v>120.97</c:v>
                </c:pt>
                <c:pt idx="75">
                  <c:v>120.98</c:v>
                </c:pt>
                <c:pt idx="76">
                  <c:v>121.06</c:v>
                </c:pt>
                <c:pt idx="77">
                  <c:v>121.02</c:v>
                </c:pt>
                <c:pt idx="78">
                  <c:v>121.1</c:v>
                </c:pt>
                <c:pt idx="79">
                  <c:v>121.06</c:v>
                </c:pt>
                <c:pt idx="80">
                  <c:v>121.13</c:v>
                </c:pt>
                <c:pt idx="81">
                  <c:v>121.09</c:v>
                </c:pt>
                <c:pt idx="82">
                  <c:v>121.16</c:v>
                </c:pt>
                <c:pt idx="83">
                  <c:v>121.12</c:v>
                </c:pt>
                <c:pt idx="84">
                  <c:v>121.19</c:v>
                </c:pt>
                <c:pt idx="85">
                  <c:v>121.15</c:v>
                </c:pt>
                <c:pt idx="86">
                  <c:v>121.21</c:v>
                </c:pt>
                <c:pt idx="87">
                  <c:v>121.18</c:v>
                </c:pt>
                <c:pt idx="88">
                  <c:v>121.23</c:v>
                </c:pt>
                <c:pt idx="89">
                  <c:v>121.21</c:v>
                </c:pt>
                <c:pt idx="90">
                  <c:v>121.22</c:v>
                </c:pt>
                <c:pt idx="91">
                  <c:v>121.24</c:v>
                </c:pt>
                <c:pt idx="92">
                  <c:v>121.21</c:v>
                </c:pt>
                <c:pt idx="93">
                  <c:v>121.26</c:v>
                </c:pt>
                <c:pt idx="94">
                  <c:v>121.22</c:v>
                </c:pt>
                <c:pt idx="95">
                  <c:v>121.28</c:v>
                </c:pt>
                <c:pt idx="96">
                  <c:v>121.25</c:v>
                </c:pt>
                <c:pt idx="97">
                  <c:v>121.31</c:v>
                </c:pt>
                <c:pt idx="98">
                  <c:v>121.29</c:v>
                </c:pt>
                <c:pt idx="99">
                  <c:v>121.33</c:v>
                </c:pt>
                <c:pt idx="100">
                  <c:v>121.31</c:v>
                </c:pt>
                <c:pt idx="101">
                  <c:v>121.36</c:v>
                </c:pt>
                <c:pt idx="102">
                  <c:v>121.33</c:v>
                </c:pt>
                <c:pt idx="103">
                  <c:v>121.37</c:v>
                </c:pt>
                <c:pt idx="104">
                  <c:v>121.35</c:v>
                </c:pt>
                <c:pt idx="105">
                  <c:v>121.39</c:v>
                </c:pt>
                <c:pt idx="106">
                  <c:v>121.37</c:v>
                </c:pt>
                <c:pt idx="107">
                  <c:v>121.41</c:v>
                </c:pt>
                <c:pt idx="108">
                  <c:v>121.41</c:v>
                </c:pt>
                <c:pt idx="109">
                  <c:v>121.43</c:v>
                </c:pt>
                <c:pt idx="110">
                  <c:v>121.44</c:v>
                </c:pt>
                <c:pt idx="111">
                  <c:v>121.45</c:v>
                </c:pt>
                <c:pt idx="112">
                  <c:v>121.47</c:v>
                </c:pt>
                <c:pt idx="113">
                  <c:v>121.45</c:v>
                </c:pt>
                <c:pt idx="114">
                  <c:v>121.5</c:v>
                </c:pt>
                <c:pt idx="115">
                  <c:v>121.46</c:v>
                </c:pt>
                <c:pt idx="116">
                  <c:v>121.53</c:v>
                </c:pt>
                <c:pt idx="117">
                  <c:v>121.48</c:v>
                </c:pt>
                <c:pt idx="118">
                  <c:v>121.53</c:v>
                </c:pt>
                <c:pt idx="119">
                  <c:v>121.51</c:v>
                </c:pt>
                <c:pt idx="120">
                  <c:v>121.55</c:v>
                </c:pt>
                <c:pt idx="121">
                  <c:v>121.56</c:v>
                </c:pt>
                <c:pt idx="122">
                  <c:v>121.55</c:v>
                </c:pt>
                <c:pt idx="123">
                  <c:v>121.58</c:v>
                </c:pt>
                <c:pt idx="124">
                  <c:v>121.56</c:v>
                </c:pt>
                <c:pt idx="125">
                  <c:v>121.6</c:v>
                </c:pt>
                <c:pt idx="126">
                  <c:v>121.57</c:v>
                </c:pt>
                <c:pt idx="127">
                  <c:v>121.63</c:v>
                </c:pt>
                <c:pt idx="128">
                  <c:v>121.58</c:v>
                </c:pt>
                <c:pt idx="129">
                  <c:v>121.64</c:v>
                </c:pt>
                <c:pt idx="130">
                  <c:v>121.6</c:v>
                </c:pt>
                <c:pt idx="131">
                  <c:v>121.66</c:v>
                </c:pt>
                <c:pt idx="132">
                  <c:v>121.63</c:v>
                </c:pt>
                <c:pt idx="133">
                  <c:v>121.34</c:v>
                </c:pt>
                <c:pt idx="134">
                  <c:v>120.57</c:v>
                </c:pt>
                <c:pt idx="135">
                  <c:v>119.47</c:v>
                </c:pt>
                <c:pt idx="136">
                  <c:v>118.17</c:v>
                </c:pt>
                <c:pt idx="137">
                  <c:v>116.72</c:v>
                </c:pt>
                <c:pt idx="138">
                  <c:v>115.27</c:v>
                </c:pt>
                <c:pt idx="139">
                  <c:v>113.9</c:v>
                </c:pt>
                <c:pt idx="140">
                  <c:v>112.65</c:v>
                </c:pt>
                <c:pt idx="141">
                  <c:v>111.51</c:v>
                </c:pt>
                <c:pt idx="142">
                  <c:v>110.47</c:v>
                </c:pt>
                <c:pt idx="143">
                  <c:v>109.27</c:v>
                </c:pt>
                <c:pt idx="144">
                  <c:v>107.92</c:v>
                </c:pt>
                <c:pt idx="145">
                  <c:v>106.44</c:v>
                </c:pt>
                <c:pt idx="146">
                  <c:v>104.62</c:v>
                </c:pt>
                <c:pt idx="147">
                  <c:v>102.15</c:v>
                </c:pt>
                <c:pt idx="148">
                  <c:v>99.51</c:v>
                </c:pt>
                <c:pt idx="149">
                  <c:v>89.49</c:v>
                </c:pt>
                <c:pt idx="150">
                  <c:v>75.72</c:v>
                </c:pt>
                <c:pt idx="151">
                  <c:v>65.430000000000007</c:v>
                </c:pt>
                <c:pt idx="152">
                  <c:v>54.88</c:v>
                </c:pt>
                <c:pt idx="153">
                  <c:v>46.2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424-46F0-BD2D-EE6AAAE60383}"/>
            </c:ext>
          </c:extLst>
        </c:ser>
        <c:ser>
          <c:idx val="2"/>
          <c:order val="2"/>
          <c:tx>
            <c:strRef>
              <c:f>'DESEMPEÑO 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TEMP1'!$BD$31:$BD$184</c:f>
              <c:numCache>
                <c:formatCode>0.0</c:formatCode>
                <c:ptCount val="154"/>
                <c:pt idx="0">
                  <c:v>25.48</c:v>
                </c:pt>
                <c:pt idx="1">
                  <c:v>25.41</c:v>
                </c:pt>
                <c:pt idx="2">
                  <c:v>25.34</c:v>
                </c:pt>
                <c:pt idx="3">
                  <c:v>25.28</c:v>
                </c:pt>
                <c:pt idx="4">
                  <c:v>25.22</c:v>
                </c:pt>
                <c:pt idx="5">
                  <c:v>25.15</c:v>
                </c:pt>
                <c:pt idx="6">
                  <c:v>25.1</c:v>
                </c:pt>
                <c:pt idx="7">
                  <c:v>25.04</c:v>
                </c:pt>
                <c:pt idx="8">
                  <c:v>24.98</c:v>
                </c:pt>
                <c:pt idx="9">
                  <c:v>24.93</c:v>
                </c:pt>
                <c:pt idx="10">
                  <c:v>24.88</c:v>
                </c:pt>
                <c:pt idx="11">
                  <c:v>24.83</c:v>
                </c:pt>
                <c:pt idx="12">
                  <c:v>24.78</c:v>
                </c:pt>
                <c:pt idx="13">
                  <c:v>24.73</c:v>
                </c:pt>
                <c:pt idx="14">
                  <c:v>24.69</c:v>
                </c:pt>
                <c:pt idx="15">
                  <c:v>24.92</c:v>
                </c:pt>
                <c:pt idx="16">
                  <c:v>25.48</c:v>
                </c:pt>
                <c:pt idx="17">
                  <c:v>26.18</c:v>
                </c:pt>
                <c:pt idx="18">
                  <c:v>27.04</c:v>
                </c:pt>
                <c:pt idx="19">
                  <c:v>27.9</c:v>
                </c:pt>
                <c:pt idx="20">
                  <c:v>28.78</c:v>
                </c:pt>
                <c:pt idx="21">
                  <c:v>29.7</c:v>
                </c:pt>
                <c:pt idx="22">
                  <c:v>30.65</c:v>
                </c:pt>
                <c:pt idx="23">
                  <c:v>31.63</c:v>
                </c:pt>
                <c:pt idx="24">
                  <c:v>32.619999999999997</c:v>
                </c:pt>
                <c:pt idx="25">
                  <c:v>33.72</c:v>
                </c:pt>
                <c:pt idx="26">
                  <c:v>36.03</c:v>
                </c:pt>
                <c:pt idx="27">
                  <c:v>40.619999999999997</c:v>
                </c:pt>
                <c:pt idx="28">
                  <c:v>47.31</c:v>
                </c:pt>
                <c:pt idx="29">
                  <c:v>54.82</c:v>
                </c:pt>
                <c:pt idx="30">
                  <c:v>62.08</c:v>
                </c:pt>
                <c:pt idx="31">
                  <c:v>69.09</c:v>
                </c:pt>
                <c:pt idx="32">
                  <c:v>75.8</c:v>
                </c:pt>
                <c:pt idx="33">
                  <c:v>81.88</c:v>
                </c:pt>
                <c:pt idx="34">
                  <c:v>87.42</c:v>
                </c:pt>
                <c:pt idx="35">
                  <c:v>92.45</c:v>
                </c:pt>
                <c:pt idx="36">
                  <c:v>96.83</c:v>
                </c:pt>
                <c:pt idx="37">
                  <c:v>100.52</c:v>
                </c:pt>
                <c:pt idx="38">
                  <c:v>103.44</c:v>
                </c:pt>
                <c:pt idx="39">
                  <c:v>105.5</c:v>
                </c:pt>
                <c:pt idx="40">
                  <c:v>107.9</c:v>
                </c:pt>
                <c:pt idx="41">
                  <c:v>110.18</c:v>
                </c:pt>
                <c:pt idx="42">
                  <c:v>112.33</c:v>
                </c:pt>
                <c:pt idx="43">
                  <c:v>113.68</c:v>
                </c:pt>
                <c:pt idx="44">
                  <c:v>114.73</c:v>
                </c:pt>
                <c:pt idx="45">
                  <c:v>115.73</c:v>
                </c:pt>
                <c:pt idx="46">
                  <c:v>116.44</c:v>
                </c:pt>
                <c:pt idx="47">
                  <c:v>117.16</c:v>
                </c:pt>
                <c:pt idx="48">
                  <c:v>117.67</c:v>
                </c:pt>
                <c:pt idx="49">
                  <c:v>118.18</c:v>
                </c:pt>
                <c:pt idx="50">
                  <c:v>118.57</c:v>
                </c:pt>
                <c:pt idx="51">
                  <c:v>118.9</c:v>
                </c:pt>
                <c:pt idx="52">
                  <c:v>119.22</c:v>
                </c:pt>
                <c:pt idx="53">
                  <c:v>119.42</c:v>
                </c:pt>
                <c:pt idx="54">
                  <c:v>119.71</c:v>
                </c:pt>
                <c:pt idx="55">
                  <c:v>119.85</c:v>
                </c:pt>
                <c:pt idx="56">
                  <c:v>120.05</c:v>
                </c:pt>
                <c:pt idx="57">
                  <c:v>120.14</c:v>
                </c:pt>
                <c:pt idx="58">
                  <c:v>120.3</c:v>
                </c:pt>
                <c:pt idx="59">
                  <c:v>120.39</c:v>
                </c:pt>
                <c:pt idx="60">
                  <c:v>120.47</c:v>
                </c:pt>
                <c:pt idx="61">
                  <c:v>120.59</c:v>
                </c:pt>
                <c:pt idx="62">
                  <c:v>120.64</c:v>
                </c:pt>
                <c:pt idx="63">
                  <c:v>120.76</c:v>
                </c:pt>
                <c:pt idx="64">
                  <c:v>120.79</c:v>
                </c:pt>
                <c:pt idx="65">
                  <c:v>120.84</c:v>
                </c:pt>
                <c:pt idx="66">
                  <c:v>120.92</c:v>
                </c:pt>
                <c:pt idx="67">
                  <c:v>120.92</c:v>
                </c:pt>
                <c:pt idx="68">
                  <c:v>121</c:v>
                </c:pt>
                <c:pt idx="69">
                  <c:v>121.01</c:v>
                </c:pt>
                <c:pt idx="70">
                  <c:v>121.05</c:v>
                </c:pt>
                <c:pt idx="71">
                  <c:v>121.07</c:v>
                </c:pt>
                <c:pt idx="72">
                  <c:v>121.12</c:v>
                </c:pt>
                <c:pt idx="73">
                  <c:v>121.13</c:v>
                </c:pt>
                <c:pt idx="74">
                  <c:v>121.18</c:v>
                </c:pt>
                <c:pt idx="75">
                  <c:v>121.17</c:v>
                </c:pt>
                <c:pt idx="76">
                  <c:v>121.25</c:v>
                </c:pt>
                <c:pt idx="77">
                  <c:v>121.21</c:v>
                </c:pt>
                <c:pt idx="78">
                  <c:v>121.28</c:v>
                </c:pt>
                <c:pt idx="79">
                  <c:v>121.25</c:v>
                </c:pt>
                <c:pt idx="80">
                  <c:v>121.32</c:v>
                </c:pt>
                <c:pt idx="81">
                  <c:v>121.28</c:v>
                </c:pt>
                <c:pt idx="82">
                  <c:v>121.34</c:v>
                </c:pt>
                <c:pt idx="83">
                  <c:v>121.31</c:v>
                </c:pt>
                <c:pt idx="84">
                  <c:v>121.35</c:v>
                </c:pt>
                <c:pt idx="85">
                  <c:v>121.32</c:v>
                </c:pt>
                <c:pt idx="86">
                  <c:v>121.36</c:v>
                </c:pt>
                <c:pt idx="87">
                  <c:v>121.32</c:v>
                </c:pt>
                <c:pt idx="88">
                  <c:v>121.36</c:v>
                </c:pt>
                <c:pt idx="89">
                  <c:v>121.33</c:v>
                </c:pt>
                <c:pt idx="90">
                  <c:v>121.36</c:v>
                </c:pt>
                <c:pt idx="91">
                  <c:v>121.36</c:v>
                </c:pt>
                <c:pt idx="92">
                  <c:v>121.34</c:v>
                </c:pt>
                <c:pt idx="93">
                  <c:v>121.37</c:v>
                </c:pt>
                <c:pt idx="94">
                  <c:v>121.34</c:v>
                </c:pt>
                <c:pt idx="95">
                  <c:v>121.39</c:v>
                </c:pt>
                <c:pt idx="96">
                  <c:v>121.37</c:v>
                </c:pt>
                <c:pt idx="97">
                  <c:v>121.42</c:v>
                </c:pt>
                <c:pt idx="98">
                  <c:v>121.39</c:v>
                </c:pt>
                <c:pt idx="99">
                  <c:v>121.44</c:v>
                </c:pt>
                <c:pt idx="100">
                  <c:v>121.41</c:v>
                </c:pt>
                <c:pt idx="101">
                  <c:v>121.46</c:v>
                </c:pt>
                <c:pt idx="102">
                  <c:v>121.43</c:v>
                </c:pt>
                <c:pt idx="103">
                  <c:v>121.47</c:v>
                </c:pt>
                <c:pt idx="104">
                  <c:v>121.45</c:v>
                </c:pt>
                <c:pt idx="105">
                  <c:v>121.5</c:v>
                </c:pt>
                <c:pt idx="106">
                  <c:v>121.48</c:v>
                </c:pt>
                <c:pt idx="107">
                  <c:v>121.52</c:v>
                </c:pt>
                <c:pt idx="108">
                  <c:v>121.51</c:v>
                </c:pt>
                <c:pt idx="109">
                  <c:v>121.54</c:v>
                </c:pt>
                <c:pt idx="110">
                  <c:v>121.53</c:v>
                </c:pt>
                <c:pt idx="111">
                  <c:v>121.55</c:v>
                </c:pt>
                <c:pt idx="112">
                  <c:v>121.56</c:v>
                </c:pt>
                <c:pt idx="113">
                  <c:v>121.57</c:v>
                </c:pt>
                <c:pt idx="114">
                  <c:v>121.59</c:v>
                </c:pt>
                <c:pt idx="115">
                  <c:v>121.57</c:v>
                </c:pt>
                <c:pt idx="116">
                  <c:v>121.62</c:v>
                </c:pt>
                <c:pt idx="117">
                  <c:v>121.59</c:v>
                </c:pt>
                <c:pt idx="118">
                  <c:v>121.64</c:v>
                </c:pt>
                <c:pt idx="119">
                  <c:v>121.61</c:v>
                </c:pt>
                <c:pt idx="120">
                  <c:v>121.65</c:v>
                </c:pt>
                <c:pt idx="121">
                  <c:v>121.65</c:v>
                </c:pt>
                <c:pt idx="122">
                  <c:v>121.67</c:v>
                </c:pt>
                <c:pt idx="123">
                  <c:v>121.67</c:v>
                </c:pt>
                <c:pt idx="124">
                  <c:v>121.67</c:v>
                </c:pt>
                <c:pt idx="125">
                  <c:v>121.69</c:v>
                </c:pt>
                <c:pt idx="126">
                  <c:v>121.68</c:v>
                </c:pt>
                <c:pt idx="127">
                  <c:v>121.71</c:v>
                </c:pt>
                <c:pt idx="128">
                  <c:v>121.69</c:v>
                </c:pt>
                <c:pt idx="129">
                  <c:v>121.74</c:v>
                </c:pt>
                <c:pt idx="130">
                  <c:v>121.7</c:v>
                </c:pt>
                <c:pt idx="131">
                  <c:v>121.75</c:v>
                </c:pt>
                <c:pt idx="132">
                  <c:v>121.72</c:v>
                </c:pt>
                <c:pt idx="133">
                  <c:v>121.5</c:v>
                </c:pt>
                <c:pt idx="134">
                  <c:v>120.78</c:v>
                </c:pt>
                <c:pt idx="135">
                  <c:v>119.78</c:v>
                </c:pt>
                <c:pt idx="136">
                  <c:v>118.65</c:v>
                </c:pt>
                <c:pt idx="137">
                  <c:v>117.5</c:v>
                </c:pt>
                <c:pt idx="138">
                  <c:v>116.4</c:v>
                </c:pt>
                <c:pt idx="139">
                  <c:v>115.39</c:v>
                </c:pt>
                <c:pt idx="140">
                  <c:v>114.49</c:v>
                </c:pt>
                <c:pt idx="141">
                  <c:v>113.68</c:v>
                </c:pt>
                <c:pt idx="142">
                  <c:v>112.93</c:v>
                </c:pt>
                <c:pt idx="143">
                  <c:v>112.08</c:v>
                </c:pt>
                <c:pt idx="144">
                  <c:v>111.05</c:v>
                </c:pt>
                <c:pt idx="145">
                  <c:v>109.92</c:v>
                </c:pt>
                <c:pt idx="146">
                  <c:v>108.17</c:v>
                </c:pt>
                <c:pt idx="147">
                  <c:v>105.82</c:v>
                </c:pt>
                <c:pt idx="148">
                  <c:v>93.68</c:v>
                </c:pt>
                <c:pt idx="149">
                  <c:v>79.040000000000006</c:v>
                </c:pt>
                <c:pt idx="150">
                  <c:v>66.87</c:v>
                </c:pt>
                <c:pt idx="151">
                  <c:v>58.33</c:v>
                </c:pt>
                <c:pt idx="152">
                  <c:v>52.07</c:v>
                </c:pt>
                <c:pt idx="153">
                  <c:v>45.66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424-46F0-BD2D-EE6AAAE60383}"/>
            </c:ext>
          </c:extLst>
        </c:ser>
        <c:ser>
          <c:idx val="3"/>
          <c:order val="3"/>
          <c:tx>
            <c:strRef>
              <c:f>'DESEMPEÑO 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TEMP1'!$BE$31:$BE$184</c:f>
              <c:numCache>
                <c:formatCode>0.0</c:formatCode>
                <c:ptCount val="154"/>
                <c:pt idx="0">
                  <c:v>24.92</c:v>
                </c:pt>
                <c:pt idx="1">
                  <c:v>24.82</c:v>
                </c:pt>
                <c:pt idx="2">
                  <c:v>24.740000000000002</c:v>
                </c:pt>
                <c:pt idx="3">
                  <c:v>24.66</c:v>
                </c:pt>
                <c:pt idx="4">
                  <c:v>24.580000000000002</c:v>
                </c:pt>
                <c:pt idx="5">
                  <c:v>24.5</c:v>
                </c:pt>
                <c:pt idx="6">
                  <c:v>24.43</c:v>
                </c:pt>
                <c:pt idx="7">
                  <c:v>24.36</c:v>
                </c:pt>
                <c:pt idx="8">
                  <c:v>24.29</c:v>
                </c:pt>
                <c:pt idx="9">
                  <c:v>24.21</c:v>
                </c:pt>
                <c:pt idx="10">
                  <c:v>24.14</c:v>
                </c:pt>
                <c:pt idx="11">
                  <c:v>24.080000000000002</c:v>
                </c:pt>
                <c:pt idx="12">
                  <c:v>24.02</c:v>
                </c:pt>
                <c:pt idx="13">
                  <c:v>23.95</c:v>
                </c:pt>
                <c:pt idx="14">
                  <c:v>23.89</c:v>
                </c:pt>
                <c:pt idx="15">
                  <c:v>24.150000000000002</c:v>
                </c:pt>
                <c:pt idx="16">
                  <c:v>24.89</c:v>
                </c:pt>
                <c:pt idx="17">
                  <c:v>25.810000000000002</c:v>
                </c:pt>
                <c:pt idx="18">
                  <c:v>26.77</c:v>
                </c:pt>
                <c:pt idx="19">
                  <c:v>27.76</c:v>
                </c:pt>
                <c:pt idx="20">
                  <c:v>28.75</c:v>
                </c:pt>
                <c:pt idx="21">
                  <c:v>29.740000000000002</c:v>
                </c:pt>
                <c:pt idx="22">
                  <c:v>30.720000000000002</c:v>
                </c:pt>
                <c:pt idx="23">
                  <c:v>31.720000000000002</c:v>
                </c:pt>
                <c:pt idx="24">
                  <c:v>32.729999999999997</c:v>
                </c:pt>
                <c:pt idx="25">
                  <c:v>33.909999999999997</c:v>
                </c:pt>
                <c:pt idx="26">
                  <c:v>36.199999999999996</c:v>
                </c:pt>
                <c:pt idx="27">
                  <c:v>40.879999999999995</c:v>
                </c:pt>
                <c:pt idx="28">
                  <c:v>46.849999999999994</c:v>
                </c:pt>
                <c:pt idx="29">
                  <c:v>53.26</c:v>
                </c:pt>
                <c:pt idx="30">
                  <c:v>59.849999999999994</c:v>
                </c:pt>
                <c:pt idx="31">
                  <c:v>66.19</c:v>
                </c:pt>
                <c:pt idx="32">
                  <c:v>72.149999999999991</c:v>
                </c:pt>
                <c:pt idx="33">
                  <c:v>77.709999999999994</c:v>
                </c:pt>
                <c:pt idx="34">
                  <c:v>82.57</c:v>
                </c:pt>
                <c:pt idx="35">
                  <c:v>87.09</c:v>
                </c:pt>
                <c:pt idx="36">
                  <c:v>91.53</c:v>
                </c:pt>
                <c:pt idx="37">
                  <c:v>95.25</c:v>
                </c:pt>
                <c:pt idx="38">
                  <c:v>97.22</c:v>
                </c:pt>
                <c:pt idx="39">
                  <c:v>99.789999999999992</c:v>
                </c:pt>
                <c:pt idx="40">
                  <c:v>100.28</c:v>
                </c:pt>
                <c:pt idx="41">
                  <c:v>101.89</c:v>
                </c:pt>
                <c:pt idx="42">
                  <c:v>103.77</c:v>
                </c:pt>
                <c:pt idx="43">
                  <c:v>106</c:v>
                </c:pt>
                <c:pt idx="44">
                  <c:v>107.11</c:v>
                </c:pt>
                <c:pt idx="45">
                  <c:v>108.61</c:v>
                </c:pt>
                <c:pt idx="46">
                  <c:v>109.75999999999999</c:v>
                </c:pt>
                <c:pt idx="47">
                  <c:v>110.92999999999999</c:v>
                </c:pt>
                <c:pt idx="48">
                  <c:v>112.03999999999999</c:v>
                </c:pt>
                <c:pt idx="49">
                  <c:v>113.09</c:v>
                </c:pt>
                <c:pt idx="50">
                  <c:v>114.06</c:v>
                </c:pt>
                <c:pt idx="51">
                  <c:v>115.41</c:v>
                </c:pt>
                <c:pt idx="52">
                  <c:v>116.61</c:v>
                </c:pt>
                <c:pt idx="53">
                  <c:v>117.21</c:v>
                </c:pt>
                <c:pt idx="54">
                  <c:v>117.78</c:v>
                </c:pt>
                <c:pt idx="55">
                  <c:v>118.17999999999999</c:v>
                </c:pt>
                <c:pt idx="56">
                  <c:v>118.58</c:v>
                </c:pt>
                <c:pt idx="57">
                  <c:v>118.86</c:v>
                </c:pt>
                <c:pt idx="58">
                  <c:v>119.14999999999999</c:v>
                </c:pt>
                <c:pt idx="59">
                  <c:v>119.39999999999999</c:v>
                </c:pt>
                <c:pt idx="60">
                  <c:v>119.57</c:v>
                </c:pt>
                <c:pt idx="61">
                  <c:v>119.78999999999999</c:v>
                </c:pt>
                <c:pt idx="62">
                  <c:v>119.92999999999999</c:v>
                </c:pt>
                <c:pt idx="63">
                  <c:v>120.14</c:v>
                </c:pt>
                <c:pt idx="64">
                  <c:v>120.25</c:v>
                </c:pt>
                <c:pt idx="65">
                  <c:v>120.36</c:v>
                </c:pt>
                <c:pt idx="66">
                  <c:v>120.50999999999999</c:v>
                </c:pt>
                <c:pt idx="67">
                  <c:v>120.56</c:v>
                </c:pt>
                <c:pt idx="68">
                  <c:v>120.69</c:v>
                </c:pt>
                <c:pt idx="69">
                  <c:v>120.74</c:v>
                </c:pt>
                <c:pt idx="70">
                  <c:v>120.8</c:v>
                </c:pt>
                <c:pt idx="71">
                  <c:v>120.86999999999999</c:v>
                </c:pt>
                <c:pt idx="72">
                  <c:v>120.92</c:v>
                </c:pt>
                <c:pt idx="73">
                  <c:v>120.97</c:v>
                </c:pt>
                <c:pt idx="74">
                  <c:v>121.02</c:v>
                </c:pt>
                <c:pt idx="75">
                  <c:v>121.03999999999999</c:v>
                </c:pt>
                <c:pt idx="76">
                  <c:v>121.11999999999999</c:v>
                </c:pt>
                <c:pt idx="77">
                  <c:v>121.09</c:v>
                </c:pt>
                <c:pt idx="78">
                  <c:v>121.17</c:v>
                </c:pt>
                <c:pt idx="79">
                  <c:v>121.14</c:v>
                </c:pt>
                <c:pt idx="80">
                  <c:v>121.23</c:v>
                </c:pt>
                <c:pt idx="81">
                  <c:v>121.19</c:v>
                </c:pt>
                <c:pt idx="82">
                  <c:v>121.28</c:v>
                </c:pt>
                <c:pt idx="83">
                  <c:v>121.25999999999999</c:v>
                </c:pt>
                <c:pt idx="84">
                  <c:v>121.34</c:v>
                </c:pt>
                <c:pt idx="85">
                  <c:v>121.31</c:v>
                </c:pt>
                <c:pt idx="86">
                  <c:v>121.38</c:v>
                </c:pt>
                <c:pt idx="87">
                  <c:v>121.36</c:v>
                </c:pt>
                <c:pt idx="88">
                  <c:v>121.42</c:v>
                </c:pt>
                <c:pt idx="89">
                  <c:v>121.41</c:v>
                </c:pt>
                <c:pt idx="90">
                  <c:v>121.45</c:v>
                </c:pt>
                <c:pt idx="91">
                  <c:v>121.47</c:v>
                </c:pt>
                <c:pt idx="92">
                  <c:v>121.47</c:v>
                </c:pt>
                <c:pt idx="93">
                  <c:v>121.52</c:v>
                </c:pt>
                <c:pt idx="94">
                  <c:v>121.5</c:v>
                </c:pt>
                <c:pt idx="95">
                  <c:v>121.56</c:v>
                </c:pt>
                <c:pt idx="96">
                  <c:v>121.53999999999999</c:v>
                </c:pt>
                <c:pt idx="97">
                  <c:v>121.6</c:v>
                </c:pt>
                <c:pt idx="98">
                  <c:v>121.58</c:v>
                </c:pt>
                <c:pt idx="99">
                  <c:v>121.63</c:v>
                </c:pt>
                <c:pt idx="100">
                  <c:v>121.61999999999999</c:v>
                </c:pt>
                <c:pt idx="101">
                  <c:v>121.67</c:v>
                </c:pt>
                <c:pt idx="102">
                  <c:v>121.64</c:v>
                </c:pt>
                <c:pt idx="103">
                  <c:v>121.69</c:v>
                </c:pt>
                <c:pt idx="104">
                  <c:v>121.67999999999999</c:v>
                </c:pt>
                <c:pt idx="105">
                  <c:v>121.72</c:v>
                </c:pt>
                <c:pt idx="106">
                  <c:v>121.71</c:v>
                </c:pt>
                <c:pt idx="107">
                  <c:v>121.75</c:v>
                </c:pt>
                <c:pt idx="108">
                  <c:v>121.75</c:v>
                </c:pt>
                <c:pt idx="109">
                  <c:v>121.78</c:v>
                </c:pt>
                <c:pt idx="110">
                  <c:v>121.78</c:v>
                </c:pt>
                <c:pt idx="111">
                  <c:v>121.8</c:v>
                </c:pt>
                <c:pt idx="112">
                  <c:v>121.82</c:v>
                </c:pt>
                <c:pt idx="113">
                  <c:v>121.82</c:v>
                </c:pt>
                <c:pt idx="114">
                  <c:v>121.85</c:v>
                </c:pt>
                <c:pt idx="115">
                  <c:v>121.84</c:v>
                </c:pt>
                <c:pt idx="116">
                  <c:v>121.89999999999999</c:v>
                </c:pt>
                <c:pt idx="117">
                  <c:v>121.86</c:v>
                </c:pt>
                <c:pt idx="118">
                  <c:v>121.91</c:v>
                </c:pt>
                <c:pt idx="119">
                  <c:v>121.89999999999999</c:v>
                </c:pt>
                <c:pt idx="120">
                  <c:v>121.92999999999999</c:v>
                </c:pt>
                <c:pt idx="121">
                  <c:v>121.94</c:v>
                </c:pt>
                <c:pt idx="122">
                  <c:v>121.95</c:v>
                </c:pt>
                <c:pt idx="123">
                  <c:v>121.96</c:v>
                </c:pt>
                <c:pt idx="124">
                  <c:v>121.96</c:v>
                </c:pt>
                <c:pt idx="125">
                  <c:v>121.98</c:v>
                </c:pt>
                <c:pt idx="126">
                  <c:v>121.97</c:v>
                </c:pt>
                <c:pt idx="127">
                  <c:v>122</c:v>
                </c:pt>
                <c:pt idx="128">
                  <c:v>121.97</c:v>
                </c:pt>
                <c:pt idx="129">
                  <c:v>122.00999999999999</c:v>
                </c:pt>
                <c:pt idx="130">
                  <c:v>121.98</c:v>
                </c:pt>
                <c:pt idx="131">
                  <c:v>122.00999999999999</c:v>
                </c:pt>
                <c:pt idx="132">
                  <c:v>121.99</c:v>
                </c:pt>
                <c:pt idx="133">
                  <c:v>121.77</c:v>
                </c:pt>
                <c:pt idx="134">
                  <c:v>121.17</c:v>
                </c:pt>
                <c:pt idx="135">
                  <c:v>120.27</c:v>
                </c:pt>
                <c:pt idx="136">
                  <c:v>119.17999999999999</c:v>
                </c:pt>
                <c:pt idx="137">
                  <c:v>118.07</c:v>
                </c:pt>
                <c:pt idx="138">
                  <c:v>117</c:v>
                </c:pt>
                <c:pt idx="139">
                  <c:v>116.03999999999999</c:v>
                </c:pt>
                <c:pt idx="140">
                  <c:v>115.17</c:v>
                </c:pt>
                <c:pt idx="141">
                  <c:v>114.39</c:v>
                </c:pt>
                <c:pt idx="142">
                  <c:v>113.66</c:v>
                </c:pt>
                <c:pt idx="143">
                  <c:v>112.77</c:v>
                </c:pt>
                <c:pt idx="144">
                  <c:v>111.33</c:v>
                </c:pt>
                <c:pt idx="145">
                  <c:v>109.11999999999999</c:v>
                </c:pt>
                <c:pt idx="146">
                  <c:v>106.57</c:v>
                </c:pt>
                <c:pt idx="147">
                  <c:v>103.77</c:v>
                </c:pt>
                <c:pt idx="148">
                  <c:v>100.91</c:v>
                </c:pt>
                <c:pt idx="149">
                  <c:v>97.899999999999991</c:v>
                </c:pt>
                <c:pt idx="150">
                  <c:v>87.27</c:v>
                </c:pt>
                <c:pt idx="151">
                  <c:v>75.009999999999991</c:v>
                </c:pt>
                <c:pt idx="152">
                  <c:v>65.3</c:v>
                </c:pt>
                <c:pt idx="153">
                  <c:v>50.989999999999995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424-46F0-BD2D-EE6AAAE60383}"/>
            </c:ext>
          </c:extLst>
        </c:ser>
        <c:ser>
          <c:idx val="4"/>
          <c:order val="4"/>
          <c:tx>
            <c:strRef>
              <c:f>'DESEMPEÑO 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TEMP1'!$BF$31:$BF$184</c:f>
              <c:numCache>
                <c:formatCode>0.0</c:formatCode>
                <c:ptCount val="154"/>
                <c:pt idx="0">
                  <c:v>26.8</c:v>
                </c:pt>
                <c:pt idx="1">
                  <c:v>26.72</c:v>
                </c:pt>
                <c:pt idx="2">
                  <c:v>26.64</c:v>
                </c:pt>
                <c:pt idx="3">
                  <c:v>26.56</c:v>
                </c:pt>
                <c:pt idx="4">
                  <c:v>26.48</c:v>
                </c:pt>
                <c:pt idx="5">
                  <c:v>26.41</c:v>
                </c:pt>
                <c:pt idx="6">
                  <c:v>26.34</c:v>
                </c:pt>
                <c:pt idx="7">
                  <c:v>26.26</c:v>
                </c:pt>
                <c:pt idx="8">
                  <c:v>26.19</c:v>
                </c:pt>
                <c:pt idx="9">
                  <c:v>26.12</c:v>
                </c:pt>
                <c:pt idx="10">
                  <c:v>26.06</c:v>
                </c:pt>
                <c:pt idx="11">
                  <c:v>25.99</c:v>
                </c:pt>
                <c:pt idx="12">
                  <c:v>25.93</c:v>
                </c:pt>
                <c:pt idx="13">
                  <c:v>25.87</c:v>
                </c:pt>
                <c:pt idx="14">
                  <c:v>25.81</c:v>
                </c:pt>
                <c:pt idx="15">
                  <c:v>26.08</c:v>
                </c:pt>
                <c:pt idx="16">
                  <c:v>26.74</c:v>
                </c:pt>
                <c:pt idx="17">
                  <c:v>27.56</c:v>
                </c:pt>
                <c:pt idx="18">
                  <c:v>28.46</c:v>
                </c:pt>
                <c:pt idx="19">
                  <c:v>29.41</c:v>
                </c:pt>
                <c:pt idx="20">
                  <c:v>30.4</c:v>
                </c:pt>
                <c:pt idx="21">
                  <c:v>31.46</c:v>
                </c:pt>
                <c:pt idx="22">
                  <c:v>32.54</c:v>
                </c:pt>
                <c:pt idx="23">
                  <c:v>33.64</c:v>
                </c:pt>
                <c:pt idx="24">
                  <c:v>34.74</c:v>
                </c:pt>
                <c:pt idx="25">
                  <c:v>35.96</c:v>
                </c:pt>
                <c:pt idx="26">
                  <c:v>38.479999999999997</c:v>
                </c:pt>
                <c:pt idx="27">
                  <c:v>43.38</c:v>
                </c:pt>
                <c:pt idx="28">
                  <c:v>49.49</c:v>
                </c:pt>
                <c:pt idx="29">
                  <c:v>56.08</c:v>
                </c:pt>
                <c:pt idx="30">
                  <c:v>62.69</c:v>
                </c:pt>
                <c:pt idx="31">
                  <c:v>69.099999999999994</c:v>
                </c:pt>
                <c:pt idx="32">
                  <c:v>74.989999999999995</c:v>
                </c:pt>
                <c:pt idx="33">
                  <c:v>80.209999999999994</c:v>
                </c:pt>
                <c:pt idx="34">
                  <c:v>85.06</c:v>
                </c:pt>
                <c:pt idx="35">
                  <c:v>89.47</c:v>
                </c:pt>
                <c:pt idx="36">
                  <c:v>92.64</c:v>
                </c:pt>
                <c:pt idx="37">
                  <c:v>94.75</c:v>
                </c:pt>
                <c:pt idx="38">
                  <c:v>97.92</c:v>
                </c:pt>
                <c:pt idx="39">
                  <c:v>100.67</c:v>
                </c:pt>
                <c:pt idx="40">
                  <c:v>101.53</c:v>
                </c:pt>
                <c:pt idx="41">
                  <c:v>103.01</c:v>
                </c:pt>
                <c:pt idx="42">
                  <c:v>105.19</c:v>
                </c:pt>
                <c:pt idx="43">
                  <c:v>106.93</c:v>
                </c:pt>
                <c:pt idx="44">
                  <c:v>108.28</c:v>
                </c:pt>
                <c:pt idx="45">
                  <c:v>109.5</c:v>
                </c:pt>
                <c:pt idx="46">
                  <c:v>110.34</c:v>
                </c:pt>
                <c:pt idx="47">
                  <c:v>111.42</c:v>
                </c:pt>
                <c:pt idx="48">
                  <c:v>112.36</c:v>
                </c:pt>
                <c:pt idx="49">
                  <c:v>113.26</c:v>
                </c:pt>
                <c:pt idx="50">
                  <c:v>114.15</c:v>
                </c:pt>
                <c:pt idx="51">
                  <c:v>116.23</c:v>
                </c:pt>
                <c:pt idx="52">
                  <c:v>117.22</c:v>
                </c:pt>
                <c:pt idx="53">
                  <c:v>117.77</c:v>
                </c:pt>
                <c:pt idx="54">
                  <c:v>118.25</c:v>
                </c:pt>
                <c:pt idx="55">
                  <c:v>118.59</c:v>
                </c:pt>
                <c:pt idx="56">
                  <c:v>118.93</c:v>
                </c:pt>
                <c:pt idx="57">
                  <c:v>119.16</c:v>
                </c:pt>
                <c:pt idx="58">
                  <c:v>119.43</c:v>
                </c:pt>
                <c:pt idx="59">
                  <c:v>119.6</c:v>
                </c:pt>
                <c:pt idx="60">
                  <c:v>119.78</c:v>
                </c:pt>
                <c:pt idx="61">
                  <c:v>119.94</c:v>
                </c:pt>
                <c:pt idx="62">
                  <c:v>120.07</c:v>
                </c:pt>
                <c:pt idx="63">
                  <c:v>120.23</c:v>
                </c:pt>
                <c:pt idx="64">
                  <c:v>120.32</c:v>
                </c:pt>
                <c:pt idx="65">
                  <c:v>120.43</c:v>
                </c:pt>
                <c:pt idx="66">
                  <c:v>120.53</c:v>
                </c:pt>
                <c:pt idx="67">
                  <c:v>120.57</c:v>
                </c:pt>
                <c:pt idx="68">
                  <c:v>120.68</c:v>
                </c:pt>
                <c:pt idx="69">
                  <c:v>120.72</c:v>
                </c:pt>
                <c:pt idx="70">
                  <c:v>120.79</c:v>
                </c:pt>
                <c:pt idx="71">
                  <c:v>120.83</c:v>
                </c:pt>
                <c:pt idx="72">
                  <c:v>120.9</c:v>
                </c:pt>
                <c:pt idx="73">
                  <c:v>120.92</c:v>
                </c:pt>
                <c:pt idx="74">
                  <c:v>121</c:v>
                </c:pt>
                <c:pt idx="75">
                  <c:v>121</c:v>
                </c:pt>
                <c:pt idx="76">
                  <c:v>121.09</c:v>
                </c:pt>
                <c:pt idx="77">
                  <c:v>121.07</c:v>
                </c:pt>
                <c:pt idx="78">
                  <c:v>121.13</c:v>
                </c:pt>
                <c:pt idx="79">
                  <c:v>121.12</c:v>
                </c:pt>
                <c:pt idx="80">
                  <c:v>121.18</c:v>
                </c:pt>
                <c:pt idx="81">
                  <c:v>121.17</c:v>
                </c:pt>
                <c:pt idx="82">
                  <c:v>121.23</c:v>
                </c:pt>
                <c:pt idx="83">
                  <c:v>121.22</c:v>
                </c:pt>
                <c:pt idx="84">
                  <c:v>121.28</c:v>
                </c:pt>
                <c:pt idx="85">
                  <c:v>121.26</c:v>
                </c:pt>
                <c:pt idx="86">
                  <c:v>121.32</c:v>
                </c:pt>
                <c:pt idx="87">
                  <c:v>121.3</c:v>
                </c:pt>
                <c:pt idx="88">
                  <c:v>121.36</c:v>
                </c:pt>
                <c:pt idx="89">
                  <c:v>121.34</c:v>
                </c:pt>
                <c:pt idx="90">
                  <c:v>121.38</c:v>
                </c:pt>
                <c:pt idx="91">
                  <c:v>121.38</c:v>
                </c:pt>
                <c:pt idx="92">
                  <c:v>121.39</c:v>
                </c:pt>
                <c:pt idx="93">
                  <c:v>121.42</c:v>
                </c:pt>
                <c:pt idx="94">
                  <c:v>121.41</c:v>
                </c:pt>
                <c:pt idx="95">
                  <c:v>121.46</c:v>
                </c:pt>
                <c:pt idx="96">
                  <c:v>121.44</c:v>
                </c:pt>
                <c:pt idx="97">
                  <c:v>121.5</c:v>
                </c:pt>
                <c:pt idx="98">
                  <c:v>121.47</c:v>
                </c:pt>
                <c:pt idx="99">
                  <c:v>121.52</c:v>
                </c:pt>
                <c:pt idx="100">
                  <c:v>121.49</c:v>
                </c:pt>
                <c:pt idx="101">
                  <c:v>121.54</c:v>
                </c:pt>
                <c:pt idx="102">
                  <c:v>121.51</c:v>
                </c:pt>
                <c:pt idx="103">
                  <c:v>121.56</c:v>
                </c:pt>
                <c:pt idx="104">
                  <c:v>121.54</c:v>
                </c:pt>
                <c:pt idx="105">
                  <c:v>121.59</c:v>
                </c:pt>
                <c:pt idx="106">
                  <c:v>121.56</c:v>
                </c:pt>
                <c:pt idx="107">
                  <c:v>121.62</c:v>
                </c:pt>
                <c:pt idx="108">
                  <c:v>121.59</c:v>
                </c:pt>
                <c:pt idx="109">
                  <c:v>121.64</c:v>
                </c:pt>
                <c:pt idx="110">
                  <c:v>121.62</c:v>
                </c:pt>
                <c:pt idx="111">
                  <c:v>121.66</c:v>
                </c:pt>
                <c:pt idx="112">
                  <c:v>121.65</c:v>
                </c:pt>
                <c:pt idx="113">
                  <c:v>121.68</c:v>
                </c:pt>
                <c:pt idx="114">
                  <c:v>121.69</c:v>
                </c:pt>
                <c:pt idx="115">
                  <c:v>121.69</c:v>
                </c:pt>
                <c:pt idx="116">
                  <c:v>121.73</c:v>
                </c:pt>
                <c:pt idx="117">
                  <c:v>121.7</c:v>
                </c:pt>
                <c:pt idx="118">
                  <c:v>121.75</c:v>
                </c:pt>
                <c:pt idx="119">
                  <c:v>121.72</c:v>
                </c:pt>
                <c:pt idx="120">
                  <c:v>121.76</c:v>
                </c:pt>
                <c:pt idx="121">
                  <c:v>121.75</c:v>
                </c:pt>
                <c:pt idx="122">
                  <c:v>121.78</c:v>
                </c:pt>
                <c:pt idx="123">
                  <c:v>121.76</c:v>
                </c:pt>
                <c:pt idx="124">
                  <c:v>121.79</c:v>
                </c:pt>
                <c:pt idx="125">
                  <c:v>121.79</c:v>
                </c:pt>
                <c:pt idx="126">
                  <c:v>121.8</c:v>
                </c:pt>
                <c:pt idx="127">
                  <c:v>121.82</c:v>
                </c:pt>
                <c:pt idx="128">
                  <c:v>121.8</c:v>
                </c:pt>
                <c:pt idx="129">
                  <c:v>121.84</c:v>
                </c:pt>
                <c:pt idx="130">
                  <c:v>121.82</c:v>
                </c:pt>
                <c:pt idx="131">
                  <c:v>121.86</c:v>
                </c:pt>
                <c:pt idx="132">
                  <c:v>121.83</c:v>
                </c:pt>
                <c:pt idx="133">
                  <c:v>121.67</c:v>
                </c:pt>
                <c:pt idx="134">
                  <c:v>121.12</c:v>
                </c:pt>
                <c:pt idx="135">
                  <c:v>120.2</c:v>
                </c:pt>
                <c:pt idx="136">
                  <c:v>119.09</c:v>
                </c:pt>
                <c:pt idx="137">
                  <c:v>117.94</c:v>
                </c:pt>
                <c:pt idx="138">
                  <c:v>116.81</c:v>
                </c:pt>
                <c:pt idx="139">
                  <c:v>115.73</c:v>
                </c:pt>
                <c:pt idx="140">
                  <c:v>114.73</c:v>
                </c:pt>
                <c:pt idx="141">
                  <c:v>113.8</c:v>
                </c:pt>
                <c:pt idx="142">
                  <c:v>112.9</c:v>
                </c:pt>
                <c:pt idx="143">
                  <c:v>111.99</c:v>
                </c:pt>
                <c:pt idx="144">
                  <c:v>110.9</c:v>
                </c:pt>
                <c:pt idx="145">
                  <c:v>109.14</c:v>
                </c:pt>
                <c:pt idx="146">
                  <c:v>106.17</c:v>
                </c:pt>
                <c:pt idx="147">
                  <c:v>102.77</c:v>
                </c:pt>
                <c:pt idx="148">
                  <c:v>99.26</c:v>
                </c:pt>
                <c:pt idx="149">
                  <c:v>95.68</c:v>
                </c:pt>
                <c:pt idx="150">
                  <c:v>90.23</c:v>
                </c:pt>
                <c:pt idx="151">
                  <c:v>76.61</c:v>
                </c:pt>
                <c:pt idx="152">
                  <c:v>66.489999999999995</c:v>
                </c:pt>
                <c:pt idx="153">
                  <c:v>55.28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424-46F0-BD2D-EE6AAAE60383}"/>
            </c:ext>
          </c:extLst>
        </c:ser>
        <c:ser>
          <c:idx val="5"/>
          <c:order val="5"/>
          <c:tx>
            <c:strRef>
              <c:f>'DESEMPEÑO  TEMP1'!$BG$30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TEMP1'!$BG$31:$BG$184</c:f>
              <c:numCache>
                <c:formatCode>0.0</c:formatCode>
                <c:ptCount val="154"/>
                <c:pt idx="0">
                  <c:v>29.51</c:v>
                </c:pt>
                <c:pt idx="1">
                  <c:v>29.34</c:v>
                </c:pt>
                <c:pt idx="2">
                  <c:v>29.17</c:v>
                </c:pt>
                <c:pt idx="3">
                  <c:v>28.99</c:v>
                </c:pt>
                <c:pt idx="4">
                  <c:v>28.84</c:v>
                </c:pt>
                <c:pt idx="5">
                  <c:v>28.68</c:v>
                </c:pt>
                <c:pt idx="6">
                  <c:v>28.53</c:v>
                </c:pt>
                <c:pt idx="7">
                  <c:v>28.39</c:v>
                </c:pt>
                <c:pt idx="8">
                  <c:v>28.24</c:v>
                </c:pt>
                <c:pt idx="9">
                  <c:v>28.11</c:v>
                </c:pt>
                <c:pt idx="10">
                  <c:v>27.97</c:v>
                </c:pt>
                <c:pt idx="11">
                  <c:v>27.84</c:v>
                </c:pt>
                <c:pt idx="12">
                  <c:v>27.72</c:v>
                </c:pt>
                <c:pt idx="13">
                  <c:v>27.5</c:v>
                </c:pt>
                <c:pt idx="14">
                  <c:v>27.53</c:v>
                </c:pt>
                <c:pt idx="15">
                  <c:v>27.72</c:v>
                </c:pt>
                <c:pt idx="16">
                  <c:v>27.99</c:v>
                </c:pt>
                <c:pt idx="17">
                  <c:v>28.35</c:v>
                </c:pt>
                <c:pt idx="18">
                  <c:v>28.82</c:v>
                </c:pt>
                <c:pt idx="19">
                  <c:v>29.43</c:v>
                </c:pt>
                <c:pt idx="20">
                  <c:v>30.09</c:v>
                </c:pt>
                <c:pt idx="21">
                  <c:v>30.82</c:v>
                </c:pt>
                <c:pt idx="22">
                  <c:v>31.7</c:v>
                </c:pt>
                <c:pt idx="23">
                  <c:v>32.44</c:v>
                </c:pt>
                <c:pt idx="24">
                  <c:v>33.36</c:v>
                </c:pt>
                <c:pt idx="25">
                  <c:v>34.78</c:v>
                </c:pt>
                <c:pt idx="26">
                  <c:v>41.2</c:v>
                </c:pt>
                <c:pt idx="27">
                  <c:v>51.2</c:v>
                </c:pt>
                <c:pt idx="28">
                  <c:v>60.17</c:v>
                </c:pt>
                <c:pt idx="29">
                  <c:v>67.48</c:v>
                </c:pt>
                <c:pt idx="30">
                  <c:v>73.56</c:v>
                </c:pt>
                <c:pt idx="31">
                  <c:v>78.36</c:v>
                </c:pt>
                <c:pt idx="32">
                  <c:v>82.4</c:v>
                </c:pt>
                <c:pt idx="33">
                  <c:v>85.92</c:v>
                </c:pt>
                <c:pt idx="34">
                  <c:v>89.1</c:v>
                </c:pt>
                <c:pt idx="35">
                  <c:v>92.14</c:v>
                </c:pt>
                <c:pt idx="36">
                  <c:v>95.12</c:v>
                </c:pt>
                <c:pt idx="37">
                  <c:v>98.05</c:v>
                </c:pt>
                <c:pt idx="38">
                  <c:v>100.46</c:v>
                </c:pt>
                <c:pt idx="39">
                  <c:v>101.95</c:v>
                </c:pt>
                <c:pt idx="40">
                  <c:v>103.43</c:v>
                </c:pt>
                <c:pt idx="41">
                  <c:v>104.76</c:v>
                </c:pt>
                <c:pt idx="42">
                  <c:v>105.47</c:v>
                </c:pt>
                <c:pt idx="43">
                  <c:v>106.79</c:v>
                </c:pt>
                <c:pt idx="44">
                  <c:v>107.24</c:v>
                </c:pt>
                <c:pt idx="45">
                  <c:v>108.45</c:v>
                </c:pt>
                <c:pt idx="46">
                  <c:v>108.93</c:v>
                </c:pt>
                <c:pt idx="47">
                  <c:v>109.79</c:v>
                </c:pt>
                <c:pt idx="48">
                  <c:v>110.42</c:v>
                </c:pt>
                <c:pt idx="49">
                  <c:v>110.89</c:v>
                </c:pt>
                <c:pt idx="50">
                  <c:v>111.59</c:v>
                </c:pt>
                <c:pt idx="51">
                  <c:v>111.82</c:v>
                </c:pt>
                <c:pt idx="52">
                  <c:v>112.62</c:v>
                </c:pt>
                <c:pt idx="53">
                  <c:v>112.76</c:v>
                </c:pt>
                <c:pt idx="54">
                  <c:v>113.55</c:v>
                </c:pt>
                <c:pt idx="55">
                  <c:v>113.72</c:v>
                </c:pt>
                <c:pt idx="56">
                  <c:v>114.33</c:v>
                </c:pt>
                <c:pt idx="57">
                  <c:v>114.66</c:v>
                </c:pt>
                <c:pt idx="58">
                  <c:v>115.04</c:v>
                </c:pt>
                <c:pt idx="59">
                  <c:v>115.51</c:v>
                </c:pt>
                <c:pt idx="60">
                  <c:v>115.6</c:v>
                </c:pt>
                <c:pt idx="61">
                  <c:v>116.23</c:v>
                </c:pt>
                <c:pt idx="62">
                  <c:v>116.25</c:v>
                </c:pt>
                <c:pt idx="63">
                  <c:v>116.76</c:v>
                </c:pt>
                <c:pt idx="64">
                  <c:v>117.05</c:v>
                </c:pt>
                <c:pt idx="65">
                  <c:v>117.16</c:v>
                </c:pt>
                <c:pt idx="66">
                  <c:v>117.63</c:v>
                </c:pt>
                <c:pt idx="67">
                  <c:v>117.63</c:v>
                </c:pt>
                <c:pt idx="68">
                  <c:v>118</c:v>
                </c:pt>
                <c:pt idx="69">
                  <c:v>118.26</c:v>
                </c:pt>
                <c:pt idx="70">
                  <c:v>118.31</c:v>
                </c:pt>
                <c:pt idx="71">
                  <c:v>118.62</c:v>
                </c:pt>
                <c:pt idx="72">
                  <c:v>118.67</c:v>
                </c:pt>
                <c:pt idx="73">
                  <c:v>118.94</c:v>
                </c:pt>
                <c:pt idx="74">
                  <c:v>119.03</c:v>
                </c:pt>
                <c:pt idx="75">
                  <c:v>119.16</c:v>
                </c:pt>
                <c:pt idx="76">
                  <c:v>119.43</c:v>
                </c:pt>
                <c:pt idx="77">
                  <c:v>119.35</c:v>
                </c:pt>
                <c:pt idx="78">
                  <c:v>119.72</c:v>
                </c:pt>
                <c:pt idx="79">
                  <c:v>119.61</c:v>
                </c:pt>
                <c:pt idx="80">
                  <c:v>119.97</c:v>
                </c:pt>
                <c:pt idx="81">
                  <c:v>119.87</c:v>
                </c:pt>
                <c:pt idx="82">
                  <c:v>120.21</c:v>
                </c:pt>
                <c:pt idx="83">
                  <c:v>120.1</c:v>
                </c:pt>
                <c:pt idx="84">
                  <c:v>120.42</c:v>
                </c:pt>
                <c:pt idx="85">
                  <c:v>120.3</c:v>
                </c:pt>
                <c:pt idx="86">
                  <c:v>120.6</c:v>
                </c:pt>
                <c:pt idx="87">
                  <c:v>120.54</c:v>
                </c:pt>
                <c:pt idx="88">
                  <c:v>120.73</c:v>
                </c:pt>
                <c:pt idx="89">
                  <c:v>120.79</c:v>
                </c:pt>
                <c:pt idx="90">
                  <c:v>120.82</c:v>
                </c:pt>
                <c:pt idx="91">
                  <c:v>121.01</c:v>
                </c:pt>
                <c:pt idx="92">
                  <c:v>120.87</c:v>
                </c:pt>
                <c:pt idx="93">
                  <c:v>121.13</c:v>
                </c:pt>
                <c:pt idx="94">
                  <c:v>120.98</c:v>
                </c:pt>
                <c:pt idx="95">
                  <c:v>121.21</c:v>
                </c:pt>
                <c:pt idx="96">
                  <c:v>121.16</c:v>
                </c:pt>
                <c:pt idx="97">
                  <c:v>121.3</c:v>
                </c:pt>
                <c:pt idx="98">
                  <c:v>121.26</c:v>
                </c:pt>
                <c:pt idx="99">
                  <c:v>121.36</c:v>
                </c:pt>
                <c:pt idx="100">
                  <c:v>121.35</c:v>
                </c:pt>
                <c:pt idx="101">
                  <c:v>121.44</c:v>
                </c:pt>
                <c:pt idx="102">
                  <c:v>121.4</c:v>
                </c:pt>
                <c:pt idx="103">
                  <c:v>121.52</c:v>
                </c:pt>
                <c:pt idx="104">
                  <c:v>121.51</c:v>
                </c:pt>
                <c:pt idx="105">
                  <c:v>121.58</c:v>
                </c:pt>
                <c:pt idx="106">
                  <c:v>121.58</c:v>
                </c:pt>
                <c:pt idx="107">
                  <c:v>121.63</c:v>
                </c:pt>
                <c:pt idx="108">
                  <c:v>121.68</c:v>
                </c:pt>
                <c:pt idx="109">
                  <c:v>121.67</c:v>
                </c:pt>
                <c:pt idx="110">
                  <c:v>121.77</c:v>
                </c:pt>
                <c:pt idx="111">
                  <c:v>121.69</c:v>
                </c:pt>
                <c:pt idx="112">
                  <c:v>121.85</c:v>
                </c:pt>
                <c:pt idx="113">
                  <c:v>121.7</c:v>
                </c:pt>
                <c:pt idx="114">
                  <c:v>121.9</c:v>
                </c:pt>
                <c:pt idx="115">
                  <c:v>121.71</c:v>
                </c:pt>
                <c:pt idx="116">
                  <c:v>121.91</c:v>
                </c:pt>
                <c:pt idx="117">
                  <c:v>121.78</c:v>
                </c:pt>
                <c:pt idx="118">
                  <c:v>121.91</c:v>
                </c:pt>
                <c:pt idx="119">
                  <c:v>121.88</c:v>
                </c:pt>
                <c:pt idx="120">
                  <c:v>121.9</c:v>
                </c:pt>
                <c:pt idx="121">
                  <c:v>121.98</c:v>
                </c:pt>
                <c:pt idx="122">
                  <c:v>121.89</c:v>
                </c:pt>
                <c:pt idx="123">
                  <c:v>122.01</c:v>
                </c:pt>
                <c:pt idx="124">
                  <c:v>121.89</c:v>
                </c:pt>
                <c:pt idx="125">
                  <c:v>122.05</c:v>
                </c:pt>
                <c:pt idx="126">
                  <c:v>121.88</c:v>
                </c:pt>
                <c:pt idx="127">
                  <c:v>122.06</c:v>
                </c:pt>
                <c:pt idx="128">
                  <c:v>121.88</c:v>
                </c:pt>
                <c:pt idx="129">
                  <c:v>122.08</c:v>
                </c:pt>
                <c:pt idx="130">
                  <c:v>121.92</c:v>
                </c:pt>
                <c:pt idx="131">
                  <c:v>122.07</c:v>
                </c:pt>
                <c:pt idx="132">
                  <c:v>122.02</c:v>
                </c:pt>
                <c:pt idx="133">
                  <c:v>121.57</c:v>
                </c:pt>
                <c:pt idx="134">
                  <c:v>120.79</c:v>
                </c:pt>
                <c:pt idx="135">
                  <c:v>119.93</c:v>
                </c:pt>
                <c:pt idx="136">
                  <c:v>119.19</c:v>
                </c:pt>
                <c:pt idx="137">
                  <c:v>118.61</c:v>
                </c:pt>
                <c:pt idx="138">
                  <c:v>118.06</c:v>
                </c:pt>
                <c:pt idx="139">
                  <c:v>117.56</c:v>
                </c:pt>
                <c:pt idx="140">
                  <c:v>117.15</c:v>
                </c:pt>
                <c:pt idx="141">
                  <c:v>116.77</c:v>
                </c:pt>
                <c:pt idx="142">
                  <c:v>116.2</c:v>
                </c:pt>
                <c:pt idx="143">
                  <c:v>115.21</c:v>
                </c:pt>
                <c:pt idx="144">
                  <c:v>113.29</c:v>
                </c:pt>
                <c:pt idx="145">
                  <c:v>111.04</c:v>
                </c:pt>
                <c:pt idx="146">
                  <c:v>108.9</c:v>
                </c:pt>
                <c:pt idx="147">
                  <c:v>106.68</c:v>
                </c:pt>
                <c:pt idx="148">
                  <c:v>104.48</c:v>
                </c:pt>
                <c:pt idx="149">
                  <c:v>97.27</c:v>
                </c:pt>
                <c:pt idx="150">
                  <c:v>77.03</c:v>
                </c:pt>
                <c:pt idx="151">
                  <c:v>69.87</c:v>
                </c:pt>
                <c:pt idx="152">
                  <c:v>66.02</c:v>
                </c:pt>
                <c:pt idx="153">
                  <c:v>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424-46F0-BD2D-EE6AAAE60383}"/>
            </c:ext>
          </c:extLst>
        </c:ser>
        <c:ser>
          <c:idx val="6"/>
          <c:order val="6"/>
          <c:tx>
            <c:strRef>
              <c:f>'DESEMPEÑO  TEMP1'!$BH$30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TEMP1'!$BH$31:$BH$184</c:f>
              <c:numCache>
                <c:formatCode>0.0</c:formatCode>
                <c:ptCount val="154"/>
                <c:pt idx="0">
                  <c:v>28.47</c:v>
                </c:pt>
                <c:pt idx="1">
                  <c:v>28.32</c:v>
                </c:pt>
                <c:pt idx="2">
                  <c:v>28.18</c:v>
                </c:pt>
                <c:pt idx="3">
                  <c:v>28.06</c:v>
                </c:pt>
                <c:pt idx="4">
                  <c:v>27.93</c:v>
                </c:pt>
                <c:pt idx="5">
                  <c:v>27.79</c:v>
                </c:pt>
                <c:pt idx="6">
                  <c:v>27.67</c:v>
                </c:pt>
                <c:pt idx="7">
                  <c:v>27.55</c:v>
                </c:pt>
                <c:pt idx="8">
                  <c:v>27.42</c:v>
                </c:pt>
                <c:pt idx="9">
                  <c:v>27.31</c:v>
                </c:pt>
                <c:pt idx="10">
                  <c:v>27.19</c:v>
                </c:pt>
                <c:pt idx="11">
                  <c:v>27.08</c:v>
                </c:pt>
                <c:pt idx="12">
                  <c:v>26.97</c:v>
                </c:pt>
                <c:pt idx="13">
                  <c:v>26.87</c:v>
                </c:pt>
                <c:pt idx="14">
                  <c:v>26.68</c:v>
                </c:pt>
                <c:pt idx="15">
                  <c:v>26.91</c:v>
                </c:pt>
                <c:pt idx="16">
                  <c:v>27.63</c:v>
                </c:pt>
                <c:pt idx="17">
                  <c:v>28.43</c:v>
                </c:pt>
                <c:pt idx="18">
                  <c:v>29.35</c:v>
                </c:pt>
                <c:pt idx="19">
                  <c:v>30.37</c:v>
                </c:pt>
                <c:pt idx="20">
                  <c:v>31.43</c:v>
                </c:pt>
                <c:pt idx="21">
                  <c:v>32.53</c:v>
                </c:pt>
                <c:pt idx="22">
                  <c:v>33.659999999999997</c:v>
                </c:pt>
                <c:pt idx="23">
                  <c:v>34.79</c:v>
                </c:pt>
                <c:pt idx="24">
                  <c:v>36.119999999999997</c:v>
                </c:pt>
                <c:pt idx="25">
                  <c:v>39.24</c:v>
                </c:pt>
                <c:pt idx="26">
                  <c:v>56.02</c:v>
                </c:pt>
                <c:pt idx="27">
                  <c:v>74.14</c:v>
                </c:pt>
                <c:pt idx="28">
                  <c:v>83.49</c:v>
                </c:pt>
                <c:pt idx="29">
                  <c:v>90.66</c:v>
                </c:pt>
                <c:pt idx="30">
                  <c:v>96.1</c:v>
                </c:pt>
                <c:pt idx="31">
                  <c:v>99.56</c:v>
                </c:pt>
                <c:pt idx="32">
                  <c:v>102.39</c:v>
                </c:pt>
                <c:pt idx="33">
                  <c:v>104.74</c:v>
                </c:pt>
                <c:pt idx="34">
                  <c:v>106.88</c:v>
                </c:pt>
                <c:pt idx="35">
                  <c:v>109.06</c:v>
                </c:pt>
                <c:pt idx="36">
                  <c:v>111.25</c:v>
                </c:pt>
                <c:pt idx="37">
                  <c:v>113.41</c:v>
                </c:pt>
                <c:pt idx="38">
                  <c:v>114.4</c:v>
                </c:pt>
                <c:pt idx="39">
                  <c:v>114.41</c:v>
                </c:pt>
                <c:pt idx="40">
                  <c:v>114.87</c:v>
                </c:pt>
                <c:pt idx="41">
                  <c:v>115.56</c:v>
                </c:pt>
                <c:pt idx="42">
                  <c:v>115.28</c:v>
                </c:pt>
                <c:pt idx="43">
                  <c:v>116.45</c:v>
                </c:pt>
                <c:pt idx="44">
                  <c:v>116.05</c:v>
                </c:pt>
                <c:pt idx="45">
                  <c:v>117.06</c:v>
                </c:pt>
                <c:pt idx="46">
                  <c:v>116.99</c:v>
                </c:pt>
                <c:pt idx="47">
                  <c:v>117.48</c:v>
                </c:pt>
                <c:pt idx="48">
                  <c:v>117.85</c:v>
                </c:pt>
                <c:pt idx="49">
                  <c:v>117.75</c:v>
                </c:pt>
                <c:pt idx="50">
                  <c:v>118.37</c:v>
                </c:pt>
                <c:pt idx="51">
                  <c:v>117.9</c:v>
                </c:pt>
                <c:pt idx="52">
                  <c:v>118.78</c:v>
                </c:pt>
                <c:pt idx="53">
                  <c:v>118.33</c:v>
                </c:pt>
                <c:pt idx="54">
                  <c:v>119.05</c:v>
                </c:pt>
                <c:pt idx="55">
                  <c:v>118.73</c:v>
                </c:pt>
                <c:pt idx="56">
                  <c:v>119.14</c:v>
                </c:pt>
                <c:pt idx="57">
                  <c:v>119.22</c:v>
                </c:pt>
                <c:pt idx="58">
                  <c:v>119.21</c:v>
                </c:pt>
                <c:pt idx="59">
                  <c:v>119.58</c:v>
                </c:pt>
                <c:pt idx="60">
                  <c:v>119.11</c:v>
                </c:pt>
                <c:pt idx="61">
                  <c:v>119.88</c:v>
                </c:pt>
                <c:pt idx="62">
                  <c:v>119.43</c:v>
                </c:pt>
                <c:pt idx="63">
                  <c:v>119.89</c:v>
                </c:pt>
                <c:pt idx="64">
                  <c:v>120.06</c:v>
                </c:pt>
                <c:pt idx="65">
                  <c:v>119.75</c:v>
                </c:pt>
                <c:pt idx="66">
                  <c:v>120.34</c:v>
                </c:pt>
                <c:pt idx="67">
                  <c:v>120.05</c:v>
                </c:pt>
                <c:pt idx="68">
                  <c:v>120.31</c:v>
                </c:pt>
                <c:pt idx="69">
                  <c:v>120.55</c:v>
                </c:pt>
                <c:pt idx="70">
                  <c:v>120.23</c:v>
                </c:pt>
                <c:pt idx="71">
                  <c:v>120.67</c:v>
                </c:pt>
                <c:pt idx="72">
                  <c:v>120.37</c:v>
                </c:pt>
                <c:pt idx="73">
                  <c:v>120.75</c:v>
                </c:pt>
                <c:pt idx="74">
                  <c:v>120.59</c:v>
                </c:pt>
                <c:pt idx="75">
                  <c:v>120.67</c:v>
                </c:pt>
                <c:pt idx="76">
                  <c:v>120.98</c:v>
                </c:pt>
                <c:pt idx="77">
                  <c:v>120.56</c:v>
                </c:pt>
                <c:pt idx="78">
                  <c:v>121.13</c:v>
                </c:pt>
                <c:pt idx="79">
                  <c:v>120.69</c:v>
                </c:pt>
                <c:pt idx="80">
                  <c:v>121.24</c:v>
                </c:pt>
                <c:pt idx="81">
                  <c:v>120.84</c:v>
                </c:pt>
                <c:pt idx="82">
                  <c:v>121.38</c:v>
                </c:pt>
                <c:pt idx="83">
                  <c:v>120.95</c:v>
                </c:pt>
                <c:pt idx="84">
                  <c:v>121.47</c:v>
                </c:pt>
                <c:pt idx="85">
                  <c:v>121.05</c:v>
                </c:pt>
                <c:pt idx="86">
                  <c:v>121.52</c:v>
                </c:pt>
                <c:pt idx="87">
                  <c:v>121.27</c:v>
                </c:pt>
                <c:pt idx="88">
                  <c:v>121.51</c:v>
                </c:pt>
                <c:pt idx="89">
                  <c:v>121.57</c:v>
                </c:pt>
                <c:pt idx="90">
                  <c:v>121.44</c:v>
                </c:pt>
                <c:pt idx="91">
                  <c:v>121.79</c:v>
                </c:pt>
                <c:pt idx="92">
                  <c:v>121.27</c:v>
                </c:pt>
                <c:pt idx="93">
                  <c:v>121.84</c:v>
                </c:pt>
                <c:pt idx="94">
                  <c:v>121.41</c:v>
                </c:pt>
                <c:pt idx="95">
                  <c:v>121.81</c:v>
                </c:pt>
                <c:pt idx="96">
                  <c:v>121.62</c:v>
                </c:pt>
                <c:pt idx="97">
                  <c:v>121.81</c:v>
                </c:pt>
                <c:pt idx="98">
                  <c:v>121.68</c:v>
                </c:pt>
                <c:pt idx="99">
                  <c:v>121.8</c:v>
                </c:pt>
                <c:pt idx="100">
                  <c:v>121.71</c:v>
                </c:pt>
                <c:pt idx="101">
                  <c:v>121.85</c:v>
                </c:pt>
                <c:pt idx="102">
                  <c:v>121.72</c:v>
                </c:pt>
                <c:pt idx="103">
                  <c:v>121.91</c:v>
                </c:pt>
                <c:pt idx="104">
                  <c:v>121.9</c:v>
                </c:pt>
                <c:pt idx="105">
                  <c:v>121.93</c:v>
                </c:pt>
                <c:pt idx="106">
                  <c:v>122.01</c:v>
                </c:pt>
                <c:pt idx="107">
                  <c:v>121.97</c:v>
                </c:pt>
                <c:pt idx="108">
                  <c:v>122.12</c:v>
                </c:pt>
                <c:pt idx="109">
                  <c:v>121.92</c:v>
                </c:pt>
                <c:pt idx="110">
                  <c:v>122.23</c:v>
                </c:pt>
                <c:pt idx="111">
                  <c:v>121.88</c:v>
                </c:pt>
                <c:pt idx="112">
                  <c:v>122.34</c:v>
                </c:pt>
                <c:pt idx="113">
                  <c:v>121.8</c:v>
                </c:pt>
                <c:pt idx="114">
                  <c:v>122.36</c:v>
                </c:pt>
                <c:pt idx="115">
                  <c:v>121.74</c:v>
                </c:pt>
                <c:pt idx="116">
                  <c:v>122.3</c:v>
                </c:pt>
                <c:pt idx="117">
                  <c:v>121.93</c:v>
                </c:pt>
                <c:pt idx="118">
                  <c:v>122.21</c:v>
                </c:pt>
                <c:pt idx="119">
                  <c:v>122.18</c:v>
                </c:pt>
                <c:pt idx="120">
                  <c:v>122.1</c:v>
                </c:pt>
                <c:pt idx="121">
                  <c:v>122.37</c:v>
                </c:pt>
                <c:pt idx="122">
                  <c:v>121.99</c:v>
                </c:pt>
                <c:pt idx="123">
                  <c:v>122.43</c:v>
                </c:pt>
                <c:pt idx="124">
                  <c:v>121.94</c:v>
                </c:pt>
                <c:pt idx="125">
                  <c:v>122.44</c:v>
                </c:pt>
                <c:pt idx="126">
                  <c:v>121.86</c:v>
                </c:pt>
                <c:pt idx="127">
                  <c:v>122.41</c:v>
                </c:pt>
                <c:pt idx="128">
                  <c:v>121.86</c:v>
                </c:pt>
                <c:pt idx="129">
                  <c:v>122.41</c:v>
                </c:pt>
                <c:pt idx="130">
                  <c:v>121.93</c:v>
                </c:pt>
                <c:pt idx="131">
                  <c:v>122.33</c:v>
                </c:pt>
                <c:pt idx="132">
                  <c:v>122.3</c:v>
                </c:pt>
                <c:pt idx="133">
                  <c:v>121.04</c:v>
                </c:pt>
                <c:pt idx="134">
                  <c:v>118.94</c:v>
                </c:pt>
                <c:pt idx="135">
                  <c:v>117.66</c:v>
                </c:pt>
                <c:pt idx="136">
                  <c:v>117.11</c:v>
                </c:pt>
                <c:pt idx="137">
                  <c:v>116.54</c:v>
                </c:pt>
                <c:pt idx="138">
                  <c:v>116.04</c:v>
                </c:pt>
                <c:pt idx="139">
                  <c:v>115.59</c:v>
                </c:pt>
                <c:pt idx="140">
                  <c:v>115.29</c:v>
                </c:pt>
                <c:pt idx="141">
                  <c:v>115.02</c:v>
                </c:pt>
                <c:pt idx="142">
                  <c:v>114.25</c:v>
                </c:pt>
                <c:pt idx="143">
                  <c:v>112.1</c:v>
                </c:pt>
                <c:pt idx="144">
                  <c:v>105.89</c:v>
                </c:pt>
                <c:pt idx="145">
                  <c:v>99.03</c:v>
                </c:pt>
                <c:pt idx="146">
                  <c:v>93.1</c:v>
                </c:pt>
                <c:pt idx="147">
                  <c:v>88.64</c:v>
                </c:pt>
                <c:pt idx="148">
                  <c:v>84.52</c:v>
                </c:pt>
                <c:pt idx="149">
                  <c:v>81.12</c:v>
                </c:pt>
                <c:pt idx="150">
                  <c:v>77.540000000000006</c:v>
                </c:pt>
                <c:pt idx="151">
                  <c:v>41.93</c:v>
                </c:pt>
                <c:pt idx="152">
                  <c:v>40.340000000000003</c:v>
                </c:pt>
                <c:pt idx="153">
                  <c:v>40.24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424-46F0-BD2D-EE6AAAE60383}"/>
            </c:ext>
          </c:extLst>
        </c:ser>
        <c:ser>
          <c:idx val="7"/>
          <c:order val="7"/>
          <c:tx>
            <c:strRef>
              <c:f>'DESEMPEÑO  TEMP1'!$BI$30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TEMP1'!$BI$31:$BI$184</c:f>
              <c:numCache>
                <c:formatCode>0.0</c:formatCode>
                <c:ptCount val="154"/>
                <c:pt idx="0">
                  <c:v>25.92</c:v>
                </c:pt>
                <c:pt idx="1">
                  <c:v>25.85</c:v>
                </c:pt>
                <c:pt idx="2">
                  <c:v>25.79</c:v>
                </c:pt>
                <c:pt idx="3">
                  <c:v>25.73</c:v>
                </c:pt>
                <c:pt idx="4">
                  <c:v>25.64</c:v>
                </c:pt>
                <c:pt idx="5">
                  <c:v>25.56</c:v>
                </c:pt>
                <c:pt idx="6">
                  <c:v>25.52</c:v>
                </c:pt>
                <c:pt idx="7">
                  <c:v>25.47</c:v>
                </c:pt>
                <c:pt idx="8">
                  <c:v>25.39</c:v>
                </c:pt>
                <c:pt idx="9">
                  <c:v>25.35</c:v>
                </c:pt>
                <c:pt idx="10">
                  <c:v>25.29</c:v>
                </c:pt>
                <c:pt idx="11">
                  <c:v>25.19</c:v>
                </c:pt>
                <c:pt idx="12">
                  <c:v>25.18</c:v>
                </c:pt>
                <c:pt idx="13">
                  <c:v>25.14</c:v>
                </c:pt>
                <c:pt idx="14">
                  <c:v>25</c:v>
                </c:pt>
                <c:pt idx="15">
                  <c:v>25.09</c:v>
                </c:pt>
                <c:pt idx="16">
                  <c:v>25.56</c:v>
                </c:pt>
                <c:pt idx="17">
                  <c:v>26.17</c:v>
                </c:pt>
                <c:pt idx="18">
                  <c:v>26.92</c:v>
                </c:pt>
                <c:pt idx="19">
                  <c:v>27.72</c:v>
                </c:pt>
                <c:pt idx="20">
                  <c:v>28.51</c:v>
                </c:pt>
                <c:pt idx="21">
                  <c:v>29.32</c:v>
                </c:pt>
                <c:pt idx="22">
                  <c:v>30.19</c:v>
                </c:pt>
                <c:pt idx="23">
                  <c:v>31.08</c:v>
                </c:pt>
                <c:pt idx="24">
                  <c:v>31.99</c:v>
                </c:pt>
                <c:pt idx="25">
                  <c:v>33.39</c:v>
                </c:pt>
                <c:pt idx="26">
                  <c:v>39.950000000000003</c:v>
                </c:pt>
                <c:pt idx="27">
                  <c:v>53.93</c:v>
                </c:pt>
                <c:pt idx="28">
                  <c:v>65.53</c:v>
                </c:pt>
                <c:pt idx="29">
                  <c:v>75.84</c:v>
                </c:pt>
                <c:pt idx="30">
                  <c:v>85.28</c:v>
                </c:pt>
                <c:pt idx="31">
                  <c:v>92.23</c:v>
                </c:pt>
                <c:pt idx="32">
                  <c:v>92.23</c:v>
                </c:pt>
                <c:pt idx="33">
                  <c:v>103.99</c:v>
                </c:pt>
                <c:pt idx="34">
                  <c:v>107.99</c:v>
                </c:pt>
                <c:pt idx="35">
                  <c:v>111.24</c:v>
                </c:pt>
                <c:pt idx="36">
                  <c:v>113.89</c:v>
                </c:pt>
                <c:pt idx="37">
                  <c:v>116.12</c:v>
                </c:pt>
                <c:pt idx="38">
                  <c:v>117.47</c:v>
                </c:pt>
                <c:pt idx="39">
                  <c:v>116.42</c:v>
                </c:pt>
                <c:pt idx="40">
                  <c:v>117.26</c:v>
                </c:pt>
                <c:pt idx="41">
                  <c:v>117.01</c:v>
                </c:pt>
                <c:pt idx="42">
                  <c:v>117.59</c:v>
                </c:pt>
                <c:pt idx="43">
                  <c:v>117.75</c:v>
                </c:pt>
                <c:pt idx="44">
                  <c:v>117.81</c:v>
                </c:pt>
                <c:pt idx="45">
                  <c:v>118.35</c:v>
                </c:pt>
                <c:pt idx="46">
                  <c:v>118.07</c:v>
                </c:pt>
                <c:pt idx="47">
                  <c:v>118.73</c:v>
                </c:pt>
                <c:pt idx="48">
                  <c:v>118.45</c:v>
                </c:pt>
                <c:pt idx="49">
                  <c:v>118.99</c:v>
                </c:pt>
                <c:pt idx="50">
                  <c:v>118.9</c:v>
                </c:pt>
                <c:pt idx="51">
                  <c:v>119.06</c:v>
                </c:pt>
                <c:pt idx="52">
                  <c:v>119.3</c:v>
                </c:pt>
                <c:pt idx="53">
                  <c:v>119.2</c:v>
                </c:pt>
                <c:pt idx="54">
                  <c:v>119.65</c:v>
                </c:pt>
                <c:pt idx="55">
                  <c:v>119.4</c:v>
                </c:pt>
                <c:pt idx="56">
                  <c:v>119.88</c:v>
                </c:pt>
                <c:pt idx="57">
                  <c:v>119.63</c:v>
                </c:pt>
                <c:pt idx="58">
                  <c:v>120.05</c:v>
                </c:pt>
                <c:pt idx="59">
                  <c:v>119.91</c:v>
                </c:pt>
                <c:pt idx="60">
                  <c:v>120.1</c:v>
                </c:pt>
                <c:pt idx="61">
                  <c:v>120.3</c:v>
                </c:pt>
                <c:pt idx="62">
                  <c:v>120.26</c:v>
                </c:pt>
                <c:pt idx="63">
                  <c:v>120.56</c:v>
                </c:pt>
                <c:pt idx="64">
                  <c:v>120.43</c:v>
                </c:pt>
                <c:pt idx="65">
                  <c:v>120.62</c:v>
                </c:pt>
                <c:pt idx="66">
                  <c:v>120.74</c:v>
                </c:pt>
                <c:pt idx="67">
                  <c:v>120.7</c:v>
                </c:pt>
                <c:pt idx="68">
                  <c:v>120.94</c:v>
                </c:pt>
                <c:pt idx="69">
                  <c:v>120.87</c:v>
                </c:pt>
                <c:pt idx="70">
                  <c:v>121</c:v>
                </c:pt>
                <c:pt idx="71">
                  <c:v>121.06</c:v>
                </c:pt>
                <c:pt idx="72">
                  <c:v>121.14</c:v>
                </c:pt>
                <c:pt idx="73">
                  <c:v>121.14</c:v>
                </c:pt>
                <c:pt idx="74">
                  <c:v>121.27</c:v>
                </c:pt>
                <c:pt idx="75">
                  <c:v>121.03</c:v>
                </c:pt>
                <c:pt idx="76">
                  <c:v>121.46</c:v>
                </c:pt>
                <c:pt idx="77">
                  <c:v>121.09</c:v>
                </c:pt>
                <c:pt idx="78">
                  <c:v>121.29</c:v>
                </c:pt>
                <c:pt idx="79">
                  <c:v>121.24</c:v>
                </c:pt>
                <c:pt idx="80">
                  <c:v>121.33</c:v>
                </c:pt>
                <c:pt idx="81">
                  <c:v>121.31</c:v>
                </c:pt>
                <c:pt idx="82">
                  <c:v>121.35</c:v>
                </c:pt>
                <c:pt idx="83">
                  <c:v>121.4</c:v>
                </c:pt>
                <c:pt idx="84">
                  <c:v>121.35</c:v>
                </c:pt>
                <c:pt idx="85">
                  <c:v>121.47</c:v>
                </c:pt>
                <c:pt idx="86">
                  <c:v>121.34</c:v>
                </c:pt>
                <c:pt idx="87">
                  <c:v>121.72</c:v>
                </c:pt>
                <c:pt idx="88">
                  <c:v>121.39</c:v>
                </c:pt>
                <c:pt idx="89">
                  <c:v>122.38</c:v>
                </c:pt>
                <c:pt idx="90">
                  <c:v>121.42</c:v>
                </c:pt>
                <c:pt idx="91">
                  <c:v>122.42</c:v>
                </c:pt>
                <c:pt idx="92">
                  <c:v>121.45</c:v>
                </c:pt>
                <c:pt idx="93">
                  <c:v>121.87</c:v>
                </c:pt>
                <c:pt idx="94">
                  <c:v>121.72</c:v>
                </c:pt>
                <c:pt idx="95">
                  <c:v>121.51</c:v>
                </c:pt>
                <c:pt idx="96">
                  <c:v>122.13</c:v>
                </c:pt>
                <c:pt idx="97">
                  <c:v>121.44</c:v>
                </c:pt>
                <c:pt idx="98">
                  <c:v>122.2</c:v>
                </c:pt>
                <c:pt idx="99">
                  <c:v>121.42</c:v>
                </c:pt>
                <c:pt idx="100">
                  <c:v>122.21</c:v>
                </c:pt>
                <c:pt idx="101">
                  <c:v>121.47</c:v>
                </c:pt>
                <c:pt idx="102">
                  <c:v>122.15</c:v>
                </c:pt>
                <c:pt idx="103">
                  <c:v>121.57</c:v>
                </c:pt>
                <c:pt idx="104">
                  <c:v>122.56</c:v>
                </c:pt>
                <c:pt idx="105">
                  <c:v>121.5</c:v>
                </c:pt>
                <c:pt idx="106">
                  <c:v>122.77</c:v>
                </c:pt>
                <c:pt idx="107">
                  <c:v>121.52</c:v>
                </c:pt>
                <c:pt idx="108">
                  <c:v>123.02</c:v>
                </c:pt>
                <c:pt idx="109">
                  <c:v>121.37</c:v>
                </c:pt>
                <c:pt idx="110">
                  <c:v>122.98</c:v>
                </c:pt>
                <c:pt idx="111">
                  <c:v>121.26</c:v>
                </c:pt>
                <c:pt idx="112">
                  <c:v>123</c:v>
                </c:pt>
                <c:pt idx="113">
                  <c:v>121.11</c:v>
                </c:pt>
                <c:pt idx="114">
                  <c:v>122.69</c:v>
                </c:pt>
                <c:pt idx="115">
                  <c:v>121.34</c:v>
                </c:pt>
                <c:pt idx="116">
                  <c:v>122.25</c:v>
                </c:pt>
                <c:pt idx="117">
                  <c:v>122.17</c:v>
                </c:pt>
                <c:pt idx="118">
                  <c:v>121.9</c:v>
                </c:pt>
                <c:pt idx="119">
                  <c:v>122.86</c:v>
                </c:pt>
                <c:pt idx="120">
                  <c:v>121.58</c:v>
                </c:pt>
                <c:pt idx="121">
                  <c:v>123</c:v>
                </c:pt>
                <c:pt idx="122">
                  <c:v>121.27</c:v>
                </c:pt>
                <c:pt idx="123">
                  <c:v>123.03</c:v>
                </c:pt>
                <c:pt idx="124">
                  <c:v>121.14</c:v>
                </c:pt>
                <c:pt idx="125">
                  <c:v>122.94</c:v>
                </c:pt>
                <c:pt idx="126">
                  <c:v>121.07</c:v>
                </c:pt>
                <c:pt idx="127">
                  <c:v>122.66</c:v>
                </c:pt>
                <c:pt idx="128">
                  <c:v>121.47</c:v>
                </c:pt>
                <c:pt idx="129">
                  <c:v>122.47</c:v>
                </c:pt>
                <c:pt idx="130">
                  <c:v>121.81</c:v>
                </c:pt>
                <c:pt idx="131">
                  <c:v>122.08</c:v>
                </c:pt>
                <c:pt idx="132">
                  <c:v>122.8</c:v>
                </c:pt>
                <c:pt idx="133">
                  <c:v>120.35</c:v>
                </c:pt>
                <c:pt idx="134">
                  <c:v>118.77</c:v>
                </c:pt>
                <c:pt idx="135">
                  <c:v>115.29</c:v>
                </c:pt>
                <c:pt idx="136">
                  <c:v>111.44</c:v>
                </c:pt>
                <c:pt idx="137">
                  <c:v>107.71</c:v>
                </c:pt>
                <c:pt idx="138">
                  <c:v>104.37</c:v>
                </c:pt>
                <c:pt idx="139">
                  <c:v>101.82</c:v>
                </c:pt>
                <c:pt idx="140">
                  <c:v>99.86</c:v>
                </c:pt>
                <c:pt idx="141">
                  <c:v>98.52</c:v>
                </c:pt>
                <c:pt idx="142">
                  <c:v>96.72</c:v>
                </c:pt>
                <c:pt idx="143">
                  <c:v>93.01</c:v>
                </c:pt>
                <c:pt idx="144">
                  <c:v>87.81</c:v>
                </c:pt>
                <c:pt idx="145">
                  <c:v>79.790000000000006</c:v>
                </c:pt>
                <c:pt idx="146">
                  <c:v>75</c:v>
                </c:pt>
                <c:pt idx="147">
                  <c:v>71.84</c:v>
                </c:pt>
                <c:pt idx="148">
                  <c:v>68.349999999999994</c:v>
                </c:pt>
                <c:pt idx="149">
                  <c:v>65.48</c:v>
                </c:pt>
                <c:pt idx="150">
                  <c:v>62.75</c:v>
                </c:pt>
                <c:pt idx="151">
                  <c:v>60.35</c:v>
                </c:pt>
                <c:pt idx="152">
                  <c:v>42.43</c:v>
                </c:pt>
                <c:pt idx="153">
                  <c:v>39.58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424-46F0-BD2D-EE6AAAE60383}"/>
            </c:ext>
          </c:extLst>
        </c:ser>
        <c:ser>
          <c:idx val="8"/>
          <c:order val="8"/>
          <c:tx>
            <c:strRef>
              <c:f>'DESEMPEÑO  TEMP1'!$BJ$30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TEMP1'!$BJ$31:$BJ$184</c:f>
              <c:numCache>
                <c:formatCode>0.0</c:formatCode>
                <c:ptCount val="154"/>
                <c:pt idx="0">
                  <c:v>89.74</c:v>
                </c:pt>
                <c:pt idx="1">
                  <c:v>89.69</c:v>
                </c:pt>
                <c:pt idx="2">
                  <c:v>89.61</c:v>
                </c:pt>
                <c:pt idx="3">
                  <c:v>89.55</c:v>
                </c:pt>
                <c:pt idx="4">
                  <c:v>89.49</c:v>
                </c:pt>
                <c:pt idx="5">
                  <c:v>89.39</c:v>
                </c:pt>
                <c:pt idx="6">
                  <c:v>89.32</c:v>
                </c:pt>
                <c:pt idx="7">
                  <c:v>89.27</c:v>
                </c:pt>
                <c:pt idx="8">
                  <c:v>89.18</c:v>
                </c:pt>
                <c:pt idx="9">
                  <c:v>89.07</c:v>
                </c:pt>
                <c:pt idx="10">
                  <c:v>89</c:v>
                </c:pt>
                <c:pt idx="11">
                  <c:v>88.91</c:v>
                </c:pt>
                <c:pt idx="12">
                  <c:v>88.81</c:v>
                </c:pt>
                <c:pt idx="13">
                  <c:v>51.44</c:v>
                </c:pt>
                <c:pt idx="14">
                  <c:v>40.24</c:v>
                </c:pt>
                <c:pt idx="15">
                  <c:v>38.909999999999997</c:v>
                </c:pt>
                <c:pt idx="16">
                  <c:v>39.44</c:v>
                </c:pt>
                <c:pt idx="17">
                  <c:v>39.159999999999997</c:v>
                </c:pt>
                <c:pt idx="18">
                  <c:v>38.49</c:v>
                </c:pt>
                <c:pt idx="19">
                  <c:v>39.42</c:v>
                </c:pt>
                <c:pt idx="20">
                  <c:v>39.26</c:v>
                </c:pt>
                <c:pt idx="21">
                  <c:v>41.13</c:v>
                </c:pt>
                <c:pt idx="22">
                  <c:v>41.97</c:v>
                </c:pt>
                <c:pt idx="23">
                  <c:v>42.43</c:v>
                </c:pt>
                <c:pt idx="24">
                  <c:v>54.15</c:v>
                </c:pt>
                <c:pt idx="25">
                  <c:v>75.25</c:v>
                </c:pt>
                <c:pt idx="26">
                  <c:v>92.07</c:v>
                </c:pt>
                <c:pt idx="27">
                  <c:v>99.07</c:v>
                </c:pt>
                <c:pt idx="28">
                  <c:v>104.69</c:v>
                </c:pt>
                <c:pt idx="29">
                  <c:v>108.61</c:v>
                </c:pt>
                <c:pt idx="30">
                  <c:v>111.96</c:v>
                </c:pt>
                <c:pt idx="31">
                  <c:v>114.37</c:v>
                </c:pt>
                <c:pt idx="32">
                  <c:v>116.47</c:v>
                </c:pt>
                <c:pt idx="33">
                  <c:v>118.24</c:v>
                </c:pt>
                <c:pt idx="34">
                  <c:v>119.86</c:v>
                </c:pt>
                <c:pt idx="35">
                  <c:v>123.67</c:v>
                </c:pt>
                <c:pt idx="36">
                  <c:v>124.92</c:v>
                </c:pt>
                <c:pt idx="37">
                  <c:v>126.95</c:v>
                </c:pt>
                <c:pt idx="38">
                  <c:v>121.58</c:v>
                </c:pt>
                <c:pt idx="39">
                  <c:v>123.39</c:v>
                </c:pt>
                <c:pt idx="40">
                  <c:v>121.02</c:v>
                </c:pt>
                <c:pt idx="41">
                  <c:v>123.61</c:v>
                </c:pt>
                <c:pt idx="42">
                  <c:v>120.71</c:v>
                </c:pt>
                <c:pt idx="43">
                  <c:v>123.04</c:v>
                </c:pt>
                <c:pt idx="44">
                  <c:v>122.41</c:v>
                </c:pt>
                <c:pt idx="45">
                  <c:v>122.29</c:v>
                </c:pt>
                <c:pt idx="46">
                  <c:v>123.2</c:v>
                </c:pt>
                <c:pt idx="47">
                  <c:v>121.62</c:v>
                </c:pt>
                <c:pt idx="48">
                  <c:v>123.04</c:v>
                </c:pt>
                <c:pt idx="49">
                  <c:v>121.06</c:v>
                </c:pt>
                <c:pt idx="50">
                  <c:v>123.12</c:v>
                </c:pt>
                <c:pt idx="51">
                  <c:v>121.39</c:v>
                </c:pt>
                <c:pt idx="52">
                  <c:v>122.73</c:v>
                </c:pt>
                <c:pt idx="53">
                  <c:v>122.29</c:v>
                </c:pt>
                <c:pt idx="54">
                  <c:v>122.74</c:v>
                </c:pt>
                <c:pt idx="55">
                  <c:v>122.75</c:v>
                </c:pt>
                <c:pt idx="56">
                  <c:v>122.28</c:v>
                </c:pt>
                <c:pt idx="57">
                  <c:v>123.41</c:v>
                </c:pt>
                <c:pt idx="58">
                  <c:v>121.63</c:v>
                </c:pt>
                <c:pt idx="59">
                  <c:v>123.63</c:v>
                </c:pt>
                <c:pt idx="60">
                  <c:v>121.44</c:v>
                </c:pt>
                <c:pt idx="61">
                  <c:v>123.22</c:v>
                </c:pt>
                <c:pt idx="62">
                  <c:v>122.58</c:v>
                </c:pt>
                <c:pt idx="63">
                  <c:v>121.74</c:v>
                </c:pt>
                <c:pt idx="64">
                  <c:v>122.98</c:v>
                </c:pt>
                <c:pt idx="65">
                  <c:v>121.19</c:v>
                </c:pt>
                <c:pt idx="66">
                  <c:v>122.44</c:v>
                </c:pt>
                <c:pt idx="67">
                  <c:v>123.05</c:v>
                </c:pt>
                <c:pt idx="68">
                  <c:v>121.49</c:v>
                </c:pt>
                <c:pt idx="69">
                  <c:v>123.09</c:v>
                </c:pt>
                <c:pt idx="70">
                  <c:v>120.91</c:v>
                </c:pt>
                <c:pt idx="71">
                  <c:v>123.23</c:v>
                </c:pt>
                <c:pt idx="72">
                  <c:v>121.06</c:v>
                </c:pt>
                <c:pt idx="73">
                  <c:v>123.54</c:v>
                </c:pt>
                <c:pt idx="74">
                  <c:v>121.37</c:v>
                </c:pt>
                <c:pt idx="75">
                  <c:v>122.92</c:v>
                </c:pt>
                <c:pt idx="76">
                  <c:v>122.25</c:v>
                </c:pt>
                <c:pt idx="77">
                  <c:v>122.08</c:v>
                </c:pt>
                <c:pt idx="78">
                  <c:v>122.96</c:v>
                </c:pt>
                <c:pt idx="79">
                  <c:v>122.08</c:v>
                </c:pt>
                <c:pt idx="80">
                  <c:v>122.44</c:v>
                </c:pt>
                <c:pt idx="81">
                  <c:v>122.33</c:v>
                </c:pt>
                <c:pt idx="82">
                  <c:v>122.67</c:v>
                </c:pt>
                <c:pt idx="83">
                  <c:v>122.35</c:v>
                </c:pt>
                <c:pt idx="84">
                  <c:v>122.27</c:v>
                </c:pt>
                <c:pt idx="85">
                  <c:v>122.46</c:v>
                </c:pt>
                <c:pt idx="86">
                  <c:v>121.99</c:v>
                </c:pt>
                <c:pt idx="87">
                  <c:v>122.94</c:v>
                </c:pt>
                <c:pt idx="88">
                  <c:v>121.61</c:v>
                </c:pt>
                <c:pt idx="89">
                  <c:v>123</c:v>
                </c:pt>
                <c:pt idx="90">
                  <c:v>121.19</c:v>
                </c:pt>
                <c:pt idx="91">
                  <c:v>122.83</c:v>
                </c:pt>
                <c:pt idx="92">
                  <c:v>121.28</c:v>
                </c:pt>
                <c:pt idx="93">
                  <c:v>122.26</c:v>
                </c:pt>
                <c:pt idx="94">
                  <c:v>122.57</c:v>
                </c:pt>
                <c:pt idx="95">
                  <c:v>121.71</c:v>
                </c:pt>
                <c:pt idx="96">
                  <c:v>122.9</c:v>
                </c:pt>
                <c:pt idx="97">
                  <c:v>121.56</c:v>
                </c:pt>
                <c:pt idx="98">
                  <c:v>122.88</c:v>
                </c:pt>
                <c:pt idx="99">
                  <c:v>121.44</c:v>
                </c:pt>
                <c:pt idx="100">
                  <c:v>122.86</c:v>
                </c:pt>
                <c:pt idx="101">
                  <c:v>121.52</c:v>
                </c:pt>
                <c:pt idx="102">
                  <c:v>122.7</c:v>
                </c:pt>
                <c:pt idx="103">
                  <c:v>121.6</c:v>
                </c:pt>
                <c:pt idx="104">
                  <c:v>123.08</c:v>
                </c:pt>
                <c:pt idx="105">
                  <c:v>121.43</c:v>
                </c:pt>
                <c:pt idx="106">
                  <c:v>123.09</c:v>
                </c:pt>
                <c:pt idx="107">
                  <c:v>121.52</c:v>
                </c:pt>
                <c:pt idx="108">
                  <c:v>123.04</c:v>
                </c:pt>
                <c:pt idx="109">
                  <c:v>121.35</c:v>
                </c:pt>
                <c:pt idx="110">
                  <c:v>123.1</c:v>
                </c:pt>
                <c:pt idx="111">
                  <c:v>121.29</c:v>
                </c:pt>
                <c:pt idx="112">
                  <c:v>123.16</c:v>
                </c:pt>
                <c:pt idx="113">
                  <c:v>120.94</c:v>
                </c:pt>
                <c:pt idx="114">
                  <c:v>122.74</c:v>
                </c:pt>
                <c:pt idx="115">
                  <c:v>121.96</c:v>
                </c:pt>
                <c:pt idx="116">
                  <c:v>122.33</c:v>
                </c:pt>
                <c:pt idx="117">
                  <c:v>122.66</c:v>
                </c:pt>
                <c:pt idx="118">
                  <c:v>121.9</c:v>
                </c:pt>
                <c:pt idx="119">
                  <c:v>123.12</c:v>
                </c:pt>
                <c:pt idx="120">
                  <c:v>121.39</c:v>
                </c:pt>
                <c:pt idx="121">
                  <c:v>123.12</c:v>
                </c:pt>
                <c:pt idx="122">
                  <c:v>120.95</c:v>
                </c:pt>
                <c:pt idx="123">
                  <c:v>123.11</c:v>
                </c:pt>
                <c:pt idx="124">
                  <c:v>120.87</c:v>
                </c:pt>
                <c:pt idx="125">
                  <c:v>122.76</c:v>
                </c:pt>
                <c:pt idx="126">
                  <c:v>121.37</c:v>
                </c:pt>
                <c:pt idx="127">
                  <c:v>122.59</c:v>
                </c:pt>
                <c:pt idx="128">
                  <c:v>121.91</c:v>
                </c:pt>
                <c:pt idx="129">
                  <c:v>122.24</c:v>
                </c:pt>
                <c:pt idx="130">
                  <c:v>122.3</c:v>
                </c:pt>
                <c:pt idx="131">
                  <c:v>121.88</c:v>
                </c:pt>
                <c:pt idx="132">
                  <c:v>122.21</c:v>
                </c:pt>
                <c:pt idx="133">
                  <c:v>116.32</c:v>
                </c:pt>
                <c:pt idx="134">
                  <c:v>109.95</c:v>
                </c:pt>
                <c:pt idx="135">
                  <c:v>105.22</c:v>
                </c:pt>
                <c:pt idx="136">
                  <c:v>104.58</c:v>
                </c:pt>
                <c:pt idx="137">
                  <c:v>104.82</c:v>
                </c:pt>
                <c:pt idx="138">
                  <c:v>105.73</c:v>
                </c:pt>
                <c:pt idx="139">
                  <c:v>106.11</c:v>
                </c:pt>
                <c:pt idx="140">
                  <c:v>105.62</c:v>
                </c:pt>
                <c:pt idx="141">
                  <c:v>90.26</c:v>
                </c:pt>
                <c:pt idx="142">
                  <c:v>47.96</c:v>
                </c:pt>
                <c:pt idx="143">
                  <c:v>43.95</c:v>
                </c:pt>
                <c:pt idx="144">
                  <c:v>36.229999999999997</c:v>
                </c:pt>
                <c:pt idx="145">
                  <c:v>32.46</c:v>
                </c:pt>
                <c:pt idx="146">
                  <c:v>33.83</c:v>
                </c:pt>
                <c:pt idx="147">
                  <c:v>33.76</c:v>
                </c:pt>
                <c:pt idx="148">
                  <c:v>34.03</c:v>
                </c:pt>
                <c:pt idx="149">
                  <c:v>33.33</c:v>
                </c:pt>
                <c:pt idx="150">
                  <c:v>33.58</c:v>
                </c:pt>
                <c:pt idx="151">
                  <c:v>34.86</c:v>
                </c:pt>
                <c:pt idx="152">
                  <c:v>33.909999999999997</c:v>
                </c:pt>
                <c:pt idx="153">
                  <c:v>33.72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424-46F0-BD2D-EE6AAAE60383}"/>
            </c:ext>
          </c:extLst>
        </c:ser>
        <c:ser>
          <c:idx val="9"/>
          <c:order val="9"/>
          <c:tx>
            <c:strRef>
              <c:f>'DESEMPEÑO  TEMP1'!$BK$30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'DESEMPEÑO  TEMP1'!$B$31:$B$184</c:f>
              <c:numCache>
                <c:formatCode>h:mm:ss\ AM/PM</c:formatCode>
                <c:ptCount val="154"/>
                <c:pt idx="0">
                  <c:v>0.56944444444444442</c:v>
                </c:pt>
                <c:pt idx="1">
                  <c:v>0.5697916666666667</c:v>
                </c:pt>
                <c:pt idx="2">
                  <c:v>0.57013888888888886</c:v>
                </c:pt>
                <c:pt idx="3">
                  <c:v>0.57048611111111114</c:v>
                </c:pt>
                <c:pt idx="4">
                  <c:v>0.5708333333333333</c:v>
                </c:pt>
                <c:pt idx="5">
                  <c:v>0.57118055555555558</c:v>
                </c:pt>
                <c:pt idx="6">
                  <c:v>0.57152777777777775</c:v>
                </c:pt>
                <c:pt idx="7">
                  <c:v>0.57187500000000002</c:v>
                </c:pt>
                <c:pt idx="8">
                  <c:v>0.57222222222222219</c:v>
                </c:pt>
                <c:pt idx="9">
                  <c:v>0.57256944444444446</c:v>
                </c:pt>
                <c:pt idx="10">
                  <c:v>0.57291666666666663</c:v>
                </c:pt>
                <c:pt idx="11">
                  <c:v>0.57326388888888891</c:v>
                </c:pt>
                <c:pt idx="12">
                  <c:v>0.57361111111111118</c:v>
                </c:pt>
                <c:pt idx="13">
                  <c:v>0.57395833333333335</c:v>
                </c:pt>
                <c:pt idx="14">
                  <c:v>0.57430555555555551</c:v>
                </c:pt>
                <c:pt idx="15">
                  <c:v>0.57465277777777779</c:v>
                </c:pt>
                <c:pt idx="16">
                  <c:v>0.57500000000000007</c:v>
                </c:pt>
                <c:pt idx="17">
                  <c:v>0.57534722222222223</c:v>
                </c:pt>
                <c:pt idx="18">
                  <c:v>0.5756944444444444</c:v>
                </c:pt>
                <c:pt idx="19">
                  <c:v>0.57604166666666667</c:v>
                </c:pt>
                <c:pt idx="20">
                  <c:v>0.57638888888888895</c:v>
                </c:pt>
                <c:pt idx="21">
                  <c:v>0.57673611111111112</c:v>
                </c:pt>
                <c:pt idx="22">
                  <c:v>0.57708333333333328</c:v>
                </c:pt>
                <c:pt idx="23">
                  <c:v>0.57743055555555556</c:v>
                </c:pt>
                <c:pt idx="24">
                  <c:v>0.57777777777777783</c:v>
                </c:pt>
                <c:pt idx="25">
                  <c:v>0.578125</c:v>
                </c:pt>
                <c:pt idx="26">
                  <c:v>0.57847222222222217</c:v>
                </c:pt>
                <c:pt idx="27">
                  <c:v>0.57881944444444444</c:v>
                </c:pt>
                <c:pt idx="28">
                  <c:v>0.57916666666666672</c:v>
                </c:pt>
                <c:pt idx="29">
                  <c:v>0.57951388888888888</c:v>
                </c:pt>
                <c:pt idx="30">
                  <c:v>0.57986111111111105</c:v>
                </c:pt>
                <c:pt idx="31">
                  <c:v>0.58020833333333333</c:v>
                </c:pt>
                <c:pt idx="32">
                  <c:v>0.5805555555555556</c:v>
                </c:pt>
                <c:pt idx="33">
                  <c:v>0.58090277777777777</c:v>
                </c:pt>
                <c:pt idx="34">
                  <c:v>0.58124999999999993</c:v>
                </c:pt>
                <c:pt idx="35">
                  <c:v>0.58159722222222221</c:v>
                </c:pt>
                <c:pt idx="36">
                  <c:v>0.58194444444444449</c:v>
                </c:pt>
                <c:pt idx="37">
                  <c:v>0.58229166666666665</c:v>
                </c:pt>
                <c:pt idx="38">
                  <c:v>0.58263888888888882</c:v>
                </c:pt>
                <c:pt idx="39">
                  <c:v>0.58298611111111109</c:v>
                </c:pt>
                <c:pt idx="40">
                  <c:v>0.58333333333333337</c:v>
                </c:pt>
                <c:pt idx="41">
                  <c:v>0.58368055555555554</c:v>
                </c:pt>
                <c:pt idx="42">
                  <c:v>0.58402777777777781</c:v>
                </c:pt>
                <c:pt idx="43">
                  <c:v>0.58437499999999998</c:v>
                </c:pt>
                <c:pt idx="44">
                  <c:v>0.58472222222222225</c:v>
                </c:pt>
                <c:pt idx="45">
                  <c:v>0.58506944444444442</c:v>
                </c:pt>
                <c:pt idx="46">
                  <c:v>0.5854166666666667</c:v>
                </c:pt>
                <c:pt idx="47">
                  <c:v>0.58576388888888886</c:v>
                </c:pt>
                <c:pt idx="48">
                  <c:v>0.58611111111111114</c:v>
                </c:pt>
                <c:pt idx="49">
                  <c:v>0.5864583333333333</c:v>
                </c:pt>
                <c:pt idx="50">
                  <c:v>0.58680555555555558</c:v>
                </c:pt>
                <c:pt idx="51">
                  <c:v>0.58715277777777775</c:v>
                </c:pt>
                <c:pt idx="52">
                  <c:v>0.58750000000000002</c:v>
                </c:pt>
                <c:pt idx="53">
                  <c:v>0.58784722222222219</c:v>
                </c:pt>
                <c:pt idx="54">
                  <c:v>0.58819444444444446</c:v>
                </c:pt>
                <c:pt idx="55">
                  <c:v>0.58854166666666663</c:v>
                </c:pt>
                <c:pt idx="56">
                  <c:v>0.58888888888888891</c:v>
                </c:pt>
                <c:pt idx="57">
                  <c:v>0.58923611111111118</c:v>
                </c:pt>
                <c:pt idx="58">
                  <c:v>0.58958333333333335</c:v>
                </c:pt>
                <c:pt idx="59">
                  <c:v>0.58993055555555551</c:v>
                </c:pt>
                <c:pt idx="60">
                  <c:v>0.59027777777777779</c:v>
                </c:pt>
                <c:pt idx="61">
                  <c:v>0.59062500000000007</c:v>
                </c:pt>
                <c:pt idx="62">
                  <c:v>0.59097222222222223</c:v>
                </c:pt>
                <c:pt idx="63">
                  <c:v>0.5913194444444444</c:v>
                </c:pt>
                <c:pt idx="64">
                  <c:v>0.59166666666666667</c:v>
                </c:pt>
                <c:pt idx="65">
                  <c:v>0.59201388888888895</c:v>
                </c:pt>
                <c:pt idx="66">
                  <c:v>0.59236111111111112</c:v>
                </c:pt>
                <c:pt idx="67">
                  <c:v>0.59270833333333328</c:v>
                </c:pt>
                <c:pt idx="68">
                  <c:v>0.59305555555555556</c:v>
                </c:pt>
                <c:pt idx="69">
                  <c:v>0.59340277777777783</c:v>
                </c:pt>
                <c:pt idx="70">
                  <c:v>0.59375</c:v>
                </c:pt>
                <c:pt idx="71">
                  <c:v>0.59409722222222217</c:v>
                </c:pt>
                <c:pt idx="72">
                  <c:v>0.59444444444444444</c:v>
                </c:pt>
                <c:pt idx="73">
                  <c:v>0.59479166666666672</c:v>
                </c:pt>
                <c:pt idx="74">
                  <c:v>0.59513888888888888</c:v>
                </c:pt>
                <c:pt idx="75">
                  <c:v>0.59548611111111105</c:v>
                </c:pt>
                <c:pt idx="76">
                  <c:v>0.59583333333333333</c:v>
                </c:pt>
                <c:pt idx="77">
                  <c:v>0.5961805555555556</c:v>
                </c:pt>
                <c:pt idx="78">
                  <c:v>0.59652777777777777</c:v>
                </c:pt>
                <c:pt idx="79">
                  <c:v>0.59687499999999993</c:v>
                </c:pt>
                <c:pt idx="80">
                  <c:v>0.59722222222222221</c:v>
                </c:pt>
                <c:pt idx="81">
                  <c:v>0.59756944444444449</c:v>
                </c:pt>
                <c:pt idx="82">
                  <c:v>0.59791666666666665</c:v>
                </c:pt>
                <c:pt idx="83">
                  <c:v>0.59826388888888882</c:v>
                </c:pt>
                <c:pt idx="84">
                  <c:v>0.59861111111111109</c:v>
                </c:pt>
                <c:pt idx="85">
                  <c:v>0.59895833333333337</c:v>
                </c:pt>
                <c:pt idx="86">
                  <c:v>0.59930555555555554</c:v>
                </c:pt>
                <c:pt idx="87">
                  <c:v>0.59965277777777781</c:v>
                </c:pt>
                <c:pt idx="88">
                  <c:v>0.6</c:v>
                </c:pt>
                <c:pt idx="89">
                  <c:v>0.60034722222222225</c:v>
                </c:pt>
                <c:pt idx="90">
                  <c:v>0.60069444444444442</c:v>
                </c:pt>
                <c:pt idx="91">
                  <c:v>0.6010416666666667</c:v>
                </c:pt>
                <c:pt idx="92">
                  <c:v>0.60138888888888886</c:v>
                </c:pt>
                <c:pt idx="93">
                  <c:v>0.60173611111111114</c:v>
                </c:pt>
                <c:pt idx="94">
                  <c:v>0.6020833333333333</c:v>
                </c:pt>
                <c:pt idx="95">
                  <c:v>0.60243055555555558</c:v>
                </c:pt>
                <c:pt idx="96">
                  <c:v>0.60277777777777775</c:v>
                </c:pt>
                <c:pt idx="97">
                  <c:v>0.60312500000000002</c:v>
                </c:pt>
                <c:pt idx="98">
                  <c:v>0.60347222222222219</c:v>
                </c:pt>
                <c:pt idx="99">
                  <c:v>0.60381944444444446</c:v>
                </c:pt>
                <c:pt idx="100">
                  <c:v>0.60416666666666663</c:v>
                </c:pt>
                <c:pt idx="101">
                  <c:v>0.60451388888888891</c:v>
                </c:pt>
                <c:pt idx="102">
                  <c:v>0.60486111111111118</c:v>
                </c:pt>
                <c:pt idx="103">
                  <c:v>0.60520833333333335</c:v>
                </c:pt>
                <c:pt idx="104">
                  <c:v>0.60555555555555551</c:v>
                </c:pt>
                <c:pt idx="105">
                  <c:v>0.60590277777777779</c:v>
                </c:pt>
                <c:pt idx="106">
                  <c:v>0.60625000000000007</c:v>
                </c:pt>
                <c:pt idx="107">
                  <c:v>0.60659722222222223</c:v>
                </c:pt>
                <c:pt idx="108">
                  <c:v>0.6069444444444444</c:v>
                </c:pt>
                <c:pt idx="109">
                  <c:v>0.60729166666666667</c:v>
                </c:pt>
                <c:pt idx="110">
                  <c:v>0.60763888888888895</c:v>
                </c:pt>
                <c:pt idx="111">
                  <c:v>0.60798611111111112</c:v>
                </c:pt>
                <c:pt idx="112">
                  <c:v>0.60833333333333328</c:v>
                </c:pt>
                <c:pt idx="113">
                  <c:v>0.60868055555555556</c:v>
                </c:pt>
                <c:pt idx="114">
                  <c:v>0.60902777777777783</c:v>
                </c:pt>
                <c:pt idx="115">
                  <c:v>0.609375</c:v>
                </c:pt>
                <c:pt idx="116">
                  <c:v>0.60972222222222217</c:v>
                </c:pt>
                <c:pt idx="117">
                  <c:v>0.61006944444444444</c:v>
                </c:pt>
                <c:pt idx="118">
                  <c:v>0.61041666666666672</c:v>
                </c:pt>
                <c:pt idx="119">
                  <c:v>0.61076388888888888</c:v>
                </c:pt>
                <c:pt idx="120">
                  <c:v>0.61111111111111105</c:v>
                </c:pt>
                <c:pt idx="121">
                  <c:v>0.61145833333333333</c:v>
                </c:pt>
                <c:pt idx="122">
                  <c:v>0.6118055555555556</c:v>
                </c:pt>
                <c:pt idx="123">
                  <c:v>0.61215277777777777</c:v>
                </c:pt>
                <c:pt idx="124">
                  <c:v>0.61249999999999993</c:v>
                </c:pt>
                <c:pt idx="125">
                  <c:v>0.61284722222222221</c:v>
                </c:pt>
                <c:pt idx="126">
                  <c:v>0.61319444444444449</c:v>
                </c:pt>
                <c:pt idx="127">
                  <c:v>0.61354166666666665</c:v>
                </c:pt>
                <c:pt idx="128">
                  <c:v>0.61388888888888882</c:v>
                </c:pt>
                <c:pt idx="129">
                  <c:v>0.61423611111111109</c:v>
                </c:pt>
                <c:pt idx="130">
                  <c:v>0.61458333333333337</c:v>
                </c:pt>
                <c:pt idx="131">
                  <c:v>0.61493055555555554</c:v>
                </c:pt>
                <c:pt idx="132">
                  <c:v>0.61527777777777781</c:v>
                </c:pt>
                <c:pt idx="133">
                  <c:v>0.61562499999999998</c:v>
                </c:pt>
                <c:pt idx="134">
                  <c:v>0.61597222222222225</c:v>
                </c:pt>
                <c:pt idx="135">
                  <c:v>0.61631944444444442</c:v>
                </c:pt>
                <c:pt idx="136">
                  <c:v>0.6166666666666667</c:v>
                </c:pt>
                <c:pt idx="137">
                  <c:v>0.61701388888888886</c:v>
                </c:pt>
                <c:pt idx="138">
                  <c:v>0.61736111111111114</c:v>
                </c:pt>
                <c:pt idx="139">
                  <c:v>0.6177083333333333</c:v>
                </c:pt>
                <c:pt idx="140">
                  <c:v>0.61805555555555558</c:v>
                </c:pt>
                <c:pt idx="141">
                  <c:v>0.61840277777777775</c:v>
                </c:pt>
                <c:pt idx="142">
                  <c:v>0.61875000000000002</c:v>
                </c:pt>
                <c:pt idx="143">
                  <c:v>0.61909722222222219</c:v>
                </c:pt>
                <c:pt idx="144">
                  <c:v>0.61944444444444446</c:v>
                </c:pt>
                <c:pt idx="145">
                  <c:v>0.61979166666666663</c:v>
                </c:pt>
                <c:pt idx="146">
                  <c:v>0.62013888888888891</c:v>
                </c:pt>
                <c:pt idx="147">
                  <c:v>0.62048611111111118</c:v>
                </c:pt>
                <c:pt idx="148">
                  <c:v>0.62083333333333335</c:v>
                </c:pt>
                <c:pt idx="149">
                  <c:v>0.62118055555555551</c:v>
                </c:pt>
                <c:pt idx="150">
                  <c:v>0.62152777777777779</c:v>
                </c:pt>
                <c:pt idx="151">
                  <c:v>0.62187500000000007</c:v>
                </c:pt>
                <c:pt idx="152">
                  <c:v>0.62222222222222223</c:v>
                </c:pt>
                <c:pt idx="153">
                  <c:v>0.6225694444444444</c:v>
                </c:pt>
              </c:numCache>
            </c:numRef>
          </c:cat>
          <c:val>
            <c:numRef>
              <c:f>'DESEMPEÑO  TEMP1'!$BK$31:$BK$184</c:f>
              <c:numCache>
                <c:formatCode>0.0</c:formatCode>
                <c:ptCount val="154"/>
                <c:pt idx="0">
                  <c:v>90.25</c:v>
                </c:pt>
                <c:pt idx="1">
                  <c:v>90.2</c:v>
                </c:pt>
                <c:pt idx="2">
                  <c:v>90.14</c:v>
                </c:pt>
                <c:pt idx="3">
                  <c:v>90.08</c:v>
                </c:pt>
                <c:pt idx="4">
                  <c:v>90.02</c:v>
                </c:pt>
                <c:pt idx="5">
                  <c:v>89.96</c:v>
                </c:pt>
                <c:pt idx="6">
                  <c:v>89.9</c:v>
                </c:pt>
                <c:pt idx="7">
                  <c:v>89.84</c:v>
                </c:pt>
                <c:pt idx="8">
                  <c:v>89.78</c:v>
                </c:pt>
                <c:pt idx="9">
                  <c:v>89.71</c:v>
                </c:pt>
                <c:pt idx="10">
                  <c:v>89.65</c:v>
                </c:pt>
                <c:pt idx="11">
                  <c:v>89.59</c:v>
                </c:pt>
                <c:pt idx="12">
                  <c:v>89.52</c:v>
                </c:pt>
                <c:pt idx="13">
                  <c:v>89.23</c:v>
                </c:pt>
                <c:pt idx="14">
                  <c:v>88.07</c:v>
                </c:pt>
                <c:pt idx="15">
                  <c:v>86.8</c:v>
                </c:pt>
                <c:pt idx="16">
                  <c:v>85.48</c:v>
                </c:pt>
                <c:pt idx="17">
                  <c:v>84.13</c:v>
                </c:pt>
                <c:pt idx="18">
                  <c:v>82.81</c:v>
                </c:pt>
                <c:pt idx="19">
                  <c:v>81.53</c:v>
                </c:pt>
                <c:pt idx="20">
                  <c:v>80.27</c:v>
                </c:pt>
                <c:pt idx="21">
                  <c:v>79.09</c:v>
                </c:pt>
                <c:pt idx="22">
                  <c:v>77.989999999999995</c:v>
                </c:pt>
                <c:pt idx="23">
                  <c:v>76.97</c:v>
                </c:pt>
                <c:pt idx="24">
                  <c:v>76.11</c:v>
                </c:pt>
                <c:pt idx="25">
                  <c:v>75.03</c:v>
                </c:pt>
                <c:pt idx="26">
                  <c:v>77.42</c:v>
                </c:pt>
                <c:pt idx="27">
                  <c:v>83.15</c:v>
                </c:pt>
                <c:pt idx="28">
                  <c:v>88.8</c:v>
                </c:pt>
                <c:pt idx="29">
                  <c:v>93.94</c:v>
                </c:pt>
                <c:pt idx="30">
                  <c:v>98.45</c:v>
                </c:pt>
                <c:pt idx="31">
                  <c:v>102.3</c:v>
                </c:pt>
                <c:pt idx="32">
                  <c:v>105.63</c:v>
                </c:pt>
                <c:pt idx="33">
                  <c:v>108.51</c:v>
                </c:pt>
                <c:pt idx="34">
                  <c:v>111.04</c:v>
                </c:pt>
                <c:pt idx="35">
                  <c:v>113.35</c:v>
                </c:pt>
                <c:pt idx="36">
                  <c:v>115.48</c:v>
                </c:pt>
                <c:pt idx="37">
                  <c:v>117.42</c:v>
                </c:pt>
                <c:pt idx="38">
                  <c:v>118.92</c:v>
                </c:pt>
                <c:pt idx="39">
                  <c:v>119.24</c:v>
                </c:pt>
                <c:pt idx="40">
                  <c:v>120.02</c:v>
                </c:pt>
                <c:pt idx="41">
                  <c:v>120.39</c:v>
                </c:pt>
                <c:pt idx="42">
                  <c:v>120.63</c:v>
                </c:pt>
                <c:pt idx="43">
                  <c:v>121.07</c:v>
                </c:pt>
                <c:pt idx="44">
                  <c:v>121.03</c:v>
                </c:pt>
                <c:pt idx="45">
                  <c:v>121.5</c:v>
                </c:pt>
                <c:pt idx="46">
                  <c:v>121.38</c:v>
                </c:pt>
                <c:pt idx="47">
                  <c:v>121.72</c:v>
                </c:pt>
                <c:pt idx="48">
                  <c:v>121.7</c:v>
                </c:pt>
                <c:pt idx="49">
                  <c:v>121.81</c:v>
                </c:pt>
                <c:pt idx="50">
                  <c:v>121.91</c:v>
                </c:pt>
                <c:pt idx="51">
                  <c:v>121.83</c:v>
                </c:pt>
                <c:pt idx="52">
                  <c:v>122.06</c:v>
                </c:pt>
                <c:pt idx="53">
                  <c:v>121.85</c:v>
                </c:pt>
                <c:pt idx="54">
                  <c:v>122.13</c:v>
                </c:pt>
                <c:pt idx="55">
                  <c:v>121.9</c:v>
                </c:pt>
                <c:pt idx="56">
                  <c:v>122.11</c:v>
                </c:pt>
                <c:pt idx="57">
                  <c:v>121.99</c:v>
                </c:pt>
                <c:pt idx="58">
                  <c:v>122.08</c:v>
                </c:pt>
                <c:pt idx="59">
                  <c:v>122.09</c:v>
                </c:pt>
                <c:pt idx="60">
                  <c:v>121.98</c:v>
                </c:pt>
                <c:pt idx="61">
                  <c:v>122.18</c:v>
                </c:pt>
                <c:pt idx="62">
                  <c:v>121.99</c:v>
                </c:pt>
                <c:pt idx="63">
                  <c:v>122.19</c:v>
                </c:pt>
                <c:pt idx="64">
                  <c:v>122.11</c:v>
                </c:pt>
                <c:pt idx="65">
                  <c:v>122.05</c:v>
                </c:pt>
                <c:pt idx="66">
                  <c:v>122.23</c:v>
                </c:pt>
                <c:pt idx="67">
                  <c:v>122.04</c:v>
                </c:pt>
                <c:pt idx="68">
                  <c:v>122.18</c:v>
                </c:pt>
                <c:pt idx="69">
                  <c:v>122.15</c:v>
                </c:pt>
                <c:pt idx="70">
                  <c:v>122.09</c:v>
                </c:pt>
                <c:pt idx="71">
                  <c:v>122.15</c:v>
                </c:pt>
                <c:pt idx="72">
                  <c:v>122.07</c:v>
                </c:pt>
                <c:pt idx="73">
                  <c:v>122.1</c:v>
                </c:pt>
                <c:pt idx="74">
                  <c:v>122.09</c:v>
                </c:pt>
                <c:pt idx="75">
                  <c:v>121.98</c:v>
                </c:pt>
                <c:pt idx="76">
                  <c:v>122.2</c:v>
                </c:pt>
                <c:pt idx="77">
                  <c:v>121.91</c:v>
                </c:pt>
                <c:pt idx="78">
                  <c:v>122.17</c:v>
                </c:pt>
                <c:pt idx="79">
                  <c:v>121.93</c:v>
                </c:pt>
                <c:pt idx="80">
                  <c:v>122.18</c:v>
                </c:pt>
                <c:pt idx="81">
                  <c:v>121.94</c:v>
                </c:pt>
                <c:pt idx="82">
                  <c:v>122.2</c:v>
                </c:pt>
                <c:pt idx="83">
                  <c:v>121.95</c:v>
                </c:pt>
                <c:pt idx="84">
                  <c:v>122.2</c:v>
                </c:pt>
                <c:pt idx="85">
                  <c:v>121.94</c:v>
                </c:pt>
                <c:pt idx="86">
                  <c:v>122.18</c:v>
                </c:pt>
                <c:pt idx="87">
                  <c:v>121.98</c:v>
                </c:pt>
                <c:pt idx="88">
                  <c:v>122.16</c:v>
                </c:pt>
                <c:pt idx="89">
                  <c:v>122.05</c:v>
                </c:pt>
                <c:pt idx="90">
                  <c:v>122.09</c:v>
                </c:pt>
                <c:pt idx="91">
                  <c:v>122.14</c:v>
                </c:pt>
                <c:pt idx="92">
                  <c:v>122</c:v>
                </c:pt>
                <c:pt idx="93">
                  <c:v>122.17</c:v>
                </c:pt>
                <c:pt idx="94">
                  <c:v>121.95</c:v>
                </c:pt>
                <c:pt idx="95">
                  <c:v>122.16</c:v>
                </c:pt>
                <c:pt idx="96">
                  <c:v>121.97</c:v>
                </c:pt>
                <c:pt idx="97">
                  <c:v>122.15</c:v>
                </c:pt>
                <c:pt idx="98">
                  <c:v>121.97</c:v>
                </c:pt>
                <c:pt idx="99">
                  <c:v>122.12</c:v>
                </c:pt>
                <c:pt idx="100">
                  <c:v>121.95</c:v>
                </c:pt>
                <c:pt idx="101">
                  <c:v>122.11</c:v>
                </c:pt>
                <c:pt idx="102">
                  <c:v>121.91</c:v>
                </c:pt>
                <c:pt idx="103">
                  <c:v>122.1</c:v>
                </c:pt>
                <c:pt idx="104">
                  <c:v>121.96</c:v>
                </c:pt>
                <c:pt idx="105">
                  <c:v>122.1</c:v>
                </c:pt>
                <c:pt idx="106">
                  <c:v>121.97</c:v>
                </c:pt>
                <c:pt idx="107">
                  <c:v>122.11</c:v>
                </c:pt>
                <c:pt idx="108">
                  <c:v>122.02</c:v>
                </c:pt>
                <c:pt idx="109">
                  <c:v>122.08</c:v>
                </c:pt>
                <c:pt idx="110">
                  <c:v>122.07</c:v>
                </c:pt>
                <c:pt idx="111">
                  <c:v>122.05</c:v>
                </c:pt>
                <c:pt idx="112">
                  <c:v>122.15</c:v>
                </c:pt>
                <c:pt idx="113">
                  <c:v>122.03</c:v>
                </c:pt>
                <c:pt idx="114">
                  <c:v>122.19</c:v>
                </c:pt>
                <c:pt idx="115">
                  <c:v>121.99</c:v>
                </c:pt>
                <c:pt idx="116">
                  <c:v>122.21</c:v>
                </c:pt>
                <c:pt idx="117">
                  <c:v>121.97</c:v>
                </c:pt>
                <c:pt idx="118">
                  <c:v>122.16</c:v>
                </c:pt>
                <c:pt idx="119">
                  <c:v>122.02</c:v>
                </c:pt>
                <c:pt idx="120">
                  <c:v>122.11</c:v>
                </c:pt>
                <c:pt idx="121">
                  <c:v>122.09</c:v>
                </c:pt>
                <c:pt idx="122">
                  <c:v>122.06</c:v>
                </c:pt>
                <c:pt idx="123">
                  <c:v>122.11</c:v>
                </c:pt>
                <c:pt idx="124">
                  <c:v>122.01</c:v>
                </c:pt>
                <c:pt idx="125">
                  <c:v>122.14</c:v>
                </c:pt>
                <c:pt idx="126">
                  <c:v>121.96</c:v>
                </c:pt>
                <c:pt idx="127">
                  <c:v>122.16</c:v>
                </c:pt>
                <c:pt idx="128">
                  <c:v>121.93</c:v>
                </c:pt>
                <c:pt idx="129">
                  <c:v>122.18</c:v>
                </c:pt>
                <c:pt idx="130">
                  <c:v>121.94</c:v>
                </c:pt>
                <c:pt idx="131">
                  <c:v>122.15</c:v>
                </c:pt>
                <c:pt idx="132">
                  <c:v>122</c:v>
                </c:pt>
                <c:pt idx="133">
                  <c:v>121.39</c:v>
                </c:pt>
                <c:pt idx="134">
                  <c:v>119.62</c:v>
                </c:pt>
                <c:pt idx="135">
                  <c:v>117.11</c:v>
                </c:pt>
                <c:pt idx="136">
                  <c:v>114.26</c:v>
                </c:pt>
                <c:pt idx="137">
                  <c:v>111.44</c:v>
                </c:pt>
                <c:pt idx="138">
                  <c:v>109.03</c:v>
                </c:pt>
                <c:pt idx="139">
                  <c:v>106.95</c:v>
                </c:pt>
                <c:pt idx="140">
                  <c:v>105.13</c:v>
                </c:pt>
                <c:pt idx="141">
                  <c:v>103.52</c:v>
                </c:pt>
                <c:pt idx="142">
                  <c:v>101.18</c:v>
                </c:pt>
                <c:pt idx="143">
                  <c:v>98.22</c:v>
                </c:pt>
                <c:pt idx="144">
                  <c:v>94.85</c:v>
                </c:pt>
                <c:pt idx="145">
                  <c:v>90.64</c:v>
                </c:pt>
                <c:pt idx="146">
                  <c:v>86.39</c:v>
                </c:pt>
                <c:pt idx="147">
                  <c:v>82.07</c:v>
                </c:pt>
                <c:pt idx="148">
                  <c:v>78.2</c:v>
                </c:pt>
                <c:pt idx="149">
                  <c:v>75.05</c:v>
                </c:pt>
                <c:pt idx="150">
                  <c:v>72.27</c:v>
                </c:pt>
                <c:pt idx="151">
                  <c:v>69.78</c:v>
                </c:pt>
                <c:pt idx="152">
                  <c:v>67.53</c:v>
                </c:pt>
                <c:pt idx="153">
                  <c:v>65.52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424-46F0-BD2D-EE6AAAE60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864832"/>
        <c:axId val="479866472"/>
      </c:lineChart>
      <c:catAx>
        <c:axId val="479864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\ AM/PM" sourceLinked="1"/>
        <c:majorTickMark val="out"/>
        <c:minorTickMark val="none"/>
        <c:tickLblPos val="nextTo"/>
        <c:crossAx val="479866472"/>
        <c:crosses val="autoZero"/>
        <c:auto val="1"/>
        <c:lblAlgn val="ctr"/>
        <c:lblOffset val="100"/>
        <c:noMultiLvlLbl val="0"/>
      </c:catAx>
      <c:valAx>
        <c:axId val="479866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7986483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TEMP1'!$BB$75:$BB$162</c:f>
              <c:numCache>
                <c:formatCode>0.0</c:formatCode>
                <c:ptCount val="88"/>
                <c:pt idx="0">
                  <c:v>110.27</c:v>
                </c:pt>
                <c:pt idx="1">
                  <c:v>111.58</c:v>
                </c:pt>
                <c:pt idx="2">
                  <c:v>112.52</c:v>
                </c:pt>
                <c:pt idx="3">
                  <c:v>113.49</c:v>
                </c:pt>
                <c:pt idx="4">
                  <c:v>114.24</c:v>
                </c:pt>
                <c:pt idx="5">
                  <c:v>114.93</c:v>
                </c:pt>
                <c:pt idx="6">
                  <c:v>115.55</c:v>
                </c:pt>
                <c:pt idx="7">
                  <c:v>116.04</c:v>
                </c:pt>
                <c:pt idx="8">
                  <c:v>116.57</c:v>
                </c:pt>
                <c:pt idx="9">
                  <c:v>116.91</c:v>
                </c:pt>
                <c:pt idx="10">
                  <c:v>117.35</c:v>
                </c:pt>
                <c:pt idx="11">
                  <c:v>117.61</c:v>
                </c:pt>
                <c:pt idx="12">
                  <c:v>117.95</c:v>
                </c:pt>
                <c:pt idx="13">
                  <c:v>118.17</c:v>
                </c:pt>
                <c:pt idx="14">
                  <c:v>118.42</c:v>
                </c:pt>
                <c:pt idx="15">
                  <c:v>118.63</c:v>
                </c:pt>
                <c:pt idx="16">
                  <c:v>118.78</c:v>
                </c:pt>
                <c:pt idx="17">
                  <c:v>119.03</c:v>
                </c:pt>
                <c:pt idx="18">
                  <c:v>119.17</c:v>
                </c:pt>
                <c:pt idx="19">
                  <c:v>119.39</c:v>
                </c:pt>
                <c:pt idx="20">
                  <c:v>119.54</c:v>
                </c:pt>
                <c:pt idx="21">
                  <c:v>119.68</c:v>
                </c:pt>
                <c:pt idx="22">
                  <c:v>119.87</c:v>
                </c:pt>
                <c:pt idx="23">
                  <c:v>119.97</c:v>
                </c:pt>
                <c:pt idx="24">
                  <c:v>120.13</c:v>
                </c:pt>
                <c:pt idx="25">
                  <c:v>120.24</c:v>
                </c:pt>
                <c:pt idx="26">
                  <c:v>120.33</c:v>
                </c:pt>
                <c:pt idx="27">
                  <c:v>120.44</c:v>
                </c:pt>
                <c:pt idx="28">
                  <c:v>120.52</c:v>
                </c:pt>
                <c:pt idx="29">
                  <c:v>120.61</c:v>
                </c:pt>
                <c:pt idx="30">
                  <c:v>120.69</c:v>
                </c:pt>
                <c:pt idx="31">
                  <c:v>120.73</c:v>
                </c:pt>
                <c:pt idx="32">
                  <c:v>120.85</c:v>
                </c:pt>
                <c:pt idx="33">
                  <c:v>120.86</c:v>
                </c:pt>
                <c:pt idx="34">
                  <c:v>120.95</c:v>
                </c:pt>
                <c:pt idx="35">
                  <c:v>120.96</c:v>
                </c:pt>
                <c:pt idx="36">
                  <c:v>121.05</c:v>
                </c:pt>
                <c:pt idx="37">
                  <c:v>121.05</c:v>
                </c:pt>
                <c:pt idx="38">
                  <c:v>121.14</c:v>
                </c:pt>
                <c:pt idx="39">
                  <c:v>121.14</c:v>
                </c:pt>
                <c:pt idx="40">
                  <c:v>121.21</c:v>
                </c:pt>
                <c:pt idx="41">
                  <c:v>121.2</c:v>
                </c:pt>
                <c:pt idx="42">
                  <c:v>121.27</c:v>
                </c:pt>
                <c:pt idx="43">
                  <c:v>121.26</c:v>
                </c:pt>
                <c:pt idx="44">
                  <c:v>121.31</c:v>
                </c:pt>
                <c:pt idx="45">
                  <c:v>121.31</c:v>
                </c:pt>
                <c:pt idx="46">
                  <c:v>121.34</c:v>
                </c:pt>
                <c:pt idx="47">
                  <c:v>121.36</c:v>
                </c:pt>
                <c:pt idx="48">
                  <c:v>121.35</c:v>
                </c:pt>
                <c:pt idx="49">
                  <c:v>121.39</c:v>
                </c:pt>
                <c:pt idx="50">
                  <c:v>121.37</c:v>
                </c:pt>
                <c:pt idx="51">
                  <c:v>121.43</c:v>
                </c:pt>
                <c:pt idx="52">
                  <c:v>121.41</c:v>
                </c:pt>
                <c:pt idx="53">
                  <c:v>121.47</c:v>
                </c:pt>
                <c:pt idx="54">
                  <c:v>121.44</c:v>
                </c:pt>
                <c:pt idx="55">
                  <c:v>121.49</c:v>
                </c:pt>
                <c:pt idx="56">
                  <c:v>121.46</c:v>
                </c:pt>
                <c:pt idx="57">
                  <c:v>121.51</c:v>
                </c:pt>
                <c:pt idx="58">
                  <c:v>121.48</c:v>
                </c:pt>
                <c:pt idx="59">
                  <c:v>121.52</c:v>
                </c:pt>
                <c:pt idx="60">
                  <c:v>121.51</c:v>
                </c:pt>
                <c:pt idx="61">
                  <c:v>121.55</c:v>
                </c:pt>
                <c:pt idx="62">
                  <c:v>121.53</c:v>
                </c:pt>
                <c:pt idx="63">
                  <c:v>121.56</c:v>
                </c:pt>
                <c:pt idx="64">
                  <c:v>121.55</c:v>
                </c:pt>
                <c:pt idx="65">
                  <c:v>121.57</c:v>
                </c:pt>
                <c:pt idx="66">
                  <c:v>121.57</c:v>
                </c:pt>
                <c:pt idx="67">
                  <c:v>121.58</c:v>
                </c:pt>
                <c:pt idx="68">
                  <c:v>121.59</c:v>
                </c:pt>
                <c:pt idx="69">
                  <c:v>121.59</c:v>
                </c:pt>
                <c:pt idx="70">
                  <c:v>121.62</c:v>
                </c:pt>
                <c:pt idx="71">
                  <c:v>121.59</c:v>
                </c:pt>
                <c:pt idx="72">
                  <c:v>121.64</c:v>
                </c:pt>
                <c:pt idx="73">
                  <c:v>121.6</c:v>
                </c:pt>
                <c:pt idx="74">
                  <c:v>121.65</c:v>
                </c:pt>
                <c:pt idx="75">
                  <c:v>121.63</c:v>
                </c:pt>
                <c:pt idx="76">
                  <c:v>121.66</c:v>
                </c:pt>
                <c:pt idx="77">
                  <c:v>121.66</c:v>
                </c:pt>
                <c:pt idx="78">
                  <c:v>121.66</c:v>
                </c:pt>
                <c:pt idx="79">
                  <c:v>121.66</c:v>
                </c:pt>
                <c:pt idx="80">
                  <c:v>121.66</c:v>
                </c:pt>
                <c:pt idx="81">
                  <c:v>121.68</c:v>
                </c:pt>
                <c:pt idx="82">
                  <c:v>121.66</c:v>
                </c:pt>
                <c:pt idx="83">
                  <c:v>121.7</c:v>
                </c:pt>
                <c:pt idx="84">
                  <c:v>121.66</c:v>
                </c:pt>
                <c:pt idx="85">
                  <c:v>121.72</c:v>
                </c:pt>
                <c:pt idx="86">
                  <c:v>121.68</c:v>
                </c:pt>
                <c:pt idx="87">
                  <c:v>121.72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407-4202-B7AC-7C73385F7BCD}"/>
            </c:ext>
          </c:extLst>
        </c:ser>
        <c:ser>
          <c:idx val="1"/>
          <c:order val="1"/>
          <c:tx>
            <c:strRef>
              <c:f>'DESEMPEÑO 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TEMP1'!$BC$75:$BC$162</c:f>
              <c:numCache>
                <c:formatCode>0.0</c:formatCode>
                <c:ptCount val="88"/>
                <c:pt idx="0">
                  <c:v>113.8</c:v>
                </c:pt>
                <c:pt idx="1">
                  <c:v>114.87</c:v>
                </c:pt>
                <c:pt idx="2">
                  <c:v>115.6</c:v>
                </c:pt>
                <c:pt idx="3">
                  <c:v>116.34</c:v>
                </c:pt>
                <c:pt idx="4">
                  <c:v>116.89</c:v>
                </c:pt>
                <c:pt idx="5">
                  <c:v>117.39</c:v>
                </c:pt>
                <c:pt idx="6">
                  <c:v>117.81</c:v>
                </c:pt>
                <c:pt idx="7">
                  <c:v>118.12</c:v>
                </c:pt>
                <c:pt idx="8">
                  <c:v>118.48</c:v>
                </c:pt>
                <c:pt idx="9">
                  <c:v>118.66</c:v>
                </c:pt>
                <c:pt idx="10">
                  <c:v>118.95</c:v>
                </c:pt>
                <c:pt idx="11">
                  <c:v>119.08</c:v>
                </c:pt>
                <c:pt idx="12">
                  <c:v>119.31</c:v>
                </c:pt>
                <c:pt idx="13">
                  <c:v>119.42</c:v>
                </c:pt>
                <c:pt idx="14">
                  <c:v>119.56</c:v>
                </c:pt>
                <c:pt idx="15">
                  <c:v>119.68</c:v>
                </c:pt>
                <c:pt idx="16">
                  <c:v>119.74</c:v>
                </c:pt>
                <c:pt idx="17">
                  <c:v>119.91</c:v>
                </c:pt>
                <c:pt idx="18">
                  <c:v>120</c:v>
                </c:pt>
                <c:pt idx="19">
                  <c:v>120.19</c:v>
                </c:pt>
                <c:pt idx="20">
                  <c:v>120.3</c:v>
                </c:pt>
                <c:pt idx="21">
                  <c:v>120.39</c:v>
                </c:pt>
                <c:pt idx="22">
                  <c:v>120.54</c:v>
                </c:pt>
                <c:pt idx="23">
                  <c:v>120.58</c:v>
                </c:pt>
                <c:pt idx="24">
                  <c:v>120.69</c:v>
                </c:pt>
                <c:pt idx="25">
                  <c:v>120.75</c:v>
                </c:pt>
                <c:pt idx="26">
                  <c:v>120.78</c:v>
                </c:pt>
                <c:pt idx="27">
                  <c:v>120.85</c:v>
                </c:pt>
                <c:pt idx="28">
                  <c:v>120.89</c:v>
                </c:pt>
                <c:pt idx="29">
                  <c:v>120.94</c:v>
                </c:pt>
                <c:pt idx="30">
                  <c:v>120.97</c:v>
                </c:pt>
                <c:pt idx="31">
                  <c:v>120.98</c:v>
                </c:pt>
                <c:pt idx="32">
                  <c:v>121.06</c:v>
                </c:pt>
                <c:pt idx="33">
                  <c:v>121.02</c:v>
                </c:pt>
                <c:pt idx="34">
                  <c:v>121.1</c:v>
                </c:pt>
                <c:pt idx="35">
                  <c:v>121.06</c:v>
                </c:pt>
                <c:pt idx="36">
                  <c:v>121.13</c:v>
                </c:pt>
                <c:pt idx="37">
                  <c:v>121.09</c:v>
                </c:pt>
                <c:pt idx="38">
                  <c:v>121.16</c:v>
                </c:pt>
                <c:pt idx="39">
                  <c:v>121.12</c:v>
                </c:pt>
                <c:pt idx="40">
                  <c:v>121.19</c:v>
                </c:pt>
                <c:pt idx="41">
                  <c:v>121.15</c:v>
                </c:pt>
                <c:pt idx="42">
                  <c:v>121.21</c:v>
                </c:pt>
                <c:pt idx="43">
                  <c:v>121.18</c:v>
                </c:pt>
                <c:pt idx="44">
                  <c:v>121.23</c:v>
                </c:pt>
                <c:pt idx="45">
                  <c:v>121.21</c:v>
                </c:pt>
                <c:pt idx="46">
                  <c:v>121.22</c:v>
                </c:pt>
                <c:pt idx="47">
                  <c:v>121.24</c:v>
                </c:pt>
                <c:pt idx="48">
                  <c:v>121.21</c:v>
                </c:pt>
                <c:pt idx="49">
                  <c:v>121.26</c:v>
                </c:pt>
                <c:pt idx="50">
                  <c:v>121.22</c:v>
                </c:pt>
                <c:pt idx="51">
                  <c:v>121.28</c:v>
                </c:pt>
                <c:pt idx="52">
                  <c:v>121.25</c:v>
                </c:pt>
                <c:pt idx="53">
                  <c:v>121.31</c:v>
                </c:pt>
                <c:pt idx="54">
                  <c:v>121.29</c:v>
                </c:pt>
                <c:pt idx="55">
                  <c:v>121.33</c:v>
                </c:pt>
                <c:pt idx="56">
                  <c:v>121.31</c:v>
                </c:pt>
                <c:pt idx="57">
                  <c:v>121.36</c:v>
                </c:pt>
                <c:pt idx="58">
                  <c:v>121.33</c:v>
                </c:pt>
                <c:pt idx="59">
                  <c:v>121.37</c:v>
                </c:pt>
                <c:pt idx="60">
                  <c:v>121.35</c:v>
                </c:pt>
                <c:pt idx="61">
                  <c:v>121.39</c:v>
                </c:pt>
                <c:pt idx="62">
                  <c:v>121.37</c:v>
                </c:pt>
                <c:pt idx="63">
                  <c:v>121.41</c:v>
                </c:pt>
                <c:pt idx="64">
                  <c:v>121.41</c:v>
                </c:pt>
                <c:pt idx="65">
                  <c:v>121.43</c:v>
                </c:pt>
                <c:pt idx="66">
                  <c:v>121.44</c:v>
                </c:pt>
                <c:pt idx="67">
                  <c:v>121.45</c:v>
                </c:pt>
                <c:pt idx="68">
                  <c:v>121.47</c:v>
                </c:pt>
                <c:pt idx="69">
                  <c:v>121.45</c:v>
                </c:pt>
                <c:pt idx="70">
                  <c:v>121.5</c:v>
                </c:pt>
                <c:pt idx="71">
                  <c:v>121.46</c:v>
                </c:pt>
                <c:pt idx="72">
                  <c:v>121.53</c:v>
                </c:pt>
                <c:pt idx="73">
                  <c:v>121.48</c:v>
                </c:pt>
                <c:pt idx="74">
                  <c:v>121.53</c:v>
                </c:pt>
                <c:pt idx="75">
                  <c:v>121.51</c:v>
                </c:pt>
                <c:pt idx="76">
                  <c:v>121.55</c:v>
                </c:pt>
                <c:pt idx="77">
                  <c:v>121.56</c:v>
                </c:pt>
                <c:pt idx="78">
                  <c:v>121.55</c:v>
                </c:pt>
                <c:pt idx="79">
                  <c:v>121.58</c:v>
                </c:pt>
                <c:pt idx="80">
                  <c:v>121.56</c:v>
                </c:pt>
                <c:pt idx="81">
                  <c:v>121.6</c:v>
                </c:pt>
                <c:pt idx="82">
                  <c:v>121.57</c:v>
                </c:pt>
                <c:pt idx="83">
                  <c:v>121.63</c:v>
                </c:pt>
                <c:pt idx="84">
                  <c:v>121.58</c:v>
                </c:pt>
                <c:pt idx="85">
                  <c:v>121.64</c:v>
                </c:pt>
                <c:pt idx="86">
                  <c:v>121.6</c:v>
                </c:pt>
                <c:pt idx="87">
                  <c:v>121.66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407-4202-B7AC-7C73385F7BCD}"/>
            </c:ext>
          </c:extLst>
        </c:ser>
        <c:ser>
          <c:idx val="2"/>
          <c:order val="2"/>
          <c:tx>
            <c:strRef>
              <c:f>'DESEMPEÑO 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TEMP1'!$BD$75:$BD$162</c:f>
              <c:numCache>
                <c:formatCode>0.0</c:formatCode>
                <c:ptCount val="88"/>
                <c:pt idx="0">
                  <c:v>114.73</c:v>
                </c:pt>
                <c:pt idx="1">
                  <c:v>115.73</c:v>
                </c:pt>
                <c:pt idx="2">
                  <c:v>116.44</c:v>
                </c:pt>
                <c:pt idx="3">
                  <c:v>117.16</c:v>
                </c:pt>
                <c:pt idx="4">
                  <c:v>117.67</c:v>
                </c:pt>
                <c:pt idx="5">
                  <c:v>118.18</c:v>
                </c:pt>
                <c:pt idx="6">
                  <c:v>118.57</c:v>
                </c:pt>
                <c:pt idx="7">
                  <c:v>118.9</c:v>
                </c:pt>
                <c:pt idx="8">
                  <c:v>119.22</c:v>
                </c:pt>
                <c:pt idx="9">
                  <c:v>119.42</c:v>
                </c:pt>
                <c:pt idx="10">
                  <c:v>119.71</c:v>
                </c:pt>
                <c:pt idx="11">
                  <c:v>119.85</c:v>
                </c:pt>
                <c:pt idx="12">
                  <c:v>120.05</c:v>
                </c:pt>
                <c:pt idx="13">
                  <c:v>120.14</c:v>
                </c:pt>
                <c:pt idx="14">
                  <c:v>120.3</c:v>
                </c:pt>
                <c:pt idx="15">
                  <c:v>120.39</c:v>
                </c:pt>
                <c:pt idx="16">
                  <c:v>120.47</c:v>
                </c:pt>
                <c:pt idx="17">
                  <c:v>120.59</c:v>
                </c:pt>
                <c:pt idx="18">
                  <c:v>120.64</c:v>
                </c:pt>
                <c:pt idx="19">
                  <c:v>120.76</c:v>
                </c:pt>
                <c:pt idx="20">
                  <c:v>120.79</c:v>
                </c:pt>
                <c:pt idx="21">
                  <c:v>120.84</c:v>
                </c:pt>
                <c:pt idx="22">
                  <c:v>120.92</c:v>
                </c:pt>
                <c:pt idx="23">
                  <c:v>120.92</c:v>
                </c:pt>
                <c:pt idx="24">
                  <c:v>121</c:v>
                </c:pt>
                <c:pt idx="25">
                  <c:v>121.01</c:v>
                </c:pt>
                <c:pt idx="26">
                  <c:v>121.05</c:v>
                </c:pt>
                <c:pt idx="27">
                  <c:v>121.07</c:v>
                </c:pt>
                <c:pt idx="28">
                  <c:v>121.12</c:v>
                </c:pt>
                <c:pt idx="29">
                  <c:v>121.13</c:v>
                </c:pt>
                <c:pt idx="30">
                  <c:v>121.18</c:v>
                </c:pt>
                <c:pt idx="31">
                  <c:v>121.17</c:v>
                </c:pt>
                <c:pt idx="32">
                  <c:v>121.25</c:v>
                </c:pt>
                <c:pt idx="33">
                  <c:v>121.21</c:v>
                </c:pt>
                <c:pt idx="34">
                  <c:v>121.28</c:v>
                </c:pt>
                <c:pt idx="35">
                  <c:v>121.25</c:v>
                </c:pt>
                <c:pt idx="36">
                  <c:v>121.32</c:v>
                </c:pt>
                <c:pt idx="37">
                  <c:v>121.28</c:v>
                </c:pt>
                <c:pt idx="38">
                  <c:v>121.34</c:v>
                </c:pt>
                <c:pt idx="39">
                  <c:v>121.31</c:v>
                </c:pt>
                <c:pt idx="40">
                  <c:v>121.35</c:v>
                </c:pt>
                <c:pt idx="41">
                  <c:v>121.32</c:v>
                </c:pt>
                <c:pt idx="42">
                  <c:v>121.36</c:v>
                </c:pt>
                <c:pt idx="43">
                  <c:v>121.32</c:v>
                </c:pt>
                <c:pt idx="44">
                  <c:v>121.36</c:v>
                </c:pt>
                <c:pt idx="45">
                  <c:v>121.33</c:v>
                </c:pt>
                <c:pt idx="46">
                  <c:v>121.36</c:v>
                </c:pt>
                <c:pt idx="47">
                  <c:v>121.36</c:v>
                </c:pt>
                <c:pt idx="48">
                  <c:v>121.34</c:v>
                </c:pt>
                <c:pt idx="49">
                  <c:v>121.37</c:v>
                </c:pt>
                <c:pt idx="50">
                  <c:v>121.34</c:v>
                </c:pt>
                <c:pt idx="51">
                  <c:v>121.39</c:v>
                </c:pt>
                <c:pt idx="52">
                  <c:v>121.37</c:v>
                </c:pt>
                <c:pt idx="53">
                  <c:v>121.42</c:v>
                </c:pt>
                <c:pt idx="54">
                  <c:v>121.39</c:v>
                </c:pt>
                <c:pt idx="55">
                  <c:v>121.44</c:v>
                </c:pt>
                <c:pt idx="56">
                  <c:v>121.41</c:v>
                </c:pt>
                <c:pt idx="57">
                  <c:v>121.46</c:v>
                </c:pt>
                <c:pt idx="58">
                  <c:v>121.43</c:v>
                </c:pt>
                <c:pt idx="59">
                  <c:v>121.47</c:v>
                </c:pt>
                <c:pt idx="60">
                  <c:v>121.45</c:v>
                </c:pt>
                <c:pt idx="61">
                  <c:v>121.5</c:v>
                </c:pt>
                <c:pt idx="62">
                  <c:v>121.48</c:v>
                </c:pt>
                <c:pt idx="63">
                  <c:v>121.52</c:v>
                </c:pt>
                <c:pt idx="64">
                  <c:v>121.51</c:v>
                </c:pt>
                <c:pt idx="65">
                  <c:v>121.54</c:v>
                </c:pt>
                <c:pt idx="66">
                  <c:v>121.53</c:v>
                </c:pt>
                <c:pt idx="67">
                  <c:v>121.55</c:v>
                </c:pt>
                <c:pt idx="68">
                  <c:v>121.56</c:v>
                </c:pt>
                <c:pt idx="69">
                  <c:v>121.57</c:v>
                </c:pt>
                <c:pt idx="70">
                  <c:v>121.59</c:v>
                </c:pt>
                <c:pt idx="71">
                  <c:v>121.57</c:v>
                </c:pt>
                <c:pt idx="72">
                  <c:v>121.62</c:v>
                </c:pt>
                <c:pt idx="73">
                  <c:v>121.59</c:v>
                </c:pt>
                <c:pt idx="74">
                  <c:v>121.64</c:v>
                </c:pt>
                <c:pt idx="75">
                  <c:v>121.61</c:v>
                </c:pt>
                <c:pt idx="76">
                  <c:v>121.65</c:v>
                </c:pt>
                <c:pt idx="77">
                  <c:v>121.65</c:v>
                </c:pt>
                <c:pt idx="78">
                  <c:v>121.67</c:v>
                </c:pt>
                <c:pt idx="79">
                  <c:v>121.67</c:v>
                </c:pt>
                <c:pt idx="80">
                  <c:v>121.67</c:v>
                </c:pt>
                <c:pt idx="81">
                  <c:v>121.69</c:v>
                </c:pt>
                <c:pt idx="82">
                  <c:v>121.68</c:v>
                </c:pt>
                <c:pt idx="83">
                  <c:v>121.71</c:v>
                </c:pt>
                <c:pt idx="84">
                  <c:v>121.69</c:v>
                </c:pt>
                <c:pt idx="85">
                  <c:v>121.74</c:v>
                </c:pt>
                <c:pt idx="86">
                  <c:v>121.7</c:v>
                </c:pt>
                <c:pt idx="87">
                  <c:v>121.75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407-4202-B7AC-7C73385F7BCD}"/>
            </c:ext>
          </c:extLst>
        </c:ser>
        <c:ser>
          <c:idx val="3"/>
          <c:order val="3"/>
          <c:tx>
            <c:strRef>
              <c:f>'DESEMPEÑO 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TEMP1'!$BE$75:$BE$162</c:f>
              <c:numCache>
                <c:formatCode>0.0</c:formatCode>
                <c:ptCount val="88"/>
                <c:pt idx="0">
                  <c:v>107.11</c:v>
                </c:pt>
                <c:pt idx="1">
                  <c:v>108.61</c:v>
                </c:pt>
                <c:pt idx="2">
                  <c:v>109.75999999999999</c:v>
                </c:pt>
                <c:pt idx="3">
                  <c:v>110.92999999999999</c:v>
                </c:pt>
                <c:pt idx="4">
                  <c:v>112.03999999999999</c:v>
                </c:pt>
                <c:pt idx="5">
                  <c:v>113.09</c:v>
                </c:pt>
                <c:pt idx="6">
                  <c:v>114.06</c:v>
                </c:pt>
                <c:pt idx="7">
                  <c:v>115.41</c:v>
                </c:pt>
                <c:pt idx="8">
                  <c:v>116.61</c:v>
                </c:pt>
                <c:pt idx="9">
                  <c:v>117.21</c:v>
                </c:pt>
                <c:pt idx="10">
                  <c:v>117.78</c:v>
                </c:pt>
                <c:pt idx="11">
                  <c:v>118.17999999999999</c:v>
                </c:pt>
                <c:pt idx="12">
                  <c:v>118.58</c:v>
                </c:pt>
                <c:pt idx="13">
                  <c:v>118.86</c:v>
                </c:pt>
                <c:pt idx="14">
                  <c:v>119.14999999999999</c:v>
                </c:pt>
                <c:pt idx="15">
                  <c:v>119.39999999999999</c:v>
                </c:pt>
                <c:pt idx="16">
                  <c:v>119.57</c:v>
                </c:pt>
                <c:pt idx="17">
                  <c:v>119.78999999999999</c:v>
                </c:pt>
                <c:pt idx="18">
                  <c:v>119.92999999999999</c:v>
                </c:pt>
                <c:pt idx="19">
                  <c:v>120.14</c:v>
                </c:pt>
                <c:pt idx="20">
                  <c:v>120.25</c:v>
                </c:pt>
                <c:pt idx="21">
                  <c:v>120.36</c:v>
                </c:pt>
                <c:pt idx="22">
                  <c:v>120.50999999999999</c:v>
                </c:pt>
                <c:pt idx="23">
                  <c:v>120.56</c:v>
                </c:pt>
                <c:pt idx="24">
                  <c:v>120.69</c:v>
                </c:pt>
                <c:pt idx="25">
                  <c:v>120.74</c:v>
                </c:pt>
                <c:pt idx="26">
                  <c:v>120.8</c:v>
                </c:pt>
                <c:pt idx="27">
                  <c:v>120.86999999999999</c:v>
                </c:pt>
                <c:pt idx="28">
                  <c:v>120.92</c:v>
                </c:pt>
                <c:pt idx="29">
                  <c:v>120.97</c:v>
                </c:pt>
                <c:pt idx="30">
                  <c:v>121.02</c:v>
                </c:pt>
                <c:pt idx="31">
                  <c:v>121.03999999999999</c:v>
                </c:pt>
                <c:pt idx="32">
                  <c:v>121.11999999999999</c:v>
                </c:pt>
                <c:pt idx="33">
                  <c:v>121.09</c:v>
                </c:pt>
                <c:pt idx="34">
                  <c:v>121.17</c:v>
                </c:pt>
                <c:pt idx="35">
                  <c:v>121.14</c:v>
                </c:pt>
                <c:pt idx="36">
                  <c:v>121.23</c:v>
                </c:pt>
                <c:pt idx="37">
                  <c:v>121.19</c:v>
                </c:pt>
                <c:pt idx="38">
                  <c:v>121.28</c:v>
                </c:pt>
                <c:pt idx="39">
                  <c:v>121.25999999999999</c:v>
                </c:pt>
                <c:pt idx="40">
                  <c:v>121.34</c:v>
                </c:pt>
                <c:pt idx="41">
                  <c:v>121.31</c:v>
                </c:pt>
                <c:pt idx="42">
                  <c:v>121.38</c:v>
                </c:pt>
                <c:pt idx="43">
                  <c:v>121.36</c:v>
                </c:pt>
                <c:pt idx="44">
                  <c:v>121.42</c:v>
                </c:pt>
                <c:pt idx="45">
                  <c:v>121.41</c:v>
                </c:pt>
                <c:pt idx="46">
                  <c:v>121.45</c:v>
                </c:pt>
                <c:pt idx="47">
                  <c:v>121.47</c:v>
                </c:pt>
                <c:pt idx="48">
                  <c:v>121.47</c:v>
                </c:pt>
                <c:pt idx="49">
                  <c:v>121.52</c:v>
                </c:pt>
                <c:pt idx="50">
                  <c:v>121.5</c:v>
                </c:pt>
                <c:pt idx="51">
                  <c:v>121.56</c:v>
                </c:pt>
                <c:pt idx="52">
                  <c:v>121.53999999999999</c:v>
                </c:pt>
                <c:pt idx="53">
                  <c:v>121.6</c:v>
                </c:pt>
                <c:pt idx="54">
                  <c:v>121.58</c:v>
                </c:pt>
                <c:pt idx="55">
                  <c:v>121.63</c:v>
                </c:pt>
                <c:pt idx="56">
                  <c:v>121.61999999999999</c:v>
                </c:pt>
                <c:pt idx="57">
                  <c:v>121.67</c:v>
                </c:pt>
                <c:pt idx="58">
                  <c:v>121.64</c:v>
                </c:pt>
                <c:pt idx="59">
                  <c:v>121.69</c:v>
                </c:pt>
                <c:pt idx="60">
                  <c:v>121.67999999999999</c:v>
                </c:pt>
                <c:pt idx="61">
                  <c:v>121.72</c:v>
                </c:pt>
                <c:pt idx="62">
                  <c:v>121.71</c:v>
                </c:pt>
                <c:pt idx="63">
                  <c:v>121.75</c:v>
                </c:pt>
                <c:pt idx="64">
                  <c:v>121.75</c:v>
                </c:pt>
                <c:pt idx="65">
                  <c:v>121.78</c:v>
                </c:pt>
                <c:pt idx="66">
                  <c:v>121.78</c:v>
                </c:pt>
                <c:pt idx="67">
                  <c:v>121.8</c:v>
                </c:pt>
                <c:pt idx="68">
                  <c:v>121.82</c:v>
                </c:pt>
                <c:pt idx="69">
                  <c:v>121.82</c:v>
                </c:pt>
                <c:pt idx="70">
                  <c:v>121.85</c:v>
                </c:pt>
                <c:pt idx="71">
                  <c:v>121.84</c:v>
                </c:pt>
                <c:pt idx="72">
                  <c:v>121.89999999999999</c:v>
                </c:pt>
                <c:pt idx="73">
                  <c:v>121.86</c:v>
                </c:pt>
                <c:pt idx="74">
                  <c:v>121.91</c:v>
                </c:pt>
                <c:pt idx="75">
                  <c:v>121.89999999999999</c:v>
                </c:pt>
                <c:pt idx="76">
                  <c:v>121.92999999999999</c:v>
                </c:pt>
                <c:pt idx="77">
                  <c:v>121.94</c:v>
                </c:pt>
                <c:pt idx="78">
                  <c:v>121.95</c:v>
                </c:pt>
                <c:pt idx="79">
                  <c:v>121.96</c:v>
                </c:pt>
                <c:pt idx="80">
                  <c:v>121.96</c:v>
                </c:pt>
                <c:pt idx="81">
                  <c:v>121.98</c:v>
                </c:pt>
                <c:pt idx="82">
                  <c:v>121.97</c:v>
                </c:pt>
                <c:pt idx="83">
                  <c:v>122</c:v>
                </c:pt>
                <c:pt idx="84">
                  <c:v>121.97</c:v>
                </c:pt>
                <c:pt idx="85">
                  <c:v>122.00999999999999</c:v>
                </c:pt>
                <c:pt idx="86">
                  <c:v>121.98</c:v>
                </c:pt>
                <c:pt idx="87">
                  <c:v>122.00999999999999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407-4202-B7AC-7C73385F7BCD}"/>
            </c:ext>
          </c:extLst>
        </c:ser>
        <c:ser>
          <c:idx val="4"/>
          <c:order val="4"/>
          <c:tx>
            <c:strRef>
              <c:f>'DESEMPEÑO 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TEMP1'!$BF$75:$BF$162</c:f>
              <c:numCache>
                <c:formatCode>0.0</c:formatCode>
                <c:ptCount val="88"/>
                <c:pt idx="0">
                  <c:v>108.28</c:v>
                </c:pt>
                <c:pt idx="1">
                  <c:v>109.5</c:v>
                </c:pt>
                <c:pt idx="2">
                  <c:v>110.34</c:v>
                </c:pt>
                <c:pt idx="3">
                  <c:v>111.42</c:v>
                </c:pt>
                <c:pt idx="4">
                  <c:v>112.36</c:v>
                </c:pt>
                <c:pt idx="5">
                  <c:v>113.26</c:v>
                </c:pt>
                <c:pt idx="6">
                  <c:v>114.15</c:v>
                </c:pt>
                <c:pt idx="7">
                  <c:v>116.23</c:v>
                </c:pt>
                <c:pt idx="8">
                  <c:v>117.22</c:v>
                </c:pt>
                <c:pt idx="9">
                  <c:v>117.77</c:v>
                </c:pt>
                <c:pt idx="10">
                  <c:v>118.25</c:v>
                </c:pt>
                <c:pt idx="11">
                  <c:v>118.59</c:v>
                </c:pt>
                <c:pt idx="12">
                  <c:v>118.93</c:v>
                </c:pt>
                <c:pt idx="13">
                  <c:v>119.16</c:v>
                </c:pt>
                <c:pt idx="14">
                  <c:v>119.43</c:v>
                </c:pt>
                <c:pt idx="15">
                  <c:v>119.6</c:v>
                </c:pt>
                <c:pt idx="16">
                  <c:v>119.78</c:v>
                </c:pt>
                <c:pt idx="17">
                  <c:v>119.94</c:v>
                </c:pt>
                <c:pt idx="18">
                  <c:v>120.07</c:v>
                </c:pt>
                <c:pt idx="19">
                  <c:v>120.23</c:v>
                </c:pt>
                <c:pt idx="20">
                  <c:v>120.32</c:v>
                </c:pt>
                <c:pt idx="21">
                  <c:v>120.43</c:v>
                </c:pt>
                <c:pt idx="22">
                  <c:v>120.53</c:v>
                </c:pt>
                <c:pt idx="23">
                  <c:v>120.57</c:v>
                </c:pt>
                <c:pt idx="24">
                  <c:v>120.68</c:v>
                </c:pt>
                <c:pt idx="25">
                  <c:v>120.72</c:v>
                </c:pt>
                <c:pt idx="26">
                  <c:v>120.79</c:v>
                </c:pt>
                <c:pt idx="27">
                  <c:v>120.83</c:v>
                </c:pt>
                <c:pt idx="28">
                  <c:v>120.9</c:v>
                </c:pt>
                <c:pt idx="29">
                  <c:v>120.92</c:v>
                </c:pt>
                <c:pt idx="30">
                  <c:v>121</c:v>
                </c:pt>
                <c:pt idx="31">
                  <c:v>121</c:v>
                </c:pt>
                <c:pt idx="32">
                  <c:v>121.09</c:v>
                </c:pt>
                <c:pt idx="33">
                  <c:v>121.07</c:v>
                </c:pt>
                <c:pt idx="34">
                  <c:v>121.13</c:v>
                </c:pt>
                <c:pt idx="35">
                  <c:v>121.12</c:v>
                </c:pt>
                <c:pt idx="36">
                  <c:v>121.18</c:v>
                </c:pt>
                <c:pt idx="37">
                  <c:v>121.17</c:v>
                </c:pt>
                <c:pt idx="38">
                  <c:v>121.23</c:v>
                </c:pt>
                <c:pt idx="39">
                  <c:v>121.22</c:v>
                </c:pt>
                <c:pt idx="40">
                  <c:v>121.28</c:v>
                </c:pt>
                <c:pt idx="41">
                  <c:v>121.26</c:v>
                </c:pt>
                <c:pt idx="42">
                  <c:v>121.32</c:v>
                </c:pt>
                <c:pt idx="43">
                  <c:v>121.3</c:v>
                </c:pt>
                <c:pt idx="44">
                  <c:v>121.36</c:v>
                </c:pt>
                <c:pt idx="45">
                  <c:v>121.34</c:v>
                </c:pt>
                <c:pt idx="46">
                  <c:v>121.38</c:v>
                </c:pt>
                <c:pt idx="47">
                  <c:v>121.38</c:v>
                </c:pt>
                <c:pt idx="48">
                  <c:v>121.39</c:v>
                </c:pt>
                <c:pt idx="49">
                  <c:v>121.42</c:v>
                </c:pt>
                <c:pt idx="50">
                  <c:v>121.41</c:v>
                </c:pt>
                <c:pt idx="51">
                  <c:v>121.46</c:v>
                </c:pt>
                <c:pt idx="52">
                  <c:v>121.44</c:v>
                </c:pt>
                <c:pt idx="53">
                  <c:v>121.5</c:v>
                </c:pt>
                <c:pt idx="54">
                  <c:v>121.47</c:v>
                </c:pt>
                <c:pt idx="55">
                  <c:v>121.52</c:v>
                </c:pt>
                <c:pt idx="56">
                  <c:v>121.49</c:v>
                </c:pt>
                <c:pt idx="57">
                  <c:v>121.54</c:v>
                </c:pt>
                <c:pt idx="58">
                  <c:v>121.51</c:v>
                </c:pt>
                <c:pt idx="59">
                  <c:v>121.56</c:v>
                </c:pt>
                <c:pt idx="60">
                  <c:v>121.54</c:v>
                </c:pt>
                <c:pt idx="61">
                  <c:v>121.59</c:v>
                </c:pt>
                <c:pt idx="62">
                  <c:v>121.56</c:v>
                </c:pt>
                <c:pt idx="63">
                  <c:v>121.62</c:v>
                </c:pt>
                <c:pt idx="64">
                  <c:v>121.59</c:v>
                </c:pt>
                <c:pt idx="65">
                  <c:v>121.64</c:v>
                </c:pt>
                <c:pt idx="66">
                  <c:v>121.62</c:v>
                </c:pt>
                <c:pt idx="67">
                  <c:v>121.66</c:v>
                </c:pt>
                <c:pt idx="68">
                  <c:v>121.65</c:v>
                </c:pt>
                <c:pt idx="69">
                  <c:v>121.68</c:v>
                </c:pt>
                <c:pt idx="70">
                  <c:v>121.69</c:v>
                </c:pt>
                <c:pt idx="71">
                  <c:v>121.69</c:v>
                </c:pt>
                <c:pt idx="72">
                  <c:v>121.73</c:v>
                </c:pt>
                <c:pt idx="73">
                  <c:v>121.7</c:v>
                </c:pt>
                <c:pt idx="74">
                  <c:v>121.75</c:v>
                </c:pt>
                <c:pt idx="75">
                  <c:v>121.72</c:v>
                </c:pt>
                <c:pt idx="76">
                  <c:v>121.76</c:v>
                </c:pt>
                <c:pt idx="77">
                  <c:v>121.75</c:v>
                </c:pt>
                <c:pt idx="78">
                  <c:v>121.78</c:v>
                </c:pt>
                <c:pt idx="79">
                  <c:v>121.76</c:v>
                </c:pt>
                <c:pt idx="80">
                  <c:v>121.79</c:v>
                </c:pt>
                <c:pt idx="81">
                  <c:v>121.79</c:v>
                </c:pt>
                <c:pt idx="82">
                  <c:v>121.8</c:v>
                </c:pt>
                <c:pt idx="83">
                  <c:v>121.82</c:v>
                </c:pt>
                <c:pt idx="84">
                  <c:v>121.8</c:v>
                </c:pt>
                <c:pt idx="85">
                  <c:v>121.84</c:v>
                </c:pt>
                <c:pt idx="86">
                  <c:v>121.82</c:v>
                </c:pt>
                <c:pt idx="87">
                  <c:v>121.86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407-4202-B7AC-7C73385F7BCD}"/>
            </c:ext>
          </c:extLst>
        </c:ser>
        <c:ser>
          <c:idx val="5"/>
          <c:order val="5"/>
          <c:tx>
            <c:strRef>
              <c:f>'DESEMPEÑO  TEMP1'!$BG$30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TEMP1'!$BG$75:$BG$162</c:f>
              <c:numCache>
                <c:formatCode>0.0</c:formatCode>
                <c:ptCount val="88"/>
                <c:pt idx="0">
                  <c:v>107.24</c:v>
                </c:pt>
                <c:pt idx="1">
                  <c:v>108.45</c:v>
                </c:pt>
                <c:pt idx="2">
                  <c:v>108.93</c:v>
                </c:pt>
                <c:pt idx="3">
                  <c:v>109.79</c:v>
                </c:pt>
                <c:pt idx="4">
                  <c:v>110.42</c:v>
                </c:pt>
                <c:pt idx="5">
                  <c:v>110.89</c:v>
                </c:pt>
                <c:pt idx="6">
                  <c:v>111.59</c:v>
                </c:pt>
                <c:pt idx="7">
                  <c:v>111.82</c:v>
                </c:pt>
                <c:pt idx="8">
                  <c:v>112.62</c:v>
                </c:pt>
                <c:pt idx="9">
                  <c:v>112.76</c:v>
                </c:pt>
                <c:pt idx="10">
                  <c:v>113.55</c:v>
                </c:pt>
                <c:pt idx="11">
                  <c:v>113.72</c:v>
                </c:pt>
                <c:pt idx="12">
                  <c:v>114.33</c:v>
                </c:pt>
                <c:pt idx="13">
                  <c:v>114.66</c:v>
                </c:pt>
                <c:pt idx="14">
                  <c:v>115.04</c:v>
                </c:pt>
                <c:pt idx="15">
                  <c:v>115.51</c:v>
                </c:pt>
                <c:pt idx="16">
                  <c:v>115.6</c:v>
                </c:pt>
                <c:pt idx="17">
                  <c:v>116.23</c:v>
                </c:pt>
                <c:pt idx="18">
                  <c:v>116.25</c:v>
                </c:pt>
                <c:pt idx="19">
                  <c:v>116.76</c:v>
                </c:pt>
                <c:pt idx="20">
                  <c:v>117.05</c:v>
                </c:pt>
                <c:pt idx="21">
                  <c:v>117.16</c:v>
                </c:pt>
                <c:pt idx="22">
                  <c:v>117.63</c:v>
                </c:pt>
                <c:pt idx="23">
                  <c:v>117.63</c:v>
                </c:pt>
                <c:pt idx="24">
                  <c:v>118</c:v>
                </c:pt>
                <c:pt idx="25">
                  <c:v>118.26</c:v>
                </c:pt>
                <c:pt idx="26">
                  <c:v>118.31</c:v>
                </c:pt>
                <c:pt idx="27">
                  <c:v>118.62</c:v>
                </c:pt>
                <c:pt idx="28">
                  <c:v>118.67</c:v>
                </c:pt>
                <c:pt idx="29">
                  <c:v>118.94</c:v>
                </c:pt>
                <c:pt idx="30">
                  <c:v>119.03</c:v>
                </c:pt>
                <c:pt idx="31">
                  <c:v>119.16</c:v>
                </c:pt>
                <c:pt idx="32">
                  <c:v>119.43</c:v>
                </c:pt>
                <c:pt idx="33">
                  <c:v>119.35</c:v>
                </c:pt>
                <c:pt idx="34">
                  <c:v>119.72</c:v>
                </c:pt>
                <c:pt idx="35">
                  <c:v>119.61</c:v>
                </c:pt>
                <c:pt idx="36">
                  <c:v>119.97</c:v>
                </c:pt>
                <c:pt idx="37">
                  <c:v>119.87</c:v>
                </c:pt>
                <c:pt idx="38">
                  <c:v>120.21</c:v>
                </c:pt>
                <c:pt idx="39">
                  <c:v>120.1</c:v>
                </c:pt>
                <c:pt idx="40">
                  <c:v>120.42</c:v>
                </c:pt>
                <c:pt idx="41">
                  <c:v>120.3</c:v>
                </c:pt>
                <c:pt idx="42">
                  <c:v>120.6</c:v>
                </c:pt>
                <c:pt idx="43">
                  <c:v>120.54</c:v>
                </c:pt>
                <c:pt idx="44">
                  <c:v>120.73</c:v>
                </c:pt>
                <c:pt idx="45">
                  <c:v>120.79</c:v>
                </c:pt>
                <c:pt idx="46">
                  <c:v>120.82</c:v>
                </c:pt>
                <c:pt idx="47">
                  <c:v>121.01</c:v>
                </c:pt>
                <c:pt idx="48">
                  <c:v>120.87</c:v>
                </c:pt>
                <c:pt idx="49">
                  <c:v>121.13</c:v>
                </c:pt>
                <c:pt idx="50">
                  <c:v>120.98</c:v>
                </c:pt>
                <c:pt idx="51">
                  <c:v>121.21</c:v>
                </c:pt>
                <c:pt idx="52">
                  <c:v>121.16</c:v>
                </c:pt>
                <c:pt idx="53">
                  <c:v>121.3</c:v>
                </c:pt>
                <c:pt idx="54">
                  <c:v>121.26</c:v>
                </c:pt>
                <c:pt idx="55">
                  <c:v>121.36</c:v>
                </c:pt>
                <c:pt idx="56">
                  <c:v>121.35</c:v>
                </c:pt>
                <c:pt idx="57">
                  <c:v>121.44</c:v>
                </c:pt>
                <c:pt idx="58">
                  <c:v>121.4</c:v>
                </c:pt>
                <c:pt idx="59">
                  <c:v>121.52</c:v>
                </c:pt>
                <c:pt idx="60">
                  <c:v>121.51</c:v>
                </c:pt>
                <c:pt idx="61">
                  <c:v>121.58</c:v>
                </c:pt>
                <c:pt idx="62">
                  <c:v>121.58</c:v>
                </c:pt>
                <c:pt idx="63">
                  <c:v>121.63</c:v>
                </c:pt>
                <c:pt idx="64">
                  <c:v>121.68</c:v>
                </c:pt>
                <c:pt idx="65">
                  <c:v>121.67</c:v>
                </c:pt>
                <c:pt idx="66">
                  <c:v>121.77</c:v>
                </c:pt>
                <c:pt idx="67">
                  <c:v>121.69</c:v>
                </c:pt>
                <c:pt idx="68">
                  <c:v>121.85</c:v>
                </c:pt>
                <c:pt idx="69">
                  <c:v>121.7</c:v>
                </c:pt>
                <c:pt idx="70">
                  <c:v>121.9</c:v>
                </c:pt>
                <c:pt idx="71">
                  <c:v>121.71</c:v>
                </c:pt>
                <c:pt idx="72">
                  <c:v>121.91</c:v>
                </c:pt>
                <c:pt idx="73">
                  <c:v>121.78</c:v>
                </c:pt>
                <c:pt idx="74">
                  <c:v>121.91</c:v>
                </c:pt>
                <c:pt idx="75">
                  <c:v>121.88</c:v>
                </c:pt>
                <c:pt idx="76">
                  <c:v>121.9</c:v>
                </c:pt>
                <c:pt idx="77">
                  <c:v>121.98</c:v>
                </c:pt>
                <c:pt idx="78">
                  <c:v>121.89</c:v>
                </c:pt>
                <c:pt idx="79">
                  <c:v>122.01</c:v>
                </c:pt>
                <c:pt idx="80">
                  <c:v>121.89</c:v>
                </c:pt>
                <c:pt idx="81">
                  <c:v>122.05</c:v>
                </c:pt>
                <c:pt idx="82">
                  <c:v>121.88</c:v>
                </c:pt>
                <c:pt idx="83">
                  <c:v>122.06</c:v>
                </c:pt>
                <c:pt idx="84">
                  <c:v>121.88</c:v>
                </c:pt>
                <c:pt idx="85">
                  <c:v>122.08</c:v>
                </c:pt>
                <c:pt idx="86">
                  <c:v>121.92</c:v>
                </c:pt>
                <c:pt idx="87">
                  <c:v>122.07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407-4202-B7AC-7C73385F7BCD}"/>
            </c:ext>
          </c:extLst>
        </c:ser>
        <c:ser>
          <c:idx val="6"/>
          <c:order val="6"/>
          <c:tx>
            <c:strRef>
              <c:f>'DESEMPEÑO  TEMP1'!$BH$30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TEMP1'!$BH$75:$BH$162</c:f>
              <c:numCache>
                <c:formatCode>0.0</c:formatCode>
                <c:ptCount val="88"/>
                <c:pt idx="0">
                  <c:v>116.05</c:v>
                </c:pt>
                <c:pt idx="1">
                  <c:v>117.06</c:v>
                </c:pt>
                <c:pt idx="2">
                  <c:v>116.99</c:v>
                </c:pt>
                <c:pt idx="3">
                  <c:v>117.48</c:v>
                </c:pt>
                <c:pt idx="4">
                  <c:v>117.85</c:v>
                </c:pt>
                <c:pt idx="5">
                  <c:v>117.75</c:v>
                </c:pt>
                <c:pt idx="6">
                  <c:v>118.37</c:v>
                </c:pt>
                <c:pt idx="7">
                  <c:v>117.9</c:v>
                </c:pt>
                <c:pt idx="8">
                  <c:v>118.78</c:v>
                </c:pt>
                <c:pt idx="9">
                  <c:v>118.33</c:v>
                </c:pt>
                <c:pt idx="10">
                  <c:v>119.05</c:v>
                </c:pt>
                <c:pt idx="11">
                  <c:v>118.73</c:v>
                </c:pt>
                <c:pt idx="12">
                  <c:v>119.14</c:v>
                </c:pt>
                <c:pt idx="13">
                  <c:v>119.22</c:v>
                </c:pt>
                <c:pt idx="14">
                  <c:v>119.21</c:v>
                </c:pt>
                <c:pt idx="15">
                  <c:v>119.58</c:v>
                </c:pt>
                <c:pt idx="16">
                  <c:v>119.11</c:v>
                </c:pt>
                <c:pt idx="17">
                  <c:v>119.88</c:v>
                </c:pt>
                <c:pt idx="18">
                  <c:v>119.43</c:v>
                </c:pt>
                <c:pt idx="19">
                  <c:v>119.89</c:v>
                </c:pt>
                <c:pt idx="20">
                  <c:v>120.06</c:v>
                </c:pt>
                <c:pt idx="21">
                  <c:v>119.75</c:v>
                </c:pt>
                <c:pt idx="22">
                  <c:v>120.34</c:v>
                </c:pt>
                <c:pt idx="23">
                  <c:v>120.05</c:v>
                </c:pt>
                <c:pt idx="24">
                  <c:v>120.31</c:v>
                </c:pt>
                <c:pt idx="25">
                  <c:v>120.55</c:v>
                </c:pt>
                <c:pt idx="26">
                  <c:v>120.23</c:v>
                </c:pt>
                <c:pt idx="27">
                  <c:v>120.67</c:v>
                </c:pt>
                <c:pt idx="28">
                  <c:v>120.37</c:v>
                </c:pt>
                <c:pt idx="29">
                  <c:v>120.75</c:v>
                </c:pt>
                <c:pt idx="30">
                  <c:v>120.59</c:v>
                </c:pt>
                <c:pt idx="31">
                  <c:v>120.67</c:v>
                </c:pt>
                <c:pt idx="32">
                  <c:v>120.98</c:v>
                </c:pt>
                <c:pt idx="33">
                  <c:v>120.56</c:v>
                </c:pt>
                <c:pt idx="34">
                  <c:v>121.13</c:v>
                </c:pt>
                <c:pt idx="35">
                  <c:v>120.69</c:v>
                </c:pt>
                <c:pt idx="36">
                  <c:v>121.24</c:v>
                </c:pt>
                <c:pt idx="37">
                  <c:v>120.84</c:v>
                </c:pt>
                <c:pt idx="38">
                  <c:v>121.38</c:v>
                </c:pt>
                <c:pt idx="39">
                  <c:v>120.95</c:v>
                </c:pt>
                <c:pt idx="40">
                  <c:v>121.47</c:v>
                </c:pt>
                <c:pt idx="41">
                  <c:v>121.05</c:v>
                </c:pt>
                <c:pt idx="42">
                  <c:v>121.52</c:v>
                </c:pt>
                <c:pt idx="43">
                  <c:v>121.27</c:v>
                </c:pt>
                <c:pt idx="44">
                  <c:v>121.51</c:v>
                </c:pt>
                <c:pt idx="45">
                  <c:v>121.57</c:v>
                </c:pt>
                <c:pt idx="46">
                  <c:v>121.44</c:v>
                </c:pt>
                <c:pt idx="47">
                  <c:v>121.79</c:v>
                </c:pt>
                <c:pt idx="48">
                  <c:v>121.27</c:v>
                </c:pt>
                <c:pt idx="49">
                  <c:v>121.84</c:v>
                </c:pt>
                <c:pt idx="50">
                  <c:v>121.41</c:v>
                </c:pt>
                <c:pt idx="51">
                  <c:v>121.81</c:v>
                </c:pt>
                <c:pt idx="52">
                  <c:v>121.62</c:v>
                </c:pt>
                <c:pt idx="53">
                  <c:v>121.81</c:v>
                </c:pt>
                <c:pt idx="54">
                  <c:v>121.68</c:v>
                </c:pt>
                <c:pt idx="55">
                  <c:v>121.8</c:v>
                </c:pt>
                <c:pt idx="56">
                  <c:v>121.71</c:v>
                </c:pt>
                <c:pt idx="57">
                  <c:v>121.85</c:v>
                </c:pt>
                <c:pt idx="58">
                  <c:v>121.72</c:v>
                </c:pt>
                <c:pt idx="59">
                  <c:v>121.91</c:v>
                </c:pt>
                <c:pt idx="60">
                  <c:v>121.9</c:v>
                </c:pt>
                <c:pt idx="61">
                  <c:v>121.93</c:v>
                </c:pt>
                <c:pt idx="62">
                  <c:v>122.01</c:v>
                </c:pt>
                <c:pt idx="63">
                  <c:v>121.97</c:v>
                </c:pt>
                <c:pt idx="64">
                  <c:v>122.12</c:v>
                </c:pt>
                <c:pt idx="65">
                  <c:v>121.92</c:v>
                </c:pt>
                <c:pt idx="66">
                  <c:v>122.23</c:v>
                </c:pt>
                <c:pt idx="67">
                  <c:v>121.88</c:v>
                </c:pt>
                <c:pt idx="68">
                  <c:v>122.34</c:v>
                </c:pt>
                <c:pt idx="69">
                  <c:v>121.8</c:v>
                </c:pt>
                <c:pt idx="70">
                  <c:v>122.36</c:v>
                </c:pt>
                <c:pt idx="71">
                  <c:v>121.74</c:v>
                </c:pt>
                <c:pt idx="72">
                  <c:v>122.3</c:v>
                </c:pt>
                <c:pt idx="73">
                  <c:v>121.93</c:v>
                </c:pt>
                <c:pt idx="74">
                  <c:v>122.21</c:v>
                </c:pt>
                <c:pt idx="75">
                  <c:v>122.18</c:v>
                </c:pt>
                <c:pt idx="76">
                  <c:v>122.1</c:v>
                </c:pt>
                <c:pt idx="77">
                  <c:v>122.37</c:v>
                </c:pt>
                <c:pt idx="78">
                  <c:v>121.99</c:v>
                </c:pt>
                <c:pt idx="79">
                  <c:v>122.43</c:v>
                </c:pt>
                <c:pt idx="80">
                  <c:v>121.94</c:v>
                </c:pt>
                <c:pt idx="81">
                  <c:v>122.44</c:v>
                </c:pt>
                <c:pt idx="82">
                  <c:v>121.86</c:v>
                </c:pt>
                <c:pt idx="83">
                  <c:v>122.41</c:v>
                </c:pt>
                <c:pt idx="84">
                  <c:v>121.86</c:v>
                </c:pt>
                <c:pt idx="85">
                  <c:v>122.41</c:v>
                </c:pt>
                <c:pt idx="86">
                  <c:v>121.93</c:v>
                </c:pt>
                <c:pt idx="87">
                  <c:v>122.33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407-4202-B7AC-7C73385F7BCD}"/>
            </c:ext>
          </c:extLst>
        </c:ser>
        <c:ser>
          <c:idx val="7"/>
          <c:order val="7"/>
          <c:tx>
            <c:strRef>
              <c:f>'DESEMPEÑO  TEMP1'!$BI$30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TEMP1'!$BI$75:$BI$162</c:f>
              <c:numCache>
                <c:formatCode>0.0</c:formatCode>
                <c:ptCount val="88"/>
                <c:pt idx="0">
                  <c:v>117.81</c:v>
                </c:pt>
                <c:pt idx="1">
                  <c:v>118.35</c:v>
                </c:pt>
                <c:pt idx="2">
                  <c:v>118.07</c:v>
                </c:pt>
                <c:pt idx="3">
                  <c:v>118.73</c:v>
                </c:pt>
                <c:pt idx="4">
                  <c:v>118.45</c:v>
                </c:pt>
                <c:pt idx="5">
                  <c:v>118.99</c:v>
                </c:pt>
                <c:pt idx="6">
                  <c:v>118.9</c:v>
                </c:pt>
                <c:pt idx="7">
                  <c:v>119.06</c:v>
                </c:pt>
                <c:pt idx="8">
                  <c:v>119.3</c:v>
                </c:pt>
                <c:pt idx="9">
                  <c:v>119.2</c:v>
                </c:pt>
                <c:pt idx="10">
                  <c:v>119.65</c:v>
                </c:pt>
                <c:pt idx="11">
                  <c:v>119.4</c:v>
                </c:pt>
                <c:pt idx="12">
                  <c:v>119.88</c:v>
                </c:pt>
                <c:pt idx="13">
                  <c:v>119.63</c:v>
                </c:pt>
                <c:pt idx="14">
                  <c:v>120.05</c:v>
                </c:pt>
                <c:pt idx="15">
                  <c:v>119.91</c:v>
                </c:pt>
                <c:pt idx="16">
                  <c:v>120.1</c:v>
                </c:pt>
                <c:pt idx="17">
                  <c:v>120.3</c:v>
                </c:pt>
                <c:pt idx="18">
                  <c:v>120.26</c:v>
                </c:pt>
                <c:pt idx="19">
                  <c:v>120.56</c:v>
                </c:pt>
                <c:pt idx="20">
                  <c:v>120.43</c:v>
                </c:pt>
                <c:pt idx="21">
                  <c:v>120.62</c:v>
                </c:pt>
                <c:pt idx="22">
                  <c:v>120.74</c:v>
                </c:pt>
                <c:pt idx="23">
                  <c:v>120.7</c:v>
                </c:pt>
                <c:pt idx="24">
                  <c:v>120.94</c:v>
                </c:pt>
                <c:pt idx="25">
                  <c:v>120.87</c:v>
                </c:pt>
                <c:pt idx="26">
                  <c:v>121</c:v>
                </c:pt>
                <c:pt idx="27">
                  <c:v>121.06</c:v>
                </c:pt>
                <c:pt idx="28">
                  <c:v>121.14</c:v>
                </c:pt>
                <c:pt idx="29">
                  <c:v>121.14</c:v>
                </c:pt>
                <c:pt idx="30">
                  <c:v>121.27</c:v>
                </c:pt>
                <c:pt idx="31">
                  <c:v>121.03</c:v>
                </c:pt>
                <c:pt idx="32">
                  <c:v>121.46</c:v>
                </c:pt>
                <c:pt idx="33">
                  <c:v>121.09</c:v>
                </c:pt>
                <c:pt idx="34">
                  <c:v>121.29</c:v>
                </c:pt>
                <c:pt idx="35">
                  <c:v>121.24</c:v>
                </c:pt>
                <c:pt idx="36">
                  <c:v>121.33</c:v>
                </c:pt>
                <c:pt idx="37">
                  <c:v>121.31</c:v>
                </c:pt>
                <c:pt idx="38">
                  <c:v>121.35</c:v>
                </c:pt>
                <c:pt idx="39">
                  <c:v>121.4</c:v>
                </c:pt>
                <c:pt idx="40">
                  <c:v>121.35</c:v>
                </c:pt>
                <c:pt idx="41">
                  <c:v>121.47</c:v>
                </c:pt>
                <c:pt idx="42">
                  <c:v>121.34</c:v>
                </c:pt>
                <c:pt idx="43">
                  <c:v>121.72</c:v>
                </c:pt>
                <c:pt idx="44">
                  <c:v>121.39</c:v>
                </c:pt>
                <c:pt idx="45">
                  <c:v>122.38</c:v>
                </c:pt>
                <c:pt idx="46">
                  <c:v>121.42</c:v>
                </c:pt>
                <c:pt idx="47">
                  <c:v>122.42</c:v>
                </c:pt>
                <c:pt idx="48">
                  <c:v>121.45</c:v>
                </c:pt>
                <c:pt idx="49">
                  <c:v>121.87</c:v>
                </c:pt>
                <c:pt idx="50">
                  <c:v>121.72</c:v>
                </c:pt>
                <c:pt idx="51">
                  <c:v>121.51</c:v>
                </c:pt>
                <c:pt idx="52">
                  <c:v>122.13</c:v>
                </c:pt>
                <c:pt idx="53">
                  <c:v>121.44</c:v>
                </c:pt>
                <c:pt idx="54">
                  <c:v>122.2</c:v>
                </c:pt>
                <c:pt idx="55">
                  <c:v>121.42</c:v>
                </c:pt>
                <c:pt idx="56">
                  <c:v>122.21</c:v>
                </c:pt>
                <c:pt idx="57">
                  <c:v>121.47</c:v>
                </c:pt>
                <c:pt idx="58">
                  <c:v>122.15</c:v>
                </c:pt>
                <c:pt idx="59">
                  <c:v>121.57</c:v>
                </c:pt>
                <c:pt idx="60">
                  <c:v>122.56</c:v>
                </c:pt>
                <c:pt idx="61">
                  <c:v>121.5</c:v>
                </c:pt>
                <c:pt idx="62">
                  <c:v>122.77</c:v>
                </c:pt>
                <c:pt idx="63">
                  <c:v>121.52</c:v>
                </c:pt>
                <c:pt idx="64">
                  <c:v>123.02</c:v>
                </c:pt>
                <c:pt idx="65">
                  <c:v>121.37</c:v>
                </c:pt>
                <c:pt idx="66">
                  <c:v>122.98</c:v>
                </c:pt>
                <c:pt idx="67">
                  <c:v>121.26</c:v>
                </c:pt>
                <c:pt idx="68">
                  <c:v>123</c:v>
                </c:pt>
                <c:pt idx="69">
                  <c:v>121.11</c:v>
                </c:pt>
                <c:pt idx="70">
                  <c:v>122.69</c:v>
                </c:pt>
                <c:pt idx="71">
                  <c:v>121.34</c:v>
                </c:pt>
                <c:pt idx="72">
                  <c:v>122.25</c:v>
                </c:pt>
                <c:pt idx="73">
                  <c:v>122.17</c:v>
                </c:pt>
                <c:pt idx="74">
                  <c:v>121.9</c:v>
                </c:pt>
                <c:pt idx="75">
                  <c:v>122.86</c:v>
                </c:pt>
                <c:pt idx="76">
                  <c:v>121.58</c:v>
                </c:pt>
                <c:pt idx="77">
                  <c:v>123</c:v>
                </c:pt>
                <c:pt idx="78">
                  <c:v>121.27</c:v>
                </c:pt>
                <c:pt idx="79">
                  <c:v>123.03</c:v>
                </c:pt>
                <c:pt idx="80">
                  <c:v>121.14</c:v>
                </c:pt>
                <c:pt idx="81">
                  <c:v>122.94</c:v>
                </c:pt>
                <c:pt idx="82">
                  <c:v>121.07</c:v>
                </c:pt>
                <c:pt idx="83">
                  <c:v>122.66</c:v>
                </c:pt>
                <c:pt idx="84">
                  <c:v>121.47</c:v>
                </c:pt>
                <c:pt idx="85">
                  <c:v>122.47</c:v>
                </c:pt>
                <c:pt idx="86">
                  <c:v>121.81</c:v>
                </c:pt>
                <c:pt idx="87">
                  <c:v>122.08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407-4202-B7AC-7C73385F7BCD}"/>
            </c:ext>
          </c:extLst>
        </c:ser>
        <c:ser>
          <c:idx val="8"/>
          <c:order val="8"/>
          <c:tx>
            <c:strRef>
              <c:f>'DESEMPEÑO  TEMP1'!$BJ$30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TEMP1'!$BJ$75:$BJ$162</c:f>
              <c:numCache>
                <c:formatCode>0.0</c:formatCode>
                <c:ptCount val="88"/>
                <c:pt idx="0">
                  <c:v>122.41</c:v>
                </c:pt>
                <c:pt idx="1">
                  <c:v>122.29</c:v>
                </c:pt>
                <c:pt idx="2">
                  <c:v>123.2</c:v>
                </c:pt>
                <c:pt idx="3">
                  <c:v>121.62</c:v>
                </c:pt>
                <c:pt idx="4">
                  <c:v>123.04</c:v>
                </c:pt>
                <c:pt idx="5">
                  <c:v>121.06</c:v>
                </c:pt>
                <c:pt idx="6">
                  <c:v>123.12</c:v>
                </c:pt>
                <c:pt idx="7">
                  <c:v>121.39</c:v>
                </c:pt>
                <c:pt idx="8">
                  <c:v>122.73</c:v>
                </c:pt>
                <c:pt idx="9">
                  <c:v>122.29</c:v>
                </c:pt>
                <c:pt idx="10">
                  <c:v>122.74</c:v>
                </c:pt>
                <c:pt idx="11">
                  <c:v>122.75</c:v>
                </c:pt>
                <c:pt idx="12">
                  <c:v>122.28</c:v>
                </c:pt>
                <c:pt idx="13">
                  <c:v>123.41</c:v>
                </c:pt>
                <c:pt idx="14">
                  <c:v>121.63</c:v>
                </c:pt>
                <c:pt idx="15">
                  <c:v>123.63</c:v>
                </c:pt>
                <c:pt idx="16">
                  <c:v>121.44</c:v>
                </c:pt>
                <c:pt idx="17">
                  <c:v>123.22</c:v>
                </c:pt>
                <c:pt idx="18">
                  <c:v>122.58</c:v>
                </c:pt>
                <c:pt idx="19">
                  <c:v>121.74</c:v>
                </c:pt>
                <c:pt idx="20">
                  <c:v>122.98</c:v>
                </c:pt>
                <c:pt idx="21">
                  <c:v>121.19</c:v>
                </c:pt>
                <c:pt idx="22">
                  <c:v>122.44</c:v>
                </c:pt>
                <c:pt idx="23">
                  <c:v>123.05</c:v>
                </c:pt>
                <c:pt idx="24">
                  <c:v>121.49</c:v>
                </c:pt>
                <c:pt idx="25">
                  <c:v>123.09</c:v>
                </c:pt>
                <c:pt idx="26">
                  <c:v>120.91</c:v>
                </c:pt>
                <c:pt idx="27">
                  <c:v>123.23</c:v>
                </c:pt>
                <c:pt idx="28">
                  <c:v>121.06</c:v>
                </c:pt>
                <c:pt idx="29">
                  <c:v>123.54</c:v>
                </c:pt>
                <c:pt idx="30">
                  <c:v>121.37</c:v>
                </c:pt>
                <c:pt idx="31">
                  <c:v>122.92</c:v>
                </c:pt>
                <c:pt idx="32">
                  <c:v>122.25</c:v>
                </c:pt>
                <c:pt idx="33">
                  <c:v>122.08</c:v>
                </c:pt>
                <c:pt idx="34">
                  <c:v>122.96</c:v>
                </c:pt>
                <c:pt idx="35">
                  <c:v>122.08</c:v>
                </c:pt>
                <c:pt idx="36">
                  <c:v>122.44</c:v>
                </c:pt>
                <c:pt idx="37">
                  <c:v>122.33</c:v>
                </c:pt>
                <c:pt idx="38">
                  <c:v>122.67</c:v>
                </c:pt>
                <c:pt idx="39">
                  <c:v>122.35</c:v>
                </c:pt>
                <c:pt idx="40">
                  <c:v>122.27</c:v>
                </c:pt>
                <c:pt idx="41">
                  <c:v>122.46</c:v>
                </c:pt>
                <c:pt idx="42">
                  <c:v>121.99</c:v>
                </c:pt>
                <c:pt idx="43">
                  <c:v>122.94</c:v>
                </c:pt>
                <c:pt idx="44">
                  <c:v>121.61</c:v>
                </c:pt>
                <c:pt idx="45">
                  <c:v>123</c:v>
                </c:pt>
                <c:pt idx="46">
                  <c:v>121.19</c:v>
                </c:pt>
                <c:pt idx="47">
                  <c:v>122.83</c:v>
                </c:pt>
                <c:pt idx="48">
                  <c:v>121.28</c:v>
                </c:pt>
                <c:pt idx="49">
                  <c:v>122.26</c:v>
                </c:pt>
                <c:pt idx="50">
                  <c:v>122.57</c:v>
                </c:pt>
                <c:pt idx="51">
                  <c:v>121.71</c:v>
                </c:pt>
                <c:pt idx="52">
                  <c:v>122.9</c:v>
                </c:pt>
                <c:pt idx="53">
                  <c:v>121.56</c:v>
                </c:pt>
                <c:pt idx="54">
                  <c:v>122.88</c:v>
                </c:pt>
                <c:pt idx="55">
                  <c:v>121.44</c:v>
                </c:pt>
                <c:pt idx="56">
                  <c:v>122.86</c:v>
                </c:pt>
                <c:pt idx="57">
                  <c:v>121.52</c:v>
                </c:pt>
                <c:pt idx="58">
                  <c:v>122.7</c:v>
                </c:pt>
                <c:pt idx="59">
                  <c:v>121.6</c:v>
                </c:pt>
                <c:pt idx="60">
                  <c:v>123.08</c:v>
                </c:pt>
                <c:pt idx="61">
                  <c:v>121.43</c:v>
                </c:pt>
                <c:pt idx="62">
                  <c:v>123.09</c:v>
                </c:pt>
                <c:pt idx="63">
                  <c:v>121.52</c:v>
                </c:pt>
                <c:pt idx="64">
                  <c:v>123.04</c:v>
                </c:pt>
                <c:pt idx="65">
                  <c:v>121.35</c:v>
                </c:pt>
                <c:pt idx="66">
                  <c:v>123.1</c:v>
                </c:pt>
                <c:pt idx="67">
                  <c:v>121.29</c:v>
                </c:pt>
                <c:pt idx="68">
                  <c:v>123.16</c:v>
                </c:pt>
                <c:pt idx="69">
                  <c:v>120.94</c:v>
                </c:pt>
                <c:pt idx="70">
                  <c:v>122.74</c:v>
                </c:pt>
                <c:pt idx="71">
                  <c:v>121.96</c:v>
                </c:pt>
                <c:pt idx="72">
                  <c:v>122.33</c:v>
                </c:pt>
                <c:pt idx="73">
                  <c:v>122.66</c:v>
                </c:pt>
                <c:pt idx="74">
                  <c:v>121.9</c:v>
                </c:pt>
                <c:pt idx="75">
                  <c:v>123.12</c:v>
                </c:pt>
                <c:pt idx="76">
                  <c:v>121.39</c:v>
                </c:pt>
                <c:pt idx="77">
                  <c:v>123.12</c:v>
                </c:pt>
                <c:pt idx="78">
                  <c:v>120.95</c:v>
                </c:pt>
                <c:pt idx="79">
                  <c:v>123.11</c:v>
                </c:pt>
                <c:pt idx="80">
                  <c:v>120.87</c:v>
                </c:pt>
                <c:pt idx="81">
                  <c:v>122.76</c:v>
                </c:pt>
                <c:pt idx="82">
                  <c:v>121.37</c:v>
                </c:pt>
                <c:pt idx="83">
                  <c:v>122.59</c:v>
                </c:pt>
                <c:pt idx="84">
                  <c:v>121.91</c:v>
                </c:pt>
                <c:pt idx="85">
                  <c:v>122.24</c:v>
                </c:pt>
                <c:pt idx="86">
                  <c:v>122.3</c:v>
                </c:pt>
                <c:pt idx="87">
                  <c:v>121.88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407-4202-B7AC-7C73385F7BCD}"/>
            </c:ext>
          </c:extLst>
        </c:ser>
        <c:ser>
          <c:idx val="9"/>
          <c:order val="9"/>
          <c:tx>
            <c:strRef>
              <c:f>'DESEMPEÑO  TEMP1'!$BK$30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'DESEMPEÑO  TEMP1'!$B$75:$B$162</c:f>
              <c:numCache>
                <c:formatCode>h:mm:ss\ AM/PM</c:formatCode>
                <c:ptCount val="88"/>
                <c:pt idx="0">
                  <c:v>0.58472222222222225</c:v>
                </c:pt>
                <c:pt idx="1">
                  <c:v>0.58506944444444442</c:v>
                </c:pt>
                <c:pt idx="2">
                  <c:v>0.5854166666666667</c:v>
                </c:pt>
                <c:pt idx="3">
                  <c:v>0.58576388888888886</c:v>
                </c:pt>
                <c:pt idx="4">
                  <c:v>0.58611111111111114</c:v>
                </c:pt>
                <c:pt idx="5">
                  <c:v>0.5864583333333333</c:v>
                </c:pt>
                <c:pt idx="6">
                  <c:v>0.58680555555555558</c:v>
                </c:pt>
                <c:pt idx="7">
                  <c:v>0.58715277777777775</c:v>
                </c:pt>
                <c:pt idx="8">
                  <c:v>0.58750000000000002</c:v>
                </c:pt>
                <c:pt idx="9">
                  <c:v>0.58784722222222219</c:v>
                </c:pt>
                <c:pt idx="10">
                  <c:v>0.58819444444444446</c:v>
                </c:pt>
                <c:pt idx="11">
                  <c:v>0.58854166666666663</c:v>
                </c:pt>
                <c:pt idx="12">
                  <c:v>0.58888888888888891</c:v>
                </c:pt>
                <c:pt idx="13">
                  <c:v>0.58923611111111118</c:v>
                </c:pt>
                <c:pt idx="14">
                  <c:v>0.58958333333333335</c:v>
                </c:pt>
                <c:pt idx="15">
                  <c:v>0.58993055555555551</c:v>
                </c:pt>
                <c:pt idx="16">
                  <c:v>0.59027777777777779</c:v>
                </c:pt>
                <c:pt idx="17">
                  <c:v>0.59062500000000007</c:v>
                </c:pt>
                <c:pt idx="18">
                  <c:v>0.59097222222222223</c:v>
                </c:pt>
                <c:pt idx="19">
                  <c:v>0.5913194444444444</c:v>
                </c:pt>
                <c:pt idx="20">
                  <c:v>0.59166666666666667</c:v>
                </c:pt>
                <c:pt idx="21">
                  <c:v>0.59201388888888895</c:v>
                </c:pt>
                <c:pt idx="22">
                  <c:v>0.59236111111111112</c:v>
                </c:pt>
                <c:pt idx="23">
                  <c:v>0.59270833333333328</c:v>
                </c:pt>
                <c:pt idx="24">
                  <c:v>0.59305555555555556</c:v>
                </c:pt>
                <c:pt idx="25">
                  <c:v>0.59340277777777783</c:v>
                </c:pt>
                <c:pt idx="26">
                  <c:v>0.59375</c:v>
                </c:pt>
                <c:pt idx="27">
                  <c:v>0.59409722222222217</c:v>
                </c:pt>
                <c:pt idx="28">
                  <c:v>0.59444444444444444</c:v>
                </c:pt>
                <c:pt idx="29">
                  <c:v>0.59479166666666672</c:v>
                </c:pt>
                <c:pt idx="30">
                  <c:v>0.59513888888888888</c:v>
                </c:pt>
                <c:pt idx="31">
                  <c:v>0.59548611111111105</c:v>
                </c:pt>
                <c:pt idx="32">
                  <c:v>0.59583333333333333</c:v>
                </c:pt>
                <c:pt idx="33">
                  <c:v>0.5961805555555556</c:v>
                </c:pt>
                <c:pt idx="34">
                  <c:v>0.59652777777777777</c:v>
                </c:pt>
                <c:pt idx="35">
                  <c:v>0.59687499999999993</c:v>
                </c:pt>
                <c:pt idx="36">
                  <c:v>0.59722222222222221</c:v>
                </c:pt>
                <c:pt idx="37">
                  <c:v>0.59756944444444449</c:v>
                </c:pt>
                <c:pt idx="38">
                  <c:v>0.59791666666666665</c:v>
                </c:pt>
                <c:pt idx="39">
                  <c:v>0.59826388888888882</c:v>
                </c:pt>
                <c:pt idx="40">
                  <c:v>0.59861111111111109</c:v>
                </c:pt>
                <c:pt idx="41">
                  <c:v>0.59895833333333337</c:v>
                </c:pt>
                <c:pt idx="42">
                  <c:v>0.59930555555555554</c:v>
                </c:pt>
                <c:pt idx="43">
                  <c:v>0.59965277777777781</c:v>
                </c:pt>
                <c:pt idx="44">
                  <c:v>0.6</c:v>
                </c:pt>
                <c:pt idx="45">
                  <c:v>0.60034722222222225</c:v>
                </c:pt>
                <c:pt idx="46">
                  <c:v>0.60069444444444442</c:v>
                </c:pt>
                <c:pt idx="47">
                  <c:v>0.6010416666666667</c:v>
                </c:pt>
                <c:pt idx="48">
                  <c:v>0.60138888888888886</c:v>
                </c:pt>
                <c:pt idx="49">
                  <c:v>0.60173611111111114</c:v>
                </c:pt>
                <c:pt idx="50">
                  <c:v>0.6020833333333333</c:v>
                </c:pt>
                <c:pt idx="51">
                  <c:v>0.60243055555555558</c:v>
                </c:pt>
                <c:pt idx="52">
                  <c:v>0.60277777777777775</c:v>
                </c:pt>
                <c:pt idx="53">
                  <c:v>0.60312500000000002</c:v>
                </c:pt>
                <c:pt idx="54">
                  <c:v>0.60347222222222219</c:v>
                </c:pt>
                <c:pt idx="55">
                  <c:v>0.60381944444444446</c:v>
                </c:pt>
                <c:pt idx="56">
                  <c:v>0.60416666666666663</c:v>
                </c:pt>
                <c:pt idx="57">
                  <c:v>0.60451388888888891</c:v>
                </c:pt>
                <c:pt idx="58">
                  <c:v>0.60486111111111118</c:v>
                </c:pt>
                <c:pt idx="59">
                  <c:v>0.60520833333333335</c:v>
                </c:pt>
                <c:pt idx="60">
                  <c:v>0.60555555555555551</c:v>
                </c:pt>
                <c:pt idx="61">
                  <c:v>0.60590277777777779</c:v>
                </c:pt>
                <c:pt idx="62">
                  <c:v>0.60625000000000007</c:v>
                </c:pt>
                <c:pt idx="63">
                  <c:v>0.60659722222222223</c:v>
                </c:pt>
                <c:pt idx="64">
                  <c:v>0.6069444444444444</c:v>
                </c:pt>
                <c:pt idx="65">
                  <c:v>0.60729166666666667</c:v>
                </c:pt>
                <c:pt idx="66">
                  <c:v>0.60763888888888895</c:v>
                </c:pt>
                <c:pt idx="67">
                  <c:v>0.60798611111111112</c:v>
                </c:pt>
                <c:pt idx="68">
                  <c:v>0.60833333333333328</c:v>
                </c:pt>
                <c:pt idx="69">
                  <c:v>0.60868055555555556</c:v>
                </c:pt>
                <c:pt idx="70">
                  <c:v>0.60902777777777783</c:v>
                </c:pt>
                <c:pt idx="71">
                  <c:v>0.609375</c:v>
                </c:pt>
                <c:pt idx="72">
                  <c:v>0.60972222222222217</c:v>
                </c:pt>
                <c:pt idx="73">
                  <c:v>0.61006944444444444</c:v>
                </c:pt>
                <c:pt idx="74">
                  <c:v>0.61041666666666672</c:v>
                </c:pt>
                <c:pt idx="75">
                  <c:v>0.61076388888888888</c:v>
                </c:pt>
                <c:pt idx="76">
                  <c:v>0.61111111111111105</c:v>
                </c:pt>
                <c:pt idx="77">
                  <c:v>0.61145833333333333</c:v>
                </c:pt>
                <c:pt idx="78">
                  <c:v>0.6118055555555556</c:v>
                </c:pt>
                <c:pt idx="79">
                  <c:v>0.61215277777777777</c:v>
                </c:pt>
                <c:pt idx="80">
                  <c:v>0.61249999999999993</c:v>
                </c:pt>
                <c:pt idx="81">
                  <c:v>0.61284722222222221</c:v>
                </c:pt>
                <c:pt idx="82">
                  <c:v>0.61319444444444449</c:v>
                </c:pt>
                <c:pt idx="83">
                  <c:v>0.61354166666666665</c:v>
                </c:pt>
                <c:pt idx="84">
                  <c:v>0.61388888888888882</c:v>
                </c:pt>
                <c:pt idx="85">
                  <c:v>0.61423611111111109</c:v>
                </c:pt>
                <c:pt idx="86">
                  <c:v>0.61458333333333337</c:v>
                </c:pt>
                <c:pt idx="87">
                  <c:v>0.61493055555555554</c:v>
                </c:pt>
              </c:numCache>
            </c:numRef>
          </c:cat>
          <c:val>
            <c:numRef>
              <c:f>'DESEMPEÑO  TEMP1'!$BK$75:$BK$162</c:f>
              <c:numCache>
                <c:formatCode>0.0</c:formatCode>
                <c:ptCount val="88"/>
                <c:pt idx="0">
                  <c:v>121.03</c:v>
                </c:pt>
                <c:pt idx="1">
                  <c:v>121.5</c:v>
                </c:pt>
                <c:pt idx="2">
                  <c:v>121.38</c:v>
                </c:pt>
                <c:pt idx="3">
                  <c:v>121.72</c:v>
                </c:pt>
                <c:pt idx="4">
                  <c:v>121.7</c:v>
                </c:pt>
                <c:pt idx="5">
                  <c:v>121.81</c:v>
                </c:pt>
                <c:pt idx="6">
                  <c:v>121.91</c:v>
                </c:pt>
                <c:pt idx="7">
                  <c:v>121.83</c:v>
                </c:pt>
                <c:pt idx="8">
                  <c:v>122.06</c:v>
                </c:pt>
                <c:pt idx="9">
                  <c:v>121.85</c:v>
                </c:pt>
                <c:pt idx="10">
                  <c:v>122.13</c:v>
                </c:pt>
                <c:pt idx="11">
                  <c:v>121.9</c:v>
                </c:pt>
                <c:pt idx="12">
                  <c:v>122.11</c:v>
                </c:pt>
                <c:pt idx="13">
                  <c:v>121.99</c:v>
                </c:pt>
                <c:pt idx="14">
                  <c:v>122.08</c:v>
                </c:pt>
                <c:pt idx="15">
                  <c:v>122.09</c:v>
                </c:pt>
                <c:pt idx="16">
                  <c:v>121.98</c:v>
                </c:pt>
                <c:pt idx="17">
                  <c:v>122.18</c:v>
                </c:pt>
                <c:pt idx="18">
                  <c:v>121.99</c:v>
                </c:pt>
                <c:pt idx="19">
                  <c:v>122.19</c:v>
                </c:pt>
                <c:pt idx="20">
                  <c:v>122.11</c:v>
                </c:pt>
                <c:pt idx="21">
                  <c:v>122.05</c:v>
                </c:pt>
                <c:pt idx="22">
                  <c:v>122.23</c:v>
                </c:pt>
                <c:pt idx="23">
                  <c:v>122.04</c:v>
                </c:pt>
                <c:pt idx="24">
                  <c:v>122.18</c:v>
                </c:pt>
                <c:pt idx="25">
                  <c:v>122.15</c:v>
                </c:pt>
                <c:pt idx="26">
                  <c:v>122.09</c:v>
                </c:pt>
                <c:pt idx="27">
                  <c:v>122.15</c:v>
                </c:pt>
                <c:pt idx="28">
                  <c:v>122.07</c:v>
                </c:pt>
                <c:pt idx="29">
                  <c:v>122.1</c:v>
                </c:pt>
                <c:pt idx="30">
                  <c:v>122.09</c:v>
                </c:pt>
                <c:pt idx="31">
                  <c:v>121.98</c:v>
                </c:pt>
                <c:pt idx="32">
                  <c:v>122.2</c:v>
                </c:pt>
                <c:pt idx="33">
                  <c:v>121.91</c:v>
                </c:pt>
                <c:pt idx="34">
                  <c:v>122.17</c:v>
                </c:pt>
                <c:pt idx="35">
                  <c:v>121.93</c:v>
                </c:pt>
                <c:pt idx="36">
                  <c:v>122.18</c:v>
                </c:pt>
                <c:pt idx="37">
                  <c:v>121.94</c:v>
                </c:pt>
                <c:pt idx="38">
                  <c:v>122.2</c:v>
                </c:pt>
                <c:pt idx="39">
                  <c:v>121.95</c:v>
                </c:pt>
                <c:pt idx="40">
                  <c:v>122.2</c:v>
                </c:pt>
                <c:pt idx="41">
                  <c:v>121.94</c:v>
                </c:pt>
                <c:pt idx="42">
                  <c:v>122.18</c:v>
                </c:pt>
                <c:pt idx="43">
                  <c:v>121.98</c:v>
                </c:pt>
                <c:pt idx="44">
                  <c:v>122.16</c:v>
                </c:pt>
                <c:pt idx="45">
                  <c:v>122.05</c:v>
                </c:pt>
                <c:pt idx="46">
                  <c:v>122.09</c:v>
                </c:pt>
                <c:pt idx="47">
                  <c:v>122.14</c:v>
                </c:pt>
                <c:pt idx="48">
                  <c:v>122</c:v>
                </c:pt>
                <c:pt idx="49">
                  <c:v>122.17</c:v>
                </c:pt>
                <c:pt idx="50">
                  <c:v>121.95</c:v>
                </c:pt>
                <c:pt idx="51">
                  <c:v>122.16</c:v>
                </c:pt>
                <c:pt idx="52">
                  <c:v>121.97</c:v>
                </c:pt>
                <c:pt idx="53">
                  <c:v>122.15</c:v>
                </c:pt>
                <c:pt idx="54">
                  <c:v>121.97</c:v>
                </c:pt>
                <c:pt idx="55">
                  <c:v>122.12</c:v>
                </c:pt>
                <c:pt idx="56">
                  <c:v>121.95</c:v>
                </c:pt>
                <c:pt idx="57">
                  <c:v>122.11</c:v>
                </c:pt>
                <c:pt idx="58">
                  <c:v>121.91</c:v>
                </c:pt>
                <c:pt idx="59">
                  <c:v>122.1</c:v>
                </c:pt>
                <c:pt idx="60">
                  <c:v>121.96</c:v>
                </c:pt>
                <c:pt idx="61">
                  <c:v>122.1</c:v>
                </c:pt>
                <c:pt idx="62">
                  <c:v>121.97</c:v>
                </c:pt>
                <c:pt idx="63">
                  <c:v>122.11</c:v>
                </c:pt>
                <c:pt idx="64">
                  <c:v>122.02</c:v>
                </c:pt>
                <c:pt idx="65">
                  <c:v>122.08</c:v>
                </c:pt>
                <c:pt idx="66">
                  <c:v>122.07</c:v>
                </c:pt>
                <c:pt idx="67">
                  <c:v>122.05</c:v>
                </c:pt>
                <c:pt idx="68">
                  <c:v>122.15</c:v>
                </c:pt>
                <c:pt idx="69">
                  <c:v>122.03</c:v>
                </c:pt>
                <c:pt idx="70">
                  <c:v>122.19</c:v>
                </c:pt>
                <c:pt idx="71">
                  <c:v>121.99</c:v>
                </c:pt>
                <c:pt idx="72">
                  <c:v>122.21</c:v>
                </c:pt>
                <c:pt idx="73">
                  <c:v>121.97</c:v>
                </c:pt>
                <c:pt idx="74">
                  <c:v>122.16</c:v>
                </c:pt>
                <c:pt idx="75">
                  <c:v>122.02</c:v>
                </c:pt>
                <c:pt idx="76">
                  <c:v>122.11</c:v>
                </c:pt>
                <c:pt idx="77">
                  <c:v>122.09</c:v>
                </c:pt>
                <c:pt idx="78">
                  <c:v>122.06</c:v>
                </c:pt>
                <c:pt idx="79">
                  <c:v>122.11</c:v>
                </c:pt>
                <c:pt idx="80">
                  <c:v>122.01</c:v>
                </c:pt>
                <c:pt idx="81">
                  <c:v>122.14</c:v>
                </c:pt>
                <c:pt idx="82">
                  <c:v>121.96</c:v>
                </c:pt>
                <c:pt idx="83">
                  <c:v>122.16</c:v>
                </c:pt>
                <c:pt idx="84">
                  <c:v>121.93</c:v>
                </c:pt>
                <c:pt idx="85">
                  <c:v>122.18</c:v>
                </c:pt>
                <c:pt idx="86">
                  <c:v>121.94</c:v>
                </c:pt>
                <c:pt idx="87">
                  <c:v>122.15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407-4202-B7AC-7C73385F7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7800"/>
        <c:axId val="342240424"/>
      </c:lineChart>
      <c:catAx>
        <c:axId val="342237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\ AM/PM" sourceLinked="1"/>
        <c:majorTickMark val="out"/>
        <c:minorTickMark val="none"/>
        <c:tickLblPos val="nextTo"/>
        <c:crossAx val="342240424"/>
        <c:crosses val="autoZero"/>
        <c:auto val="1"/>
        <c:lblAlgn val="ctr"/>
        <c:lblOffset val="100"/>
        <c:noMultiLvlLbl val="0"/>
      </c:catAx>
      <c:valAx>
        <c:axId val="342240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4223780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966A730-FE3C-4A58-8D0A-2E1F772F3A60}">
  <sheetPr codeName="Gráfico1"/>
  <sheetViews>
    <sheetView zoomScale="7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1F4299B-4E65-4B5E-9D7E-4683201BD8EA}">
  <sheetPr codeName="Gráfico2"/>
  <sheetViews>
    <sheetView zoomScale="7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8B012B-B8C1-4666-A659-E7F869227B8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E3F7B7-2369-4E98-B4FF-958B87F9F8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0177" name="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1201" name="2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2225" name="3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7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G1" zoomScale="85" zoomScaleNormal="85" workbookViewId="0">
      <selection activeCell="K14" sqref="K14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33" t="s">
        <v>0</v>
      </c>
      <c r="I1" s="134"/>
      <c r="J1" s="133" t="s">
        <v>61</v>
      </c>
      <c r="K1" s="137"/>
      <c r="L1" s="137"/>
      <c r="M1" s="137"/>
      <c r="N1" s="137"/>
      <c r="O1" s="134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43040</v>
      </c>
      <c r="J2" s="40"/>
      <c r="K2" s="40"/>
      <c r="L2" s="133" t="s">
        <v>7</v>
      </c>
      <c r="M2" s="134"/>
      <c r="N2" s="133">
        <v>3</v>
      </c>
      <c r="O2" s="134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100</v>
      </c>
      <c r="M3" s="42" t="s">
        <v>50</v>
      </c>
      <c r="N3" s="133" t="s">
        <v>52</v>
      </c>
      <c r="O3" s="134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97</v>
      </c>
      <c r="J4" s="40"/>
      <c r="K4" s="39" t="s">
        <v>9</v>
      </c>
      <c r="L4" s="39" t="s">
        <v>53</v>
      </c>
      <c r="M4" s="42" t="s">
        <v>37</v>
      </c>
      <c r="N4" s="133">
        <v>3600</v>
      </c>
      <c r="O4" s="134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60</v>
      </c>
      <c r="J5" s="40"/>
      <c r="K5" s="39" t="s">
        <v>10</v>
      </c>
      <c r="L5" s="39" t="s">
        <v>101</v>
      </c>
      <c r="M5" s="39" t="s">
        <v>19</v>
      </c>
      <c r="N5" s="47" t="s">
        <v>102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98</v>
      </c>
      <c r="J6" s="40"/>
      <c r="K6" s="39" t="s">
        <v>11</v>
      </c>
      <c r="L6" s="39" t="s">
        <v>54</v>
      </c>
      <c r="M6" s="39" t="s">
        <v>14</v>
      </c>
      <c r="N6" s="133" t="s">
        <v>48</v>
      </c>
      <c r="O6" s="134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99</v>
      </c>
      <c r="J7" s="40"/>
      <c r="K7" s="39" t="s">
        <v>12</v>
      </c>
      <c r="L7" s="39" t="s">
        <v>55</v>
      </c>
      <c r="M7" s="43" t="s">
        <v>13</v>
      </c>
      <c r="N7" s="138" t="s">
        <v>56</v>
      </c>
      <c r="O7" s="134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33" t="s">
        <v>21</v>
      </c>
      <c r="I8" s="134"/>
      <c r="J8" s="135">
        <v>135</v>
      </c>
      <c r="K8" s="139"/>
      <c r="L8" s="42" t="s">
        <v>22</v>
      </c>
      <c r="M8" s="46">
        <v>4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33" t="s">
        <v>20</v>
      </c>
      <c r="I9" s="134"/>
      <c r="J9" s="135">
        <v>2.2999999999999998</v>
      </c>
      <c r="K9" s="136"/>
      <c r="L9" s="42" t="s">
        <v>23</v>
      </c>
      <c r="M9" s="58" t="s">
        <v>57</v>
      </c>
      <c r="N9" s="42" t="s">
        <v>51</v>
      </c>
      <c r="O9" s="100" t="s">
        <v>62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33" t="s">
        <v>46</v>
      </c>
      <c r="I10" s="134"/>
      <c r="J10" s="135" t="s">
        <v>58</v>
      </c>
      <c r="K10" s="136"/>
      <c r="L10" s="42" t="s">
        <v>47</v>
      </c>
      <c r="M10" s="100" t="s">
        <v>49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59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M30" sqref="BM3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42844</v>
      </c>
      <c r="BJ1" s="45">
        <v>0.58472222222222225</v>
      </c>
      <c r="BK1" s="44">
        <v>42844</v>
      </c>
      <c r="BL1" s="45">
        <v>0.61527777777777781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  <c r="BH2" s="111"/>
      <c r="BI2" s="86">
        <v>42837</v>
      </c>
      <c r="BJ2">
        <v>0.61006944444444444</v>
      </c>
      <c r="BK2" s="44">
        <v>42837</v>
      </c>
      <c r="BL2">
        <v>0.63020833333333337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  <c r="BH3" s="111"/>
      <c r="BI3" s="86">
        <v>42844</v>
      </c>
      <c r="BJ3">
        <v>0.58472222222222225</v>
      </c>
      <c r="BK3" s="44">
        <v>42844</v>
      </c>
      <c r="BL3">
        <v>0.61527777777777781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G12" sqref="G12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73</v>
      </c>
      <c r="B1" s="103" t="s">
        <v>74</v>
      </c>
    </row>
    <row r="2" spans="1:2" x14ac:dyDescent="0.25">
      <c r="A2" s="106" t="s">
        <v>63</v>
      </c>
      <c r="B2" s="104" t="s">
        <v>75</v>
      </c>
    </row>
    <row r="3" spans="1:2" x14ac:dyDescent="0.25">
      <c r="A3" s="107" t="s">
        <v>72</v>
      </c>
      <c r="B3" s="105" t="s">
        <v>104</v>
      </c>
    </row>
    <row r="4" spans="1:2" ht="15.75" thickBot="1" x14ac:dyDescent="0.3">
      <c r="A4" s="107" t="s">
        <v>69</v>
      </c>
      <c r="B4" s="105" t="s">
        <v>77</v>
      </c>
    </row>
    <row r="5" spans="1:2" ht="15.75" thickBot="1" x14ac:dyDescent="0.3">
      <c r="A5" s="106" t="s">
        <v>64</v>
      </c>
      <c r="B5" s="104" t="s">
        <v>78</v>
      </c>
    </row>
    <row r="6" spans="1:2" ht="15.75" thickBot="1" x14ac:dyDescent="0.3">
      <c r="A6" s="106" t="s">
        <v>65</v>
      </c>
      <c r="B6" s="104" t="s">
        <v>79</v>
      </c>
    </row>
    <row r="7" spans="1:2" ht="15.75" thickBot="1" x14ac:dyDescent="0.3">
      <c r="A7" s="106" t="s">
        <v>66</v>
      </c>
      <c r="B7" s="104" t="s">
        <v>80</v>
      </c>
    </row>
    <row r="8" spans="1:2" ht="15.75" thickBot="1" x14ac:dyDescent="0.3">
      <c r="A8" s="106" t="s">
        <v>67</v>
      </c>
      <c r="B8" s="104" t="s">
        <v>81</v>
      </c>
    </row>
    <row r="9" spans="1:2" x14ac:dyDescent="0.25">
      <c r="A9" s="106" t="s">
        <v>82</v>
      </c>
      <c r="B9" s="104" t="s">
        <v>83</v>
      </c>
    </row>
    <row r="10" spans="1:2" x14ac:dyDescent="0.25">
      <c r="A10" s="107" t="s">
        <v>68</v>
      </c>
      <c r="B10" s="105" t="s">
        <v>76</v>
      </c>
    </row>
    <row r="11" spans="1:2" x14ac:dyDescent="0.25">
      <c r="A11" s="107" t="s">
        <v>70</v>
      </c>
      <c r="B11" s="105" t="s">
        <v>84</v>
      </c>
    </row>
    <row r="12" spans="1:2" ht="15.75" thickBot="1" x14ac:dyDescent="0.3">
      <c r="A12" s="108" t="s">
        <v>71</v>
      </c>
      <c r="B12" s="105" t="s">
        <v>84</v>
      </c>
    </row>
    <row r="13" spans="1:2" x14ac:dyDescent="0.25">
      <c r="A13" s="109" t="s">
        <v>85</v>
      </c>
      <c r="B13" s="110" t="s">
        <v>86</v>
      </c>
    </row>
    <row r="14" spans="1:2" x14ac:dyDescent="0.25">
      <c r="A14" s="109" t="s">
        <v>87</v>
      </c>
      <c r="B14" s="110" t="s">
        <v>88</v>
      </c>
    </row>
    <row r="15" spans="1:2" x14ac:dyDescent="0.25">
      <c r="A15" s="109" t="s">
        <v>89</v>
      </c>
      <c r="B15" s="110" t="s">
        <v>90</v>
      </c>
    </row>
    <row r="16" spans="1:2" x14ac:dyDescent="0.25">
      <c r="A16" s="109" t="s">
        <v>91</v>
      </c>
      <c r="B16" s="110" t="s">
        <v>92</v>
      </c>
    </row>
    <row r="17" spans="1:2" x14ac:dyDescent="0.25">
      <c r="A17" s="109" t="s">
        <v>93</v>
      </c>
      <c r="B17" s="110" t="s">
        <v>94</v>
      </c>
    </row>
    <row r="18" spans="1:2" x14ac:dyDescent="0.25">
      <c r="A18" s="109" t="s">
        <v>95</v>
      </c>
      <c r="B18" s="110" t="s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F884-8A00-41C1-9C03-E4BC46737243}">
  <sheetPr codeName="Hoja35"/>
  <dimension ref="A1:O22"/>
  <sheetViews>
    <sheetView workbookViewId="0">
      <selection activeCell="D12" sqref="B3:D12"/>
    </sheetView>
  </sheetViews>
  <sheetFormatPr baseColWidth="10" defaultRowHeight="15" x14ac:dyDescent="0.25"/>
  <cols>
    <col min="5" max="5" width="11.85546875" bestFit="1" customWidth="1"/>
    <col min="11" max="11" width="11.42578125" customWidth="1"/>
    <col min="12" max="13" width="7.7109375" customWidth="1"/>
    <col min="14" max="14" width="8.5703125" customWidth="1"/>
  </cols>
  <sheetData>
    <row r="1" spans="1:15" ht="16.5" thickBot="1" x14ac:dyDescent="0.3">
      <c r="A1" s="112">
        <v>10</v>
      </c>
      <c r="B1" s="140" t="s">
        <v>119</v>
      </c>
      <c r="C1" s="140"/>
      <c r="D1" s="140"/>
      <c r="E1" s="112" t="s">
        <v>103</v>
      </c>
      <c r="F1" s="112" t="s">
        <v>120</v>
      </c>
      <c r="G1" s="112" t="s">
        <v>121</v>
      </c>
      <c r="H1" s="112" t="s">
        <v>122</v>
      </c>
      <c r="I1" s="112" t="s">
        <v>123</v>
      </c>
      <c r="J1" s="112" t="s">
        <v>124</v>
      </c>
      <c r="K1" s="121" t="s">
        <v>134</v>
      </c>
      <c r="L1" s="121" t="s">
        <v>122</v>
      </c>
      <c r="M1" s="121" t="s">
        <v>136</v>
      </c>
      <c r="N1" s="121" t="s">
        <v>135</v>
      </c>
      <c r="O1" s="121" t="s">
        <v>140</v>
      </c>
    </row>
    <row r="2" spans="1:15" ht="16.5" thickBot="1" x14ac:dyDescent="0.3">
      <c r="A2" s="113" t="s">
        <v>125</v>
      </c>
      <c r="B2" s="114" t="s">
        <v>126</v>
      </c>
      <c r="C2" s="114" t="s">
        <v>127</v>
      </c>
      <c r="D2" s="114" t="s">
        <v>128</v>
      </c>
      <c r="E2" s="115" t="s">
        <v>129</v>
      </c>
      <c r="F2" s="115" t="s">
        <v>129</v>
      </c>
      <c r="G2" s="115" t="s">
        <v>130</v>
      </c>
      <c r="H2" s="115" t="s">
        <v>125</v>
      </c>
      <c r="I2" s="115" t="s">
        <v>129</v>
      </c>
      <c r="J2" s="115" t="s">
        <v>129</v>
      </c>
      <c r="K2" s="103">
        <v>1000000</v>
      </c>
      <c r="L2" s="103">
        <v>3</v>
      </c>
      <c r="M2" s="122">
        <v>11.999999999999998</v>
      </c>
      <c r="N2" s="103">
        <v>2</v>
      </c>
      <c r="O2" s="122">
        <v>3.2</v>
      </c>
    </row>
    <row r="3" spans="1:15" ht="16.5" thickBot="1" x14ac:dyDescent="0.3">
      <c r="A3" s="119" t="s">
        <v>108</v>
      </c>
      <c r="B3" s="106">
        <v>42.123553989965735</v>
      </c>
      <c r="C3" s="106"/>
      <c r="D3" s="104"/>
      <c r="E3" s="106">
        <f>AVERAGE(B3:D3)</f>
        <v>42.123553989965735</v>
      </c>
      <c r="F3" s="120" t="e">
        <f t="shared" ref="F3:F22" si="0">+STDEV(B3:D3)</f>
        <v>#DIV/0!</v>
      </c>
      <c r="G3" s="106">
        <f t="shared" ref="G3" si="1">$O$2</f>
        <v>3.2</v>
      </c>
      <c r="H3" s="106">
        <f>$L$2</f>
        <v>3</v>
      </c>
      <c r="I3" s="120" t="e">
        <f>E3-((F3*G3)/(SQRT(H3)))</f>
        <v>#DIV/0!</v>
      </c>
      <c r="J3" s="120" t="e">
        <f>E3+((F3*G3)/(SQRT(H3)))</f>
        <v>#DIV/0!</v>
      </c>
    </row>
    <row r="4" spans="1:15" ht="16.5" thickBot="1" x14ac:dyDescent="0.3">
      <c r="A4" s="117" t="s">
        <v>109</v>
      </c>
      <c r="B4" s="107">
        <v>43.756892171254968</v>
      </c>
      <c r="C4" s="107"/>
      <c r="D4" s="105"/>
      <c r="E4" s="106">
        <f t="shared" ref="E4:E22" si="2">AVERAGE(B4:D4)</f>
        <v>43.756892171254968</v>
      </c>
      <c r="F4" s="120" t="e">
        <f t="shared" si="0"/>
        <v>#DIV/0!</v>
      </c>
      <c r="G4" s="106">
        <f>$O$2</f>
        <v>3.2</v>
      </c>
      <c r="H4" s="106">
        <f t="shared" ref="H4:H22" si="3">$L$2</f>
        <v>3</v>
      </c>
      <c r="I4" s="120" t="e">
        <f t="shared" ref="I4:I22" si="4">E4-((F4*G4)/(SQRT(H4)))</f>
        <v>#DIV/0!</v>
      </c>
      <c r="J4" s="120" t="e">
        <f t="shared" ref="J4:J22" si="5">E4+((F4*G4)/(SQRT(H4)))</f>
        <v>#DIV/0!</v>
      </c>
    </row>
    <row r="5" spans="1:15" ht="16.5" thickBot="1" x14ac:dyDescent="0.3">
      <c r="A5" s="117" t="s">
        <v>110</v>
      </c>
      <c r="B5" s="107">
        <v>46.476886511417653</v>
      </c>
      <c r="C5" s="107"/>
      <c r="D5" s="105"/>
      <c r="E5" s="106">
        <f t="shared" si="2"/>
        <v>46.476886511417653</v>
      </c>
      <c r="F5" s="120" t="e">
        <f t="shared" si="0"/>
        <v>#DIV/0!</v>
      </c>
      <c r="G5" s="106">
        <f t="shared" ref="G5:G22" si="6">$O$2</f>
        <v>3.2</v>
      </c>
      <c r="H5" s="106">
        <f t="shared" si="3"/>
        <v>3</v>
      </c>
      <c r="I5" s="120" t="e">
        <f t="shared" si="4"/>
        <v>#DIV/0!</v>
      </c>
      <c r="J5" s="120" t="e">
        <f t="shared" si="5"/>
        <v>#DIV/0!</v>
      </c>
    </row>
    <row r="6" spans="1:15" ht="16.5" thickBot="1" x14ac:dyDescent="0.3">
      <c r="A6" s="117" t="s">
        <v>111</v>
      </c>
      <c r="B6" s="107">
        <v>45.043248338782114</v>
      </c>
      <c r="C6" s="107"/>
      <c r="D6" s="105"/>
      <c r="E6" s="106">
        <f t="shared" si="2"/>
        <v>45.043248338782114</v>
      </c>
      <c r="F6" s="120" t="e">
        <f t="shared" si="0"/>
        <v>#DIV/0!</v>
      </c>
      <c r="G6" s="106">
        <f t="shared" si="6"/>
        <v>3.2</v>
      </c>
      <c r="H6" s="106">
        <f t="shared" si="3"/>
        <v>3</v>
      </c>
      <c r="I6" s="120" t="e">
        <f t="shared" si="4"/>
        <v>#DIV/0!</v>
      </c>
      <c r="J6" s="120" t="e">
        <f t="shared" si="5"/>
        <v>#DIV/0!</v>
      </c>
    </row>
    <row r="7" spans="1:15" ht="16.5" thickBot="1" x14ac:dyDescent="0.3">
      <c r="A7" s="117" t="s">
        <v>112</v>
      </c>
      <c r="B7" s="107">
        <v>44.33104274109823</v>
      </c>
      <c r="C7" s="107"/>
      <c r="D7" s="105"/>
      <c r="E7" s="106">
        <f t="shared" si="2"/>
        <v>44.33104274109823</v>
      </c>
      <c r="F7" s="120" t="e">
        <f t="shared" si="0"/>
        <v>#DIV/0!</v>
      </c>
      <c r="G7" s="106">
        <f t="shared" si="6"/>
        <v>3.2</v>
      </c>
      <c r="H7" s="106">
        <f t="shared" si="3"/>
        <v>3</v>
      </c>
      <c r="I7" s="120" t="e">
        <f t="shared" si="4"/>
        <v>#DIV/0!</v>
      </c>
      <c r="J7" s="120" t="e">
        <f t="shared" si="5"/>
        <v>#DIV/0!</v>
      </c>
    </row>
    <row r="8" spans="1:15" ht="16.5" thickBot="1" x14ac:dyDescent="0.3">
      <c r="A8" s="117" t="s">
        <v>113</v>
      </c>
      <c r="B8" s="107">
        <v>38.303856776589896</v>
      </c>
      <c r="C8" s="107"/>
      <c r="D8" s="105"/>
      <c r="E8" s="106">
        <f t="shared" si="2"/>
        <v>38.303856776589896</v>
      </c>
      <c r="F8" s="120" t="e">
        <f t="shared" si="0"/>
        <v>#DIV/0!</v>
      </c>
      <c r="G8" s="106">
        <f t="shared" si="6"/>
        <v>3.2</v>
      </c>
      <c r="H8" s="106">
        <f t="shared" si="3"/>
        <v>3</v>
      </c>
      <c r="I8" s="120" t="e">
        <f t="shared" si="4"/>
        <v>#DIV/0!</v>
      </c>
      <c r="J8" s="120" t="e">
        <f t="shared" si="5"/>
        <v>#DIV/0!</v>
      </c>
    </row>
    <row r="9" spans="1:15" ht="16.5" thickBot="1" x14ac:dyDescent="0.3">
      <c r="A9" s="117" t="s">
        <v>105</v>
      </c>
      <c r="B9" s="107">
        <v>47.274163283590717</v>
      </c>
      <c r="C9" s="107"/>
      <c r="D9" s="107"/>
      <c r="E9" s="106">
        <f t="shared" si="2"/>
        <v>47.274163283590717</v>
      </c>
      <c r="F9" s="120" t="e">
        <f t="shared" si="0"/>
        <v>#DIV/0!</v>
      </c>
      <c r="G9" s="106">
        <f t="shared" si="6"/>
        <v>3.2</v>
      </c>
      <c r="H9" s="106">
        <f t="shared" si="3"/>
        <v>3</v>
      </c>
      <c r="I9" s="120" t="e">
        <f t="shared" si="4"/>
        <v>#DIV/0!</v>
      </c>
      <c r="J9" s="120" t="e">
        <f t="shared" si="5"/>
        <v>#DIV/0!</v>
      </c>
    </row>
    <row r="10" spans="1:15" ht="16.5" thickBot="1" x14ac:dyDescent="0.3">
      <c r="A10" s="117" t="s">
        <v>106</v>
      </c>
      <c r="B10" s="107">
        <v>49.442703381871027</v>
      </c>
      <c r="C10" s="107"/>
      <c r="D10" s="105"/>
      <c r="E10" s="106">
        <f t="shared" si="2"/>
        <v>49.442703381871027</v>
      </c>
      <c r="F10" s="120" t="e">
        <f t="shared" si="0"/>
        <v>#DIV/0!</v>
      </c>
      <c r="G10" s="106">
        <f t="shared" si="6"/>
        <v>3.2</v>
      </c>
      <c r="H10" s="106">
        <f t="shared" si="3"/>
        <v>3</v>
      </c>
      <c r="I10" s="120" t="e">
        <f t="shared" si="4"/>
        <v>#DIV/0!</v>
      </c>
      <c r="J10" s="120" t="e">
        <f t="shared" si="5"/>
        <v>#DIV/0!</v>
      </c>
    </row>
    <row r="11" spans="1:15" ht="16.5" thickBot="1" x14ac:dyDescent="0.3">
      <c r="A11" s="117" t="s">
        <v>107</v>
      </c>
      <c r="B11" s="107">
        <v>68.429273813657915</v>
      </c>
      <c r="C11" s="107"/>
      <c r="D11" s="105"/>
      <c r="E11" s="106">
        <f t="shared" si="2"/>
        <v>68.429273813657915</v>
      </c>
      <c r="F11" s="120" t="e">
        <f t="shared" si="0"/>
        <v>#DIV/0!</v>
      </c>
      <c r="G11" s="106">
        <f t="shared" si="6"/>
        <v>3.2</v>
      </c>
      <c r="H11" s="106">
        <f t="shared" si="3"/>
        <v>3</v>
      </c>
      <c r="I11" s="120" t="e">
        <f t="shared" si="4"/>
        <v>#DIV/0!</v>
      </c>
      <c r="J11" s="120" t="e">
        <f t="shared" si="5"/>
        <v>#DIV/0!</v>
      </c>
    </row>
    <row r="12" spans="1:15" ht="16.5" thickBot="1" x14ac:dyDescent="0.3">
      <c r="A12" s="118" t="s">
        <v>114</v>
      </c>
      <c r="B12" s="108">
        <v>59.387724590856962</v>
      </c>
      <c r="C12" s="108"/>
      <c r="D12" s="116"/>
      <c r="E12" s="106">
        <f t="shared" si="2"/>
        <v>59.387724590856962</v>
      </c>
      <c r="F12" s="120" t="e">
        <f t="shared" si="0"/>
        <v>#DIV/0!</v>
      </c>
      <c r="G12" s="106">
        <f t="shared" si="6"/>
        <v>3.2</v>
      </c>
      <c r="H12" s="106">
        <f t="shared" si="3"/>
        <v>3</v>
      </c>
      <c r="I12" s="120" t="e">
        <f t="shared" si="4"/>
        <v>#DIV/0!</v>
      </c>
      <c r="J12" s="120" t="e">
        <f t="shared" si="5"/>
        <v>#DIV/0!</v>
      </c>
    </row>
    <row r="13" spans="1:15" ht="16.5" thickBot="1" x14ac:dyDescent="0.3">
      <c r="A13" s="117" t="s">
        <v>115</v>
      </c>
      <c r="B13" s="107"/>
      <c r="C13" s="107"/>
      <c r="D13" s="105"/>
      <c r="E13" s="106" t="e">
        <f t="shared" si="2"/>
        <v>#DIV/0!</v>
      </c>
      <c r="F13" s="120" t="e">
        <f t="shared" si="0"/>
        <v>#DIV/0!</v>
      </c>
      <c r="G13" s="106">
        <f t="shared" si="6"/>
        <v>3.2</v>
      </c>
      <c r="H13" s="106">
        <f t="shared" si="3"/>
        <v>3</v>
      </c>
      <c r="I13" s="120" t="e">
        <f t="shared" si="4"/>
        <v>#DIV/0!</v>
      </c>
      <c r="J13" s="120" t="e">
        <f t="shared" si="5"/>
        <v>#DIV/0!</v>
      </c>
    </row>
    <row r="14" spans="1:15" ht="16.5" thickBot="1" x14ac:dyDescent="0.3">
      <c r="A14" s="118" t="s">
        <v>137</v>
      </c>
      <c r="B14" s="107"/>
      <c r="C14" s="107"/>
      <c r="D14" s="105"/>
      <c r="E14" s="106" t="e">
        <f t="shared" si="2"/>
        <v>#DIV/0!</v>
      </c>
      <c r="F14" s="120" t="e">
        <f t="shared" si="0"/>
        <v>#DIV/0!</v>
      </c>
      <c r="G14" s="106">
        <f t="shared" si="6"/>
        <v>3.2</v>
      </c>
      <c r="H14" s="106">
        <f t="shared" si="3"/>
        <v>3</v>
      </c>
      <c r="I14" s="120" t="e">
        <f t="shared" si="4"/>
        <v>#DIV/0!</v>
      </c>
      <c r="J14" s="120" t="e">
        <f t="shared" si="5"/>
        <v>#DIV/0!</v>
      </c>
    </row>
    <row r="15" spans="1:15" ht="16.5" thickBot="1" x14ac:dyDescent="0.3">
      <c r="A15" s="117" t="s">
        <v>116</v>
      </c>
      <c r="B15" s="107"/>
      <c r="C15" s="107"/>
      <c r="D15" s="105"/>
      <c r="E15" s="106" t="e">
        <f t="shared" si="2"/>
        <v>#DIV/0!</v>
      </c>
      <c r="F15" s="120" t="e">
        <f t="shared" si="0"/>
        <v>#DIV/0!</v>
      </c>
      <c r="G15" s="106">
        <f t="shared" si="6"/>
        <v>3.2</v>
      </c>
      <c r="H15" s="106">
        <f t="shared" si="3"/>
        <v>3</v>
      </c>
      <c r="I15" s="120" t="e">
        <f t="shared" si="4"/>
        <v>#DIV/0!</v>
      </c>
      <c r="J15" s="120" t="e">
        <f t="shared" si="5"/>
        <v>#DIV/0!</v>
      </c>
    </row>
    <row r="16" spans="1:15" ht="16.5" thickBot="1" x14ac:dyDescent="0.3">
      <c r="A16" s="118" t="s">
        <v>117</v>
      </c>
      <c r="B16" s="107"/>
      <c r="C16" s="107"/>
      <c r="D16" s="105"/>
      <c r="E16" s="106" t="e">
        <f t="shared" si="2"/>
        <v>#DIV/0!</v>
      </c>
      <c r="F16" s="120" t="e">
        <f t="shared" si="0"/>
        <v>#DIV/0!</v>
      </c>
      <c r="G16" s="106">
        <f t="shared" si="6"/>
        <v>3.2</v>
      </c>
      <c r="H16" s="106">
        <f t="shared" si="3"/>
        <v>3</v>
      </c>
      <c r="I16" s="120" t="e">
        <f t="shared" si="4"/>
        <v>#DIV/0!</v>
      </c>
      <c r="J16" s="120" t="e">
        <f t="shared" si="5"/>
        <v>#DIV/0!</v>
      </c>
    </row>
    <row r="17" spans="1:10" ht="16.5" thickBot="1" x14ac:dyDescent="0.3">
      <c r="A17" s="117" t="s">
        <v>118</v>
      </c>
      <c r="B17" s="107"/>
      <c r="C17" s="107"/>
      <c r="D17" s="105"/>
      <c r="E17" s="106" t="e">
        <f t="shared" si="2"/>
        <v>#DIV/0!</v>
      </c>
      <c r="F17" s="120" t="e">
        <f t="shared" si="0"/>
        <v>#DIV/0!</v>
      </c>
      <c r="G17" s="106">
        <f t="shared" si="6"/>
        <v>3.2</v>
      </c>
      <c r="H17" s="106">
        <f t="shared" si="3"/>
        <v>3</v>
      </c>
      <c r="I17" s="120" t="e">
        <f t="shared" si="4"/>
        <v>#DIV/0!</v>
      </c>
      <c r="J17" s="120" t="e">
        <f t="shared" si="5"/>
        <v>#DIV/0!</v>
      </c>
    </row>
    <row r="18" spans="1:10" ht="16.5" thickBot="1" x14ac:dyDescent="0.3">
      <c r="A18" s="118" t="s">
        <v>131</v>
      </c>
      <c r="B18" s="107"/>
      <c r="C18" s="107"/>
      <c r="D18" s="105"/>
      <c r="E18" s="106" t="e">
        <f t="shared" si="2"/>
        <v>#DIV/0!</v>
      </c>
      <c r="F18" s="120" t="e">
        <f t="shared" si="0"/>
        <v>#DIV/0!</v>
      </c>
      <c r="G18" s="106">
        <f t="shared" si="6"/>
        <v>3.2</v>
      </c>
      <c r="H18" s="106">
        <f t="shared" si="3"/>
        <v>3</v>
      </c>
      <c r="I18" s="120" t="e">
        <f t="shared" si="4"/>
        <v>#DIV/0!</v>
      </c>
      <c r="J18" s="120" t="e">
        <f t="shared" si="5"/>
        <v>#DIV/0!</v>
      </c>
    </row>
    <row r="19" spans="1:10" ht="16.5" thickBot="1" x14ac:dyDescent="0.3">
      <c r="A19" s="117" t="s">
        <v>132</v>
      </c>
      <c r="B19" s="107"/>
      <c r="C19" s="107"/>
      <c r="D19" s="105"/>
      <c r="E19" s="106" t="e">
        <f t="shared" si="2"/>
        <v>#DIV/0!</v>
      </c>
      <c r="F19" s="120" t="e">
        <f t="shared" si="0"/>
        <v>#DIV/0!</v>
      </c>
      <c r="G19" s="106">
        <f t="shared" si="6"/>
        <v>3.2</v>
      </c>
      <c r="H19" s="106">
        <f t="shared" si="3"/>
        <v>3</v>
      </c>
      <c r="I19" s="120" t="e">
        <f t="shared" si="4"/>
        <v>#DIV/0!</v>
      </c>
      <c r="J19" s="120" t="e">
        <f t="shared" si="5"/>
        <v>#DIV/0!</v>
      </c>
    </row>
    <row r="20" spans="1:10" ht="16.5" thickBot="1" x14ac:dyDescent="0.3">
      <c r="A20" s="118" t="s">
        <v>133</v>
      </c>
      <c r="B20" s="108"/>
      <c r="C20" s="108"/>
      <c r="D20" s="116"/>
      <c r="E20" s="106" t="e">
        <f t="shared" si="2"/>
        <v>#DIV/0!</v>
      </c>
      <c r="F20" s="120" t="e">
        <f t="shared" si="0"/>
        <v>#DIV/0!</v>
      </c>
      <c r="G20" s="106">
        <f t="shared" si="6"/>
        <v>3.2</v>
      </c>
      <c r="H20" s="106">
        <f t="shared" si="3"/>
        <v>3</v>
      </c>
      <c r="I20" s="120" t="e">
        <f t="shared" si="4"/>
        <v>#DIV/0!</v>
      </c>
      <c r="J20" s="120" t="e">
        <f t="shared" si="5"/>
        <v>#DIV/0!</v>
      </c>
    </row>
    <row r="21" spans="1:10" ht="16.5" thickBot="1" x14ac:dyDescent="0.3">
      <c r="A21" s="119" t="s">
        <v>138</v>
      </c>
      <c r="E21" s="106" t="e">
        <f t="shared" si="2"/>
        <v>#DIV/0!</v>
      </c>
      <c r="F21" s="120" t="e">
        <f t="shared" si="0"/>
        <v>#DIV/0!</v>
      </c>
      <c r="G21" s="106">
        <f t="shared" si="6"/>
        <v>3.2</v>
      </c>
      <c r="H21" s="106">
        <f t="shared" si="3"/>
        <v>3</v>
      </c>
      <c r="I21" s="120" t="e">
        <f t="shared" si="4"/>
        <v>#DIV/0!</v>
      </c>
      <c r="J21" s="120" t="e">
        <f t="shared" si="5"/>
        <v>#DIV/0!</v>
      </c>
    </row>
    <row r="22" spans="1:10" ht="15.75" x14ac:dyDescent="0.25">
      <c r="A22" s="117" t="s">
        <v>139</v>
      </c>
      <c r="E22" s="106" t="e">
        <f t="shared" si="2"/>
        <v>#DIV/0!</v>
      </c>
      <c r="F22" s="120" t="e">
        <f t="shared" si="0"/>
        <v>#DIV/0!</v>
      </c>
      <c r="G22" s="106">
        <f t="shared" si="6"/>
        <v>3.2</v>
      </c>
      <c r="H22" s="106">
        <f t="shared" si="3"/>
        <v>3</v>
      </c>
      <c r="I22" s="120" t="e">
        <f t="shared" si="4"/>
        <v>#DIV/0!</v>
      </c>
      <c r="J22" s="120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CF393-A62D-4FEA-BF2F-30FB00C6E4CC}">
  <sheetPr codeName="Hoja8"/>
  <dimension ref="A1:CV184"/>
  <sheetViews>
    <sheetView tabSelected="1" topLeftCell="H24" workbookViewId="0">
      <selection activeCell="H24" sqref="H24"/>
    </sheetView>
  </sheetViews>
  <sheetFormatPr baseColWidth="10" defaultRowHeight="15.75" x14ac:dyDescent="0.25"/>
  <cols>
    <col min="1" max="1" width="25.7109375" style="150" customWidth="1"/>
    <col min="2" max="2" width="15.7109375" style="150" customWidth="1"/>
    <col min="3" max="7" width="11.42578125" style="150"/>
    <col min="8" max="8" width="18.7109375" style="150" customWidth="1"/>
    <col min="9" max="18" width="11.42578125" style="150"/>
    <col min="19" max="19" width="15.7109375" style="150" customWidth="1"/>
    <col min="20" max="16384" width="11.42578125" style="150"/>
  </cols>
  <sheetData>
    <row r="1" spans="1:100" x14ac:dyDescent="0.25">
      <c r="C1" s="151" t="s">
        <v>141</v>
      </c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3"/>
      <c r="S1" s="191" t="s">
        <v>151</v>
      </c>
      <c r="T1" s="155">
        <v>1</v>
      </c>
      <c r="U1" s="156">
        <v>42844</v>
      </c>
      <c r="V1" s="157">
        <v>0.58472222222222225</v>
      </c>
      <c r="W1" s="156">
        <v>42844</v>
      </c>
      <c r="X1" s="158">
        <v>0.61527777777777781</v>
      </c>
      <c r="CV1" s="150">
        <v>4</v>
      </c>
    </row>
    <row r="2" spans="1:100" x14ac:dyDescent="0.25">
      <c r="A2" s="150">
        <v>10</v>
      </c>
      <c r="C2" s="159" t="s">
        <v>142</v>
      </c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S2" s="154"/>
      <c r="CV2" s="150">
        <v>0</v>
      </c>
    </row>
    <row r="3" spans="1:100" x14ac:dyDescent="0.25">
      <c r="C3" s="162" t="s">
        <v>143</v>
      </c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4"/>
      <c r="S3" s="154"/>
      <c r="CV3" s="150">
        <v>6</v>
      </c>
    </row>
    <row r="4" spans="1:100" x14ac:dyDescent="0.25">
      <c r="S4" s="154" t="s">
        <v>147</v>
      </c>
      <c r="T4" s="154">
        <v>1</v>
      </c>
      <c r="CV4" s="150">
        <v>0</v>
      </c>
    </row>
    <row r="8" spans="1:100" x14ac:dyDescent="0.25">
      <c r="C8" s="154" t="s">
        <v>68</v>
      </c>
      <c r="D8" s="154" t="s">
        <v>72</v>
      </c>
      <c r="E8" s="154" t="s">
        <v>69</v>
      </c>
      <c r="F8" s="154" t="s">
        <v>71</v>
      </c>
      <c r="H8" s="154"/>
      <c r="N8" s="154" t="s">
        <v>63</v>
      </c>
      <c r="O8" s="154" t="s">
        <v>64</v>
      </c>
      <c r="P8" s="154" t="s">
        <v>65</v>
      </c>
      <c r="Q8" s="154" t="s">
        <v>66</v>
      </c>
      <c r="R8" s="154" t="s">
        <v>67</v>
      </c>
      <c r="S8" s="154" t="s">
        <v>70</v>
      </c>
    </row>
    <row r="9" spans="1:100" x14ac:dyDescent="0.25">
      <c r="B9" s="154" t="s">
        <v>148</v>
      </c>
      <c r="C9" s="154" t="s">
        <v>105</v>
      </c>
      <c r="D9" s="154" t="s">
        <v>106</v>
      </c>
      <c r="E9" s="154" t="s">
        <v>107</v>
      </c>
      <c r="F9" s="154" t="s">
        <v>114</v>
      </c>
      <c r="H9" s="154" t="s">
        <v>161</v>
      </c>
      <c r="N9" s="154" t="s">
        <v>108</v>
      </c>
      <c r="O9" s="154" t="s">
        <v>109</v>
      </c>
      <c r="P9" s="154" t="s">
        <v>110</v>
      </c>
      <c r="Q9" s="154" t="s">
        <v>111</v>
      </c>
      <c r="R9" s="154" t="s">
        <v>112</v>
      </c>
      <c r="S9" s="154" t="s">
        <v>113</v>
      </c>
      <c r="U9" s="154" t="s">
        <v>167</v>
      </c>
    </row>
    <row r="10" spans="1:100" x14ac:dyDescent="0.25">
      <c r="B10" s="154" t="s">
        <v>103</v>
      </c>
      <c r="C10" s="165">
        <v>120.8</v>
      </c>
      <c r="D10" s="166">
        <v>121.2</v>
      </c>
      <c r="E10" s="166">
        <v>122.3</v>
      </c>
      <c r="F10" s="167">
        <v>122</v>
      </c>
      <c r="H10" s="154">
        <v>121.6</v>
      </c>
      <c r="N10" s="165">
        <v>120.1</v>
      </c>
      <c r="O10" s="166">
        <v>120.6</v>
      </c>
      <c r="P10" s="166">
        <v>120.9</v>
      </c>
      <c r="Q10" s="166">
        <v>120.2</v>
      </c>
      <c r="R10" s="166">
        <v>120.2</v>
      </c>
      <c r="S10" s="167">
        <v>118.9</v>
      </c>
      <c r="U10" s="154">
        <v>120.2</v>
      </c>
      <c r="BB10" s="150">
        <v>120.1</v>
      </c>
      <c r="BC10" s="150">
        <v>120.6</v>
      </c>
      <c r="BD10" s="150">
        <v>120.9</v>
      </c>
      <c r="BE10" s="150">
        <v>120.2</v>
      </c>
      <c r="BF10" s="150">
        <v>120.2</v>
      </c>
      <c r="BG10" s="150">
        <v>118.9</v>
      </c>
      <c r="BH10" s="150">
        <v>120.8</v>
      </c>
      <c r="BI10" s="150">
        <v>121.2</v>
      </c>
      <c r="BJ10" s="150">
        <v>122.3</v>
      </c>
      <c r="BK10" s="150">
        <v>122</v>
      </c>
      <c r="CV10" s="150">
        <v>8</v>
      </c>
    </row>
    <row r="11" spans="1:100" x14ac:dyDescent="0.25">
      <c r="B11" s="154" t="s">
        <v>149</v>
      </c>
      <c r="C11" s="165">
        <v>122.4</v>
      </c>
      <c r="D11" s="166">
        <v>123</v>
      </c>
      <c r="E11" s="166">
        <v>123.6</v>
      </c>
      <c r="F11" s="167">
        <v>122.2</v>
      </c>
      <c r="H11" s="154">
        <v>123.6</v>
      </c>
      <c r="N11" s="165">
        <v>121.7</v>
      </c>
      <c r="O11" s="166">
        <v>121.7</v>
      </c>
      <c r="P11" s="166">
        <v>121.8</v>
      </c>
      <c r="Q11" s="166">
        <v>122</v>
      </c>
      <c r="R11" s="166">
        <v>121.9</v>
      </c>
      <c r="S11" s="167">
        <v>122.1</v>
      </c>
      <c r="U11" s="154">
        <v>122.1</v>
      </c>
      <c r="BB11" s="150">
        <v>121.72</v>
      </c>
      <c r="BC11" s="150">
        <v>121.66</v>
      </c>
      <c r="BD11" s="150">
        <v>121.75</v>
      </c>
      <c r="BE11" s="150">
        <v>122.00999999999999</v>
      </c>
      <c r="BF11" s="150">
        <v>121.86</v>
      </c>
      <c r="BG11" s="150">
        <v>122.08</v>
      </c>
      <c r="BH11" s="150">
        <v>122.44</v>
      </c>
      <c r="BI11" s="150">
        <v>123.03</v>
      </c>
      <c r="BJ11" s="150">
        <v>123.63</v>
      </c>
      <c r="BK11" s="150">
        <v>122.23</v>
      </c>
    </row>
    <row r="12" spans="1:100" x14ac:dyDescent="0.25">
      <c r="B12" s="154" t="s">
        <v>150</v>
      </c>
      <c r="C12" s="165">
        <v>116.1</v>
      </c>
      <c r="D12" s="166">
        <v>117.8</v>
      </c>
      <c r="E12" s="166">
        <v>120.9</v>
      </c>
      <c r="F12" s="167">
        <v>121</v>
      </c>
      <c r="H12" s="154">
        <v>116.1</v>
      </c>
      <c r="N12" s="165">
        <v>120.1</v>
      </c>
      <c r="O12" s="166">
        <v>120.6</v>
      </c>
      <c r="P12" s="166">
        <v>120.9</v>
      </c>
      <c r="Q12" s="166">
        <v>120.2</v>
      </c>
      <c r="R12" s="166">
        <v>120.2</v>
      </c>
      <c r="S12" s="167">
        <v>118.9</v>
      </c>
      <c r="U12" s="154">
        <v>118.9</v>
      </c>
      <c r="BB12" s="150">
        <v>110.27</v>
      </c>
      <c r="BC12" s="150">
        <v>113.8</v>
      </c>
      <c r="BD12" s="150">
        <v>114.73</v>
      </c>
      <c r="BE12" s="150">
        <v>107.11</v>
      </c>
      <c r="BF12" s="150">
        <v>108.28</v>
      </c>
      <c r="BG12" s="150">
        <v>107.24</v>
      </c>
      <c r="BH12" s="150">
        <v>116.05</v>
      </c>
      <c r="BI12" s="150">
        <v>117.81</v>
      </c>
      <c r="BJ12" s="150">
        <v>120.87</v>
      </c>
      <c r="BK12" s="150">
        <v>121.03</v>
      </c>
    </row>
    <row r="14" spans="1:100" x14ac:dyDescent="0.25">
      <c r="BB14" s="150">
        <v>42.123553989965735</v>
      </c>
      <c r="BC14" s="150">
        <v>43.756892171254968</v>
      </c>
      <c r="BD14" s="150">
        <v>46.476886511417653</v>
      </c>
      <c r="BE14" s="150">
        <v>45.043248338782114</v>
      </c>
      <c r="BF14" s="150">
        <v>44.33104274109823</v>
      </c>
      <c r="BG14" s="150">
        <v>38.303856776589896</v>
      </c>
      <c r="BH14" s="150">
        <v>47.274163283590717</v>
      </c>
      <c r="BI14" s="150">
        <v>49.442703381871027</v>
      </c>
      <c r="BJ14" s="150">
        <v>68.429273813657915</v>
      </c>
      <c r="BK14" s="150">
        <v>59.387724590856962</v>
      </c>
    </row>
    <row r="15" spans="1:100" x14ac:dyDescent="0.25">
      <c r="H15" s="189" t="s">
        <v>169</v>
      </c>
      <c r="I15" s="190">
        <v>44.5</v>
      </c>
    </row>
    <row r="16" spans="1:100" x14ac:dyDescent="0.25">
      <c r="C16" s="154" t="s">
        <v>161</v>
      </c>
      <c r="D16" s="154" t="s">
        <v>167</v>
      </c>
      <c r="H16" s="189" t="s">
        <v>170</v>
      </c>
      <c r="I16" s="192">
        <v>11.999999999999998</v>
      </c>
    </row>
    <row r="17" spans="1:74" x14ac:dyDescent="0.25">
      <c r="B17" s="154" t="s">
        <v>103</v>
      </c>
      <c r="C17" s="154">
        <v>121.6</v>
      </c>
      <c r="D17" s="154">
        <v>120.2</v>
      </c>
    </row>
    <row r="18" spans="1:74" x14ac:dyDescent="0.25">
      <c r="B18" s="154" t="s">
        <v>149</v>
      </c>
      <c r="C18" s="154">
        <v>123.6</v>
      </c>
      <c r="D18" s="154">
        <v>122.1</v>
      </c>
    </row>
    <row r="19" spans="1:74" x14ac:dyDescent="0.25">
      <c r="B19" s="154" t="s">
        <v>150</v>
      </c>
      <c r="C19" s="154">
        <v>116.1</v>
      </c>
      <c r="D19" s="154">
        <v>118.9</v>
      </c>
      <c r="AZ19" s="150" t="s">
        <v>166</v>
      </c>
      <c r="BA19" s="150">
        <v>8</v>
      </c>
    </row>
    <row r="20" spans="1:74" x14ac:dyDescent="0.25">
      <c r="B20" s="154" t="s">
        <v>163</v>
      </c>
      <c r="C20" s="154">
        <v>3.3</v>
      </c>
      <c r="BA20" s="150">
        <v>21</v>
      </c>
    </row>
    <row r="21" spans="1:74" x14ac:dyDescent="0.25">
      <c r="AZ21" s="150" t="s">
        <v>165</v>
      </c>
      <c r="BA21" s="150">
        <v>0</v>
      </c>
    </row>
    <row r="24" spans="1:74" x14ac:dyDescent="0.25">
      <c r="H24" s="154" t="s">
        <v>163</v>
      </c>
    </row>
    <row r="25" spans="1:74" x14ac:dyDescent="0.25">
      <c r="H25" s="154">
        <v>3.3</v>
      </c>
    </row>
    <row r="27" spans="1:74" x14ac:dyDescent="0.25">
      <c r="A27" s="150" t="s">
        <v>145</v>
      </c>
    </row>
    <row r="28" spans="1:74" x14ac:dyDescent="0.25">
      <c r="A28" s="150" t="s">
        <v>144</v>
      </c>
      <c r="C28" s="150" t="s">
        <v>157</v>
      </c>
      <c r="D28" s="150" t="s">
        <v>157</v>
      </c>
      <c r="E28" s="150" t="s">
        <v>157</v>
      </c>
      <c r="F28" s="150" t="s">
        <v>157</v>
      </c>
      <c r="N28" s="150" t="s">
        <v>154</v>
      </c>
      <c r="O28" s="150" t="s">
        <v>154</v>
      </c>
      <c r="P28" s="150" t="s">
        <v>154</v>
      </c>
      <c r="Q28" s="150" t="s">
        <v>154</v>
      </c>
      <c r="R28" s="150" t="s">
        <v>154</v>
      </c>
      <c r="S28" s="150" t="s">
        <v>154</v>
      </c>
      <c r="U28" s="168" t="s">
        <v>168</v>
      </c>
      <c r="V28" s="152"/>
      <c r="W28" s="152"/>
      <c r="X28" s="152"/>
      <c r="Y28" s="152"/>
      <c r="Z28" s="152"/>
      <c r="AA28" s="152"/>
      <c r="AB28" s="152"/>
      <c r="AC28" s="152"/>
      <c r="AD28" s="153"/>
      <c r="BB28" s="150" t="s">
        <v>154</v>
      </c>
      <c r="BC28" s="150" t="s">
        <v>154</v>
      </c>
      <c r="BD28" s="150" t="s">
        <v>154</v>
      </c>
      <c r="BE28" s="150" t="s">
        <v>154</v>
      </c>
      <c r="BF28" s="150" t="s">
        <v>154</v>
      </c>
      <c r="BG28" s="150" t="s">
        <v>154</v>
      </c>
      <c r="BH28" s="150" t="s">
        <v>157</v>
      </c>
      <c r="BI28" s="150" t="s">
        <v>157</v>
      </c>
      <c r="BJ28" s="150" t="s">
        <v>157</v>
      </c>
      <c r="BK28" s="150" t="s">
        <v>157</v>
      </c>
    </row>
    <row r="29" spans="1:74" x14ac:dyDescent="0.25">
      <c r="A29" s="150" t="s">
        <v>146</v>
      </c>
      <c r="C29" s="150">
        <v>7</v>
      </c>
      <c r="D29" s="150">
        <v>8</v>
      </c>
      <c r="E29" s="150">
        <v>9</v>
      </c>
      <c r="F29" s="150">
        <v>10</v>
      </c>
      <c r="I29" s="168" t="s">
        <v>164</v>
      </c>
      <c r="J29" s="152"/>
      <c r="K29" s="152"/>
      <c r="L29" s="153"/>
      <c r="N29" s="150">
        <v>1</v>
      </c>
      <c r="O29" s="150">
        <v>2</v>
      </c>
      <c r="P29" s="150">
        <v>3</v>
      </c>
      <c r="Q29" s="150">
        <v>4</v>
      </c>
      <c r="R29" s="150">
        <v>5</v>
      </c>
      <c r="S29" s="150">
        <v>6</v>
      </c>
      <c r="U29" s="154">
        <v>42.123553989965735</v>
      </c>
      <c r="V29" s="154">
        <v>43.756892171254968</v>
      </c>
      <c r="W29" s="154">
        <v>46.476886511417653</v>
      </c>
      <c r="X29" s="154">
        <v>45.043248338782114</v>
      </c>
      <c r="Y29" s="154">
        <v>44.33104274109823</v>
      </c>
      <c r="Z29" s="154">
        <v>38.303856776589896</v>
      </c>
      <c r="AA29" s="154">
        <v>47.274163283590717</v>
      </c>
      <c r="AB29" s="154">
        <v>49.442703381871027</v>
      </c>
      <c r="AC29" s="154">
        <v>68.429273813657915</v>
      </c>
      <c r="AD29" s="154">
        <v>59.387724590856962</v>
      </c>
      <c r="BB29" s="150">
        <v>1</v>
      </c>
      <c r="BC29" s="150">
        <v>2</v>
      </c>
      <c r="BD29" s="150">
        <v>3</v>
      </c>
      <c r="BE29" s="150">
        <v>4</v>
      </c>
      <c r="BF29" s="150">
        <v>5</v>
      </c>
      <c r="BG29" s="150">
        <v>6</v>
      </c>
      <c r="BH29" s="150">
        <v>7</v>
      </c>
      <c r="BI29" s="150">
        <v>8</v>
      </c>
      <c r="BJ29" s="150">
        <v>9</v>
      </c>
      <c r="BK29" s="150">
        <v>10</v>
      </c>
      <c r="BM29" s="154">
        <v>42.123553989965735</v>
      </c>
      <c r="BN29" s="154">
        <v>43.756892171254968</v>
      </c>
      <c r="BO29" s="154">
        <v>46.476886511417653</v>
      </c>
      <c r="BP29" s="154">
        <v>45.043248338782114</v>
      </c>
      <c r="BQ29" s="154">
        <v>44.33104274109823</v>
      </c>
      <c r="BR29" s="154">
        <v>38.303856776589896</v>
      </c>
      <c r="BS29" s="154">
        <v>47.274163283590717</v>
      </c>
      <c r="BT29" s="154">
        <v>49.442703381871027</v>
      </c>
      <c r="BU29" s="154">
        <v>68.429273813657915</v>
      </c>
      <c r="BV29" s="154">
        <v>59.387724590856962</v>
      </c>
    </row>
    <row r="30" spans="1:74" x14ac:dyDescent="0.25">
      <c r="A30" s="154" t="s">
        <v>156</v>
      </c>
      <c r="B30" s="154" t="s">
        <v>155</v>
      </c>
      <c r="C30" s="169" t="s">
        <v>68</v>
      </c>
      <c r="D30" s="169" t="s">
        <v>72</v>
      </c>
      <c r="E30" s="169" t="s">
        <v>69</v>
      </c>
      <c r="F30" s="169" t="s">
        <v>71</v>
      </c>
      <c r="H30" s="154" t="s">
        <v>162</v>
      </c>
      <c r="I30" s="169" t="s">
        <v>68</v>
      </c>
      <c r="J30" s="169" t="s">
        <v>72</v>
      </c>
      <c r="K30" s="169" t="s">
        <v>69</v>
      </c>
      <c r="L30" s="169" t="s">
        <v>71</v>
      </c>
      <c r="N30" s="169" t="s">
        <v>63</v>
      </c>
      <c r="O30" s="169" t="s">
        <v>64</v>
      </c>
      <c r="P30" s="169" t="s">
        <v>65</v>
      </c>
      <c r="Q30" s="169" t="s">
        <v>66</v>
      </c>
      <c r="R30" s="169" t="s">
        <v>67</v>
      </c>
      <c r="S30" s="169" t="s">
        <v>70</v>
      </c>
      <c r="U30" s="154" t="s">
        <v>63</v>
      </c>
      <c r="V30" s="154" t="s">
        <v>64</v>
      </c>
      <c r="W30" s="154" t="s">
        <v>65</v>
      </c>
      <c r="X30" s="154" t="s">
        <v>66</v>
      </c>
      <c r="Y30" s="154" t="s">
        <v>67</v>
      </c>
      <c r="Z30" s="154" t="s">
        <v>70</v>
      </c>
      <c r="AA30" s="154" t="s">
        <v>68</v>
      </c>
      <c r="AB30" s="154" t="s">
        <v>72</v>
      </c>
      <c r="AC30" s="154" t="s">
        <v>69</v>
      </c>
      <c r="AD30" s="154" t="s">
        <v>71</v>
      </c>
      <c r="BB30" s="170" t="s">
        <v>63</v>
      </c>
      <c r="BC30" s="170" t="s">
        <v>64</v>
      </c>
      <c r="BD30" s="170" t="s">
        <v>65</v>
      </c>
      <c r="BE30" s="170" t="s">
        <v>66</v>
      </c>
      <c r="BF30" s="170" t="s">
        <v>67</v>
      </c>
      <c r="BG30" s="170" t="s">
        <v>70</v>
      </c>
      <c r="BH30" s="170" t="s">
        <v>68</v>
      </c>
      <c r="BI30" s="170" t="s">
        <v>72</v>
      </c>
      <c r="BJ30" s="170" t="s">
        <v>69</v>
      </c>
      <c r="BK30" s="170" t="s">
        <v>71</v>
      </c>
      <c r="BM30" s="154" t="s">
        <v>63</v>
      </c>
      <c r="BN30" s="154" t="s">
        <v>64</v>
      </c>
      <c r="BO30" s="154" t="s">
        <v>65</v>
      </c>
      <c r="BP30" s="154" t="s">
        <v>66</v>
      </c>
      <c r="BQ30" s="154" t="s">
        <v>67</v>
      </c>
      <c r="BR30" s="154" t="s">
        <v>70</v>
      </c>
      <c r="BS30" s="154" t="s">
        <v>68</v>
      </c>
      <c r="BT30" s="154" t="s">
        <v>72</v>
      </c>
      <c r="BU30" s="154" t="s">
        <v>69</v>
      </c>
      <c r="BV30" s="154" t="s">
        <v>71</v>
      </c>
    </row>
    <row r="31" spans="1:74" x14ac:dyDescent="0.25">
      <c r="A31" s="171">
        <v>42844</v>
      </c>
      <c r="B31" s="172">
        <v>0.56944444444444442</v>
      </c>
      <c r="C31" s="173">
        <v>28.47</v>
      </c>
      <c r="D31" s="173">
        <v>25.92</v>
      </c>
      <c r="E31" s="173">
        <v>89.74</v>
      </c>
      <c r="F31" s="173">
        <v>90.25</v>
      </c>
      <c r="H31" s="174">
        <v>58.6</v>
      </c>
      <c r="I31" s="173">
        <v>-30.1</v>
      </c>
      <c r="J31" s="173">
        <v>-32.700000000000003</v>
      </c>
      <c r="K31" s="173">
        <v>31.1</v>
      </c>
      <c r="L31" s="173">
        <v>31.7</v>
      </c>
      <c r="N31" s="178">
        <v>29.24</v>
      </c>
      <c r="O31" s="178">
        <v>26.28</v>
      </c>
      <c r="P31" s="178">
        <v>25.48</v>
      </c>
      <c r="Q31" s="178">
        <v>24.92</v>
      </c>
      <c r="R31" s="178">
        <v>26.8</v>
      </c>
      <c r="S31" s="178">
        <v>29.51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BB31" s="175">
        <v>29.24</v>
      </c>
      <c r="BC31" s="175">
        <v>26.28</v>
      </c>
      <c r="BD31" s="175">
        <v>25.48</v>
      </c>
      <c r="BE31" s="175">
        <v>24.92</v>
      </c>
      <c r="BF31" s="175">
        <v>26.8</v>
      </c>
      <c r="BG31" s="175">
        <v>29.51</v>
      </c>
      <c r="BH31" s="175">
        <v>28.47</v>
      </c>
      <c r="BI31" s="175">
        <v>25.92</v>
      </c>
      <c r="BJ31" s="175">
        <v>89.74</v>
      </c>
      <c r="BK31" s="175">
        <v>90.25</v>
      </c>
      <c r="BM31" s="178">
        <v>0</v>
      </c>
      <c r="BN31" s="178">
        <v>0</v>
      </c>
      <c r="BO31" s="178">
        <v>0</v>
      </c>
      <c r="BP31" s="178">
        <v>0</v>
      </c>
      <c r="BQ31" s="178">
        <v>0</v>
      </c>
      <c r="BR31" s="178">
        <v>0</v>
      </c>
      <c r="BS31" s="178">
        <v>0</v>
      </c>
      <c r="BT31" s="178">
        <v>0</v>
      </c>
      <c r="BU31" s="178">
        <v>0</v>
      </c>
      <c r="BV31" s="178">
        <v>0</v>
      </c>
    </row>
    <row r="32" spans="1:74" x14ac:dyDescent="0.25">
      <c r="A32" s="176">
        <v>42844</v>
      </c>
      <c r="B32" s="177">
        <v>0.5697916666666667</v>
      </c>
      <c r="C32" s="178">
        <v>28.32</v>
      </c>
      <c r="D32" s="178">
        <v>25.85</v>
      </c>
      <c r="E32" s="178">
        <v>89.69</v>
      </c>
      <c r="F32" s="178">
        <v>90.2</v>
      </c>
      <c r="H32" s="179">
        <v>58.5</v>
      </c>
      <c r="I32" s="178">
        <v>-30.2</v>
      </c>
      <c r="J32" s="178">
        <v>-32.700000000000003</v>
      </c>
      <c r="K32" s="178">
        <v>31.2</v>
      </c>
      <c r="L32" s="178">
        <v>31.7</v>
      </c>
      <c r="N32" s="178">
        <v>29.07</v>
      </c>
      <c r="O32" s="178">
        <v>26.21</v>
      </c>
      <c r="P32" s="178">
        <v>25.41</v>
      </c>
      <c r="Q32" s="178">
        <v>24.82</v>
      </c>
      <c r="R32" s="178">
        <v>26.72</v>
      </c>
      <c r="S32" s="178">
        <v>29.34</v>
      </c>
      <c r="U32" s="178">
        <v>3.1330693233616784E-10</v>
      </c>
      <c r="V32" s="178">
        <v>1.6216980867467447E-10</v>
      </c>
      <c r="W32" s="178">
        <v>1.34886971622246E-10</v>
      </c>
      <c r="X32" s="178">
        <v>1.1775246419480019E-10</v>
      </c>
      <c r="Y32" s="178">
        <v>1.8237697346280375E-10</v>
      </c>
      <c r="Z32" s="178">
        <v>3.3340338460681158E-10</v>
      </c>
      <c r="AA32" s="178">
        <v>2.6361493071141076E-10</v>
      </c>
      <c r="AB32" s="178">
        <v>1.4926913094589777E-10</v>
      </c>
      <c r="AC32" s="178">
        <v>3.6138490180108511E-4</v>
      </c>
      <c r="AD32" s="178">
        <v>4.0641525808205045E-4</v>
      </c>
      <c r="BB32" s="175">
        <v>29.07</v>
      </c>
      <c r="BC32" s="175">
        <v>26.21</v>
      </c>
      <c r="BD32" s="175">
        <v>25.41</v>
      </c>
      <c r="BE32" s="175">
        <v>24.82</v>
      </c>
      <c r="BF32" s="175">
        <v>26.72</v>
      </c>
      <c r="BG32" s="175">
        <v>29.34</v>
      </c>
      <c r="BH32" s="175">
        <v>28.32</v>
      </c>
      <c r="BI32" s="175">
        <v>25.85</v>
      </c>
      <c r="BJ32" s="175">
        <v>89.69</v>
      </c>
      <c r="BK32" s="175">
        <v>90.2</v>
      </c>
      <c r="BM32" s="178">
        <v>3.1330693233616784E-10</v>
      </c>
      <c r="BN32" s="178">
        <v>1.6216980867467447E-10</v>
      </c>
      <c r="BO32" s="178">
        <v>1.34886971622246E-10</v>
      </c>
      <c r="BP32" s="178">
        <v>1.1775246419480019E-10</v>
      </c>
      <c r="BQ32" s="178">
        <v>1.8237697346280375E-10</v>
      </c>
      <c r="BR32" s="178">
        <v>3.3340338460681158E-10</v>
      </c>
      <c r="BS32" s="178">
        <v>2.6361493071141076E-10</v>
      </c>
      <c r="BT32" s="178">
        <v>1.4926913094589777E-10</v>
      </c>
      <c r="BU32" s="178">
        <v>3.6138490180108511E-4</v>
      </c>
      <c r="BV32" s="178">
        <v>4.0641525808205045E-4</v>
      </c>
    </row>
    <row r="33" spans="1:74" x14ac:dyDescent="0.25">
      <c r="A33" s="176">
        <v>42844</v>
      </c>
      <c r="B33" s="177">
        <v>0.57013888888888886</v>
      </c>
      <c r="C33" s="178">
        <v>28.18</v>
      </c>
      <c r="D33" s="178">
        <v>25.79</v>
      </c>
      <c r="E33" s="178">
        <v>89.61</v>
      </c>
      <c r="F33" s="178">
        <v>90.14</v>
      </c>
      <c r="H33" s="179">
        <v>58.4</v>
      </c>
      <c r="I33" s="178">
        <v>-30.2</v>
      </c>
      <c r="J33" s="178">
        <v>-32.6</v>
      </c>
      <c r="K33" s="178">
        <v>31.2</v>
      </c>
      <c r="L33" s="178">
        <v>31.7</v>
      </c>
      <c r="N33" s="178">
        <v>28.91</v>
      </c>
      <c r="O33" s="178">
        <v>26.14</v>
      </c>
      <c r="P33" s="178">
        <v>25.34</v>
      </c>
      <c r="Q33" s="178">
        <v>24.740000000000002</v>
      </c>
      <c r="R33" s="178">
        <v>26.64</v>
      </c>
      <c r="S33" s="178">
        <v>29.17</v>
      </c>
      <c r="U33" s="178">
        <v>6.152812470243577E-10</v>
      </c>
      <c r="V33" s="178">
        <v>3.2174670142971276E-10</v>
      </c>
      <c r="W33" s="178">
        <v>2.6761724972102321E-10</v>
      </c>
      <c r="X33" s="178">
        <v>2.3335570370357979E-10</v>
      </c>
      <c r="Y33" s="178">
        <v>3.6142519201412124E-10</v>
      </c>
      <c r="Z33" s="178">
        <v>6.5400817289939255E-10</v>
      </c>
      <c r="AA33" s="178">
        <v>5.1886743069911446E-10</v>
      </c>
      <c r="AB33" s="178">
        <v>2.9649021263583551E-10</v>
      </c>
      <c r="AC33" s="178">
        <v>7.1617378578277963E-4</v>
      </c>
      <c r="AD33" s="178">
        <v>8.0725428977589055E-4</v>
      </c>
      <c r="BB33" s="175">
        <v>28.91</v>
      </c>
      <c r="BC33" s="175">
        <v>26.14</v>
      </c>
      <c r="BD33" s="175">
        <v>25.34</v>
      </c>
      <c r="BE33" s="175">
        <v>24.740000000000002</v>
      </c>
      <c r="BF33" s="175">
        <v>26.64</v>
      </c>
      <c r="BG33" s="175">
        <v>29.17</v>
      </c>
      <c r="BH33" s="175">
        <v>28.18</v>
      </c>
      <c r="BI33" s="175">
        <v>25.79</v>
      </c>
      <c r="BJ33" s="175">
        <v>89.61</v>
      </c>
      <c r="BK33" s="175">
        <v>90.14</v>
      </c>
      <c r="BM33" s="178">
        <v>6.152812470243577E-10</v>
      </c>
      <c r="BN33" s="178">
        <v>3.2174670142971276E-10</v>
      </c>
      <c r="BO33" s="178">
        <v>2.6761724972102321E-10</v>
      </c>
      <c r="BP33" s="178">
        <v>2.3335570370357979E-10</v>
      </c>
      <c r="BQ33" s="178">
        <v>3.6142519201412124E-10</v>
      </c>
      <c r="BR33" s="178">
        <v>6.5400817289939255E-10</v>
      </c>
      <c r="BS33" s="178">
        <v>5.1886743069911446E-10</v>
      </c>
      <c r="BT33" s="178">
        <v>2.9649021263583551E-10</v>
      </c>
      <c r="BU33" s="178">
        <v>7.1617378578277963E-4</v>
      </c>
      <c r="BV33" s="178">
        <v>8.0725428977589055E-4</v>
      </c>
    </row>
    <row r="34" spans="1:74" x14ac:dyDescent="0.25">
      <c r="A34" s="176">
        <v>42844</v>
      </c>
      <c r="B34" s="177">
        <v>0.57048611111111114</v>
      </c>
      <c r="C34" s="178">
        <v>28.06</v>
      </c>
      <c r="D34" s="178">
        <v>25.73</v>
      </c>
      <c r="E34" s="178">
        <v>89.55</v>
      </c>
      <c r="F34" s="178">
        <v>90.08</v>
      </c>
      <c r="H34" s="179">
        <v>58.4</v>
      </c>
      <c r="I34" s="178">
        <v>-30.3</v>
      </c>
      <c r="J34" s="178">
        <v>-32.700000000000003</v>
      </c>
      <c r="K34" s="178">
        <v>31.2</v>
      </c>
      <c r="L34" s="178">
        <v>31.7</v>
      </c>
      <c r="N34" s="178">
        <v>28.76</v>
      </c>
      <c r="O34" s="178">
        <v>26.07</v>
      </c>
      <c r="P34" s="178">
        <v>25.28</v>
      </c>
      <c r="Q34" s="178">
        <v>24.66</v>
      </c>
      <c r="R34" s="178">
        <v>26.56</v>
      </c>
      <c r="S34" s="178">
        <v>28.99</v>
      </c>
      <c r="U34" s="178">
        <v>9.0700379916123115E-10</v>
      </c>
      <c r="V34" s="178">
        <v>4.7877213612352302E-10</v>
      </c>
      <c r="W34" s="178">
        <v>3.9852640013197264E-10</v>
      </c>
      <c r="X34" s="178">
        <v>3.4684894629777054E-10</v>
      </c>
      <c r="Y34" s="178">
        <v>5.3720541227827076E-10</v>
      </c>
      <c r="Z34" s="178">
        <v>9.6159660925432611E-10</v>
      </c>
      <c r="AA34" s="178">
        <v>7.6716359142428273E-10</v>
      </c>
      <c r="AB34" s="178">
        <v>4.4169134535905816E-10</v>
      </c>
      <c r="AC34" s="178">
        <v>1.0660947837839163E-3</v>
      </c>
      <c r="AD34" s="178">
        <v>1.2025936037758033E-3</v>
      </c>
      <c r="BB34" s="175">
        <v>28.76</v>
      </c>
      <c r="BC34" s="175">
        <v>26.07</v>
      </c>
      <c r="BD34" s="175">
        <v>25.28</v>
      </c>
      <c r="BE34" s="175">
        <v>24.66</v>
      </c>
      <c r="BF34" s="175">
        <v>26.56</v>
      </c>
      <c r="BG34" s="175">
        <v>28.99</v>
      </c>
      <c r="BH34" s="175">
        <v>28.06</v>
      </c>
      <c r="BI34" s="175">
        <v>25.73</v>
      </c>
      <c r="BJ34" s="175">
        <v>89.55</v>
      </c>
      <c r="BK34" s="175">
        <v>90.08</v>
      </c>
      <c r="BM34" s="178">
        <v>9.0700379916123115E-10</v>
      </c>
      <c r="BN34" s="178">
        <v>4.7877213612352302E-10</v>
      </c>
      <c r="BO34" s="178">
        <v>3.9852640013197264E-10</v>
      </c>
      <c r="BP34" s="178">
        <v>3.4684894629777054E-10</v>
      </c>
      <c r="BQ34" s="178">
        <v>5.3720541227827076E-10</v>
      </c>
      <c r="BR34" s="178">
        <v>9.6159660925432611E-10</v>
      </c>
      <c r="BS34" s="178">
        <v>7.6716359142428273E-10</v>
      </c>
      <c r="BT34" s="178">
        <v>4.4169134535905816E-10</v>
      </c>
      <c r="BU34" s="178">
        <v>1.0660947837839163E-3</v>
      </c>
      <c r="BV34" s="178">
        <v>1.2025936037758033E-3</v>
      </c>
    </row>
    <row r="35" spans="1:74" x14ac:dyDescent="0.25">
      <c r="A35" s="176">
        <v>42844</v>
      </c>
      <c r="B35" s="177">
        <v>0.5708333333333333</v>
      </c>
      <c r="C35" s="178">
        <v>27.93</v>
      </c>
      <c r="D35" s="178">
        <v>25.64</v>
      </c>
      <c r="E35" s="178">
        <v>89.49</v>
      </c>
      <c r="F35" s="178">
        <v>90.02</v>
      </c>
      <c r="H35" s="179">
        <v>58.3</v>
      </c>
      <c r="I35" s="178">
        <v>-30.4</v>
      </c>
      <c r="J35" s="178">
        <v>-32.700000000000003</v>
      </c>
      <c r="K35" s="178">
        <v>31.2</v>
      </c>
      <c r="L35" s="178">
        <v>31.7</v>
      </c>
      <c r="N35" s="178">
        <v>28.61</v>
      </c>
      <c r="O35" s="178">
        <v>26</v>
      </c>
      <c r="P35" s="178">
        <v>25.22</v>
      </c>
      <c r="Q35" s="178">
        <v>24.580000000000002</v>
      </c>
      <c r="R35" s="178">
        <v>26.48</v>
      </c>
      <c r="S35" s="178">
        <v>28.84</v>
      </c>
      <c r="U35" s="178">
        <v>1.1888226270742084E-9</v>
      </c>
      <c r="V35" s="178">
        <v>6.3328690774920234E-10</v>
      </c>
      <c r="W35" s="178">
        <v>5.276394096637026E-10</v>
      </c>
      <c r="X35" s="178">
        <v>4.5827070376128555E-10</v>
      </c>
      <c r="Y35" s="178">
        <v>7.097772819461989E-10</v>
      </c>
      <c r="Z35" s="178">
        <v>1.2587426885621121E-9</v>
      </c>
      <c r="AA35" s="178">
        <v>1.008137490236847E-9</v>
      </c>
      <c r="AB35" s="178">
        <v>5.8391440073145365E-10</v>
      </c>
      <c r="AC35" s="178">
        <v>1.411214685704037E-3</v>
      </c>
      <c r="AD35" s="178">
        <v>1.5925086590374326E-3</v>
      </c>
      <c r="BB35" s="175">
        <v>28.61</v>
      </c>
      <c r="BC35" s="175">
        <v>26</v>
      </c>
      <c r="BD35" s="175">
        <v>25.22</v>
      </c>
      <c r="BE35" s="175">
        <v>24.580000000000002</v>
      </c>
      <c r="BF35" s="175">
        <v>26.48</v>
      </c>
      <c r="BG35" s="175">
        <v>28.84</v>
      </c>
      <c r="BH35" s="175">
        <v>27.93</v>
      </c>
      <c r="BI35" s="175">
        <v>25.64</v>
      </c>
      <c r="BJ35" s="175">
        <v>89.49</v>
      </c>
      <c r="BK35" s="175">
        <v>90.02</v>
      </c>
      <c r="BM35" s="178">
        <v>1.1888226270742084E-9</v>
      </c>
      <c r="BN35" s="178">
        <v>6.3328690774920234E-10</v>
      </c>
      <c r="BO35" s="178">
        <v>5.276394096637026E-10</v>
      </c>
      <c r="BP35" s="178">
        <v>4.5827070376128555E-10</v>
      </c>
      <c r="BQ35" s="178">
        <v>7.097772819461989E-10</v>
      </c>
      <c r="BR35" s="178">
        <v>1.2587426885621121E-9</v>
      </c>
      <c r="BS35" s="178">
        <v>1.008137490236847E-9</v>
      </c>
      <c r="BT35" s="178">
        <v>5.8391440073145365E-10</v>
      </c>
      <c r="BU35" s="178">
        <v>1.411214685704037E-3</v>
      </c>
      <c r="BV35" s="178">
        <v>1.5925086590374326E-3</v>
      </c>
    </row>
    <row r="36" spans="1:74" x14ac:dyDescent="0.25">
      <c r="A36" s="176">
        <v>42844</v>
      </c>
      <c r="B36" s="177">
        <v>0.57118055555555558</v>
      </c>
      <c r="C36" s="178">
        <v>27.79</v>
      </c>
      <c r="D36" s="178">
        <v>25.56</v>
      </c>
      <c r="E36" s="178">
        <v>89.39</v>
      </c>
      <c r="F36" s="178">
        <v>89.96</v>
      </c>
      <c r="H36" s="179">
        <v>58.2</v>
      </c>
      <c r="I36" s="178">
        <v>-30.4</v>
      </c>
      <c r="J36" s="178">
        <v>-32.6</v>
      </c>
      <c r="K36" s="178">
        <v>31.2</v>
      </c>
      <c r="L36" s="178">
        <v>31.8</v>
      </c>
      <c r="N36" s="178">
        <v>28.47</v>
      </c>
      <c r="O36" s="178">
        <v>25.93</v>
      </c>
      <c r="P36" s="178">
        <v>25.15</v>
      </c>
      <c r="Q36" s="178">
        <v>24.5</v>
      </c>
      <c r="R36" s="178">
        <v>26.41</v>
      </c>
      <c r="S36" s="178">
        <v>28.68</v>
      </c>
      <c r="U36" s="178">
        <v>1.4617015576198432E-9</v>
      </c>
      <c r="V36" s="178">
        <v>7.8533115903301637E-10</v>
      </c>
      <c r="W36" s="178">
        <v>6.5468804494116773E-10</v>
      </c>
      <c r="X36" s="178">
        <v>5.6765878495876282E-10</v>
      </c>
      <c r="Y36" s="178">
        <v>8.7958991824140297E-10</v>
      </c>
      <c r="Z36" s="178">
        <v>1.5451407040550273E-9</v>
      </c>
      <c r="AA36" s="178">
        <v>1.2414671803939912E-9</v>
      </c>
      <c r="AB36" s="178">
        <v>7.2354159279332101E-10</v>
      </c>
      <c r="AC36" s="178">
        <v>1.7484786995529984E-3</v>
      </c>
      <c r="AD36" s="178">
        <v>1.9770738791807371E-3</v>
      </c>
      <c r="BB36" s="175">
        <v>28.47</v>
      </c>
      <c r="BC36" s="175">
        <v>25.93</v>
      </c>
      <c r="BD36" s="175">
        <v>25.15</v>
      </c>
      <c r="BE36" s="175">
        <v>24.5</v>
      </c>
      <c r="BF36" s="175">
        <v>26.41</v>
      </c>
      <c r="BG36" s="175">
        <v>28.68</v>
      </c>
      <c r="BH36" s="175">
        <v>27.79</v>
      </c>
      <c r="BI36" s="175">
        <v>25.56</v>
      </c>
      <c r="BJ36" s="175">
        <v>89.39</v>
      </c>
      <c r="BK36" s="175">
        <v>89.96</v>
      </c>
      <c r="BM36" s="178">
        <v>1.4617015576198432E-9</v>
      </c>
      <c r="BN36" s="178">
        <v>7.8533115903301637E-10</v>
      </c>
      <c r="BO36" s="178">
        <v>6.5468804494116773E-10</v>
      </c>
      <c r="BP36" s="178">
        <v>5.6765878495876282E-10</v>
      </c>
      <c r="BQ36" s="178">
        <v>8.7958991824140297E-10</v>
      </c>
      <c r="BR36" s="178">
        <v>1.5451407040550273E-9</v>
      </c>
      <c r="BS36" s="178">
        <v>1.2414671803939912E-9</v>
      </c>
      <c r="BT36" s="178">
        <v>7.2354159279332101E-10</v>
      </c>
      <c r="BU36" s="178">
        <v>1.7484786995529984E-3</v>
      </c>
      <c r="BV36" s="178">
        <v>1.9770738791807371E-3</v>
      </c>
    </row>
    <row r="37" spans="1:74" x14ac:dyDescent="0.25">
      <c r="A37" s="176">
        <v>42844</v>
      </c>
      <c r="B37" s="177">
        <v>0.57152777777777775</v>
      </c>
      <c r="C37" s="178">
        <v>27.67</v>
      </c>
      <c r="D37" s="178">
        <v>25.52</v>
      </c>
      <c r="E37" s="178">
        <v>89.32</v>
      </c>
      <c r="F37" s="178">
        <v>89.9</v>
      </c>
      <c r="H37" s="179">
        <v>58.1</v>
      </c>
      <c r="I37" s="178">
        <v>-30.4</v>
      </c>
      <c r="J37" s="178">
        <v>-32.6</v>
      </c>
      <c r="K37" s="178">
        <v>31.2</v>
      </c>
      <c r="L37" s="178">
        <v>31.8</v>
      </c>
      <c r="N37" s="178">
        <v>28.33</v>
      </c>
      <c r="O37" s="178">
        <v>25.86</v>
      </c>
      <c r="P37" s="178">
        <v>25.1</v>
      </c>
      <c r="Q37" s="178">
        <v>24.43</v>
      </c>
      <c r="R37" s="178">
        <v>26.34</v>
      </c>
      <c r="S37" s="178">
        <v>28.53</v>
      </c>
      <c r="U37" s="178">
        <v>1.7259241835074329E-9</v>
      </c>
      <c r="V37" s="178">
        <v>9.349443908634258E-10</v>
      </c>
      <c r="W37" s="178">
        <v>7.8028236651664662E-10</v>
      </c>
      <c r="X37" s="178">
        <v>6.7529787169498164E-10</v>
      </c>
      <c r="Y37" s="178">
        <v>1.0466874382544603E-9</v>
      </c>
      <c r="Z37" s="178">
        <v>1.8218157586628952E-9</v>
      </c>
      <c r="AA37" s="178">
        <v>1.4684379887190923E-9</v>
      </c>
      <c r="AB37" s="178">
        <v>8.6188867506389619E-10</v>
      </c>
      <c r="AC37" s="178">
        <v>2.0803502347539527E-3</v>
      </c>
      <c r="AD37" s="178">
        <v>2.3563626666953299E-3</v>
      </c>
      <c r="BB37" s="175">
        <v>28.33</v>
      </c>
      <c r="BC37" s="175">
        <v>25.86</v>
      </c>
      <c r="BD37" s="175">
        <v>25.1</v>
      </c>
      <c r="BE37" s="175">
        <v>24.43</v>
      </c>
      <c r="BF37" s="175">
        <v>26.34</v>
      </c>
      <c r="BG37" s="175">
        <v>28.53</v>
      </c>
      <c r="BH37" s="175">
        <v>27.67</v>
      </c>
      <c r="BI37" s="175">
        <v>25.52</v>
      </c>
      <c r="BJ37" s="175">
        <v>89.32</v>
      </c>
      <c r="BK37" s="175">
        <v>89.9</v>
      </c>
      <c r="BM37" s="178">
        <v>1.7259241835074329E-9</v>
      </c>
      <c r="BN37" s="178">
        <v>9.349443908634258E-10</v>
      </c>
      <c r="BO37" s="178">
        <v>7.8028236651664662E-10</v>
      </c>
      <c r="BP37" s="178">
        <v>6.7529787169498164E-10</v>
      </c>
      <c r="BQ37" s="178">
        <v>1.0466874382544603E-9</v>
      </c>
      <c r="BR37" s="178">
        <v>1.8218157586628952E-9</v>
      </c>
      <c r="BS37" s="178">
        <v>1.4684379887190923E-9</v>
      </c>
      <c r="BT37" s="178">
        <v>8.6188867506389619E-10</v>
      </c>
      <c r="BU37" s="178">
        <v>2.0803502347539527E-3</v>
      </c>
      <c r="BV37" s="178">
        <v>2.3563626666953299E-3</v>
      </c>
    </row>
    <row r="38" spans="1:74" x14ac:dyDescent="0.25">
      <c r="A38" s="176">
        <v>42844</v>
      </c>
      <c r="B38" s="177">
        <v>0.57187500000000002</v>
      </c>
      <c r="C38" s="178">
        <v>27.55</v>
      </c>
      <c r="D38" s="178">
        <v>25.47</v>
      </c>
      <c r="E38" s="178">
        <v>89.27</v>
      </c>
      <c r="F38" s="178">
        <v>89.84</v>
      </c>
      <c r="H38" s="179">
        <v>58</v>
      </c>
      <c r="I38" s="178">
        <v>-30.5</v>
      </c>
      <c r="J38" s="178">
        <v>-32.5</v>
      </c>
      <c r="K38" s="178">
        <v>31.3</v>
      </c>
      <c r="L38" s="178">
        <v>31.8</v>
      </c>
      <c r="N38" s="178">
        <v>28.19</v>
      </c>
      <c r="O38" s="178">
        <v>25.8</v>
      </c>
      <c r="P38" s="178">
        <v>25.04</v>
      </c>
      <c r="Q38" s="178">
        <v>24.36</v>
      </c>
      <c r="R38" s="178">
        <v>26.26</v>
      </c>
      <c r="S38" s="178">
        <v>28.39</v>
      </c>
      <c r="U38" s="178">
        <v>1.9817651012775858E-9</v>
      </c>
      <c r="V38" s="178">
        <v>1.0825048521967448E-9</v>
      </c>
      <c r="W38" s="178">
        <v>9.0415346939831076E-10</v>
      </c>
      <c r="X38" s="178">
        <v>7.8121592845740678E-10</v>
      </c>
      <c r="Y38" s="178">
        <v>1.2107350848110203E-9</v>
      </c>
      <c r="Z38" s="178">
        <v>2.0897140874195659E-9</v>
      </c>
      <c r="AA38" s="178">
        <v>1.689223212395748E-9</v>
      </c>
      <c r="AB38" s="178">
        <v>9.986521113792318E-10</v>
      </c>
      <c r="AC38" s="178">
        <v>2.4084228679054054E-3</v>
      </c>
      <c r="AD38" s="178">
        <v>2.7304474169509078E-3</v>
      </c>
      <c r="BB38" s="175">
        <v>28.19</v>
      </c>
      <c r="BC38" s="175">
        <v>25.8</v>
      </c>
      <c r="BD38" s="175">
        <v>25.04</v>
      </c>
      <c r="BE38" s="175">
        <v>24.36</v>
      </c>
      <c r="BF38" s="175">
        <v>26.26</v>
      </c>
      <c r="BG38" s="175">
        <v>28.39</v>
      </c>
      <c r="BH38" s="175">
        <v>27.55</v>
      </c>
      <c r="BI38" s="175">
        <v>25.47</v>
      </c>
      <c r="BJ38" s="175">
        <v>89.27</v>
      </c>
      <c r="BK38" s="175">
        <v>89.84</v>
      </c>
      <c r="BM38" s="178">
        <v>1.9817651012775858E-9</v>
      </c>
      <c r="BN38" s="178">
        <v>1.0825048521967448E-9</v>
      </c>
      <c r="BO38" s="178">
        <v>9.0415346939831076E-10</v>
      </c>
      <c r="BP38" s="178">
        <v>7.8121592845740678E-10</v>
      </c>
      <c r="BQ38" s="178">
        <v>1.2107350848110203E-9</v>
      </c>
      <c r="BR38" s="178">
        <v>2.0897140874195659E-9</v>
      </c>
      <c r="BS38" s="178">
        <v>1.689223212395748E-9</v>
      </c>
      <c r="BT38" s="178">
        <v>9.986521113792318E-10</v>
      </c>
      <c r="BU38" s="178">
        <v>2.4084228679054054E-3</v>
      </c>
      <c r="BV38" s="178">
        <v>2.7304474169509078E-3</v>
      </c>
    </row>
    <row r="39" spans="1:74" x14ac:dyDescent="0.25">
      <c r="A39" s="176">
        <v>42844</v>
      </c>
      <c r="B39" s="177">
        <v>0.57222222222222219</v>
      </c>
      <c r="C39" s="178">
        <v>27.42</v>
      </c>
      <c r="D39" s="178">
        <v>25.39</v>
      </c>
      <c r="E39" s="178">
        <v>89.18</v>
      </c>
      <c r="F39" s="178">
        <v>89.78</v>
      </c>
      <c r="H39" s="179">
        <v>57.9</v>
      </c>
      <c r="I39" s="178">
        <v>-30.5</v>
      </c>
      <c r="J39" s="178">
        <v>-32.5</v>
      </c>
      <c r="K39" s="178">
        <v>31.3</v>
      </c>
      <c r="L39" s="178">
        <v>31.9</v>
      </c>
      <c r="N39" s="178">
        <v>28.06</v>
      </c>
      <c r="O39" s="178">
        <v>25.74</v>
      </c>
      <c r="P39" s="178">
        <v>24.98</v>
      </c>
      <c r="Q39" s="178">
        <v>24.29</v>
      </c>
      <c r="R39" s="178">
        <v>26.19</v>
      </c>
      <c r="S39" s="178">
        <v>28.24</v>
      </c>
      <c r="U39" s="178">
        <v>2.2300612620027539E-9</v>
      </c>
      <c r="V39" s="178">
        <v>1.2280407081000748E-9</v>
      </c>
      <c r="W39" s="178">
        <v>1.0263249970330096E-9</v>
      </c>
      <c r="X39" s="178">
        <v>8.8544047261227083E-10</v>
      </c>
      <c r="Y39" s="178">
        <v>1.3721597908966516E-9</v>
      </c>
      <c r="Z39" s="178">
        <v>2.3485175033948494E-9</v>
      </c>
      <c r="AA39" s="178">
        <v>1.9034974725944681E-9</v>
      </c>
      <c r="AB39" s="178">
        <v>1.1329193336621568E-9</v>
      </c>
      <c r="AC39" s="178">
        <v>2.729766726563916E-3</v>
      </c>
      <c r="AD39" s="178">
        <v>3.0993995320154587E-3</v>
      </c>
      <c r="BB39" s="175">
        <v>28.06</v>
      </c>
      <c r="BC39" s="175">
        <v>25.74</v>
      </c>
      <c r="BD39" s="175">
        <v>24.98</v>
      </c>
      <c r="BE39" s="175">
        <v>24.29</v>
      </c>
      <c r="BF39" s="175">
        <v>26.19</v>
      </c>
      <c r="BG39" s="175">
        <v>28.24</v>
      </c>
      <c r="BH39" s="175">
        <v>27.42</v>
      </c>
      <c r="BI39" s="175">
        <v>25.39</v>
      </c>
      <c r="BJ39" s="175">
        <v>89.18</v>
      </c>
      <c r="BK39" s="175">
        <v>89.78</v>
      </c>
      <c r="BM39" s="178">
        <v>2.2300612620027539E-9</v>
      </c>
      <c r="BN39" s="178">
        <v>1.2280407081000748E-9</v>
      </c>
      <c r="BO39" s="178">
        <v>1.0263249970330096E-9</v>
      </c>
      <c r="BP39" s="178">
        <v>8.8544047261227083E-10</v>
      </c>
      <c r="BQ39" s="178">
        <v>1.3721597908966516E-9</v>
      </c>
      <c r="BR39" s="178">
        <v>2.3485175033948494E-9</v>
      </c>
      <c r="BS39" s="178">
        <v>1.9034974725944681E-9</v>
      </c>
      <c r="BT39" s="178">
        <v>1.1329193336621568E-9</v>
      </c>
      <c r="BU39" s="178">
        <v>2.729766726563916E-3</v>
      </c>
      <c r="BV39" s="178">
        <v>3.0993995320154587E-3</v>
      </c>
    </row>
    <row r="40" spans="1:74" x14ac:dyDescent="0.25">
      <c r="A40" s="176">
        <v>42844</v>
      </c>
      <c r="B40" s="177">
        <v>0.57256944444444446</v>
      </c>
      <c r="C40" s="178">
        <v>27.31</v>
      </c>
      <c r="D40" s="178">
        <v>25.35</v>
      </c>
      <c r="E40" s="178">
        <v>89.07</v>
      </c>
      <c r="F40" s="178">
        <v>89.71</v>
      </c>
      <c r="H40" s="179">
        <v>57.9</v>
      </c>
      <c r="I40" s="178">
        <v>-30.6</v>
      </c>
      <c r="J40" s="178">
        <v>-32.6</v>
      </c>
      <c r="K40" s="178">
        <v>31.2</v>
      </c>
      <c r="L40" s="178">
        <v>31.8</v>
      </c>
      <c r="N40" s="178">
        <v>27.93</v>
      </c>
      <c r="O40" s="178">
        <v>25.67</v>
      </c>
      <c r="P40" s="178">
        <v>24.93</v>
      </c>
      <c r="Q40" s="178">
        <v>24.21</v>
      </c>
      <c r="R40" s="178">
        <v>26.12</v>
      </c>
      <c r="S40" s="178">
        <v>28.11</v>
      </c>
      <c r="U40" s="178">
        <v>2.4710351608153181E-9</v>
      </c>
      <c r="V40" s="178">
        <v>1.3712496065954039E-9</v>
      </c>
      <c r="W40" s="178">
        <v>1.1470980387552568E-9</v>
      </c>
      <c r="X40" s="178">
        <v>9.8776270444850469E-10</v>
      </c>
      <c r="Y40" s="178">
        <v>1.5310034944291401E-9</v>
      </c>
      <c r="Z40" s="178">
        <v>2.5996887981560434E-9</v>
      </c>
      <c r="AA40" s="178">
        <v>2.1124126559177785E-9</v>
      </c>
      <c r="AB40" s="178">
        <v>1.2659555866520971E-9</v>
      </c>
      <c r="AC40" s="178">
        <v>3.0430736589000832E-3</v>
      </c>
      <c r="AD40" s="178">
        <v>3.4624525107330357E-3</v>
      </c>
      <c r="BB40" s="175">
        <v>27.93</v>
      </c>
      <c r="BC40" s="175">
        <v>25.67</v>
      </c>
      <c r="BD40" s="175">
        <v>24.93</v>
      </c>
      <c r="BE40" s="175">
        <v>24.21</v>
      </c>
      <c r="BF40" s="175">
        <v>26.12</v>
      </c>
      <c r="BG40" s="175">
        <v>28.11</v>
      </c>
      <c r="BH40" s="175">
        <v>27.31</v>
      </c>
      <c r="BI40" s="175">
        <v>25.35</v>
      </c>
      <c r="BJ40" s="175">
        <v>89.07</v>
      </c>
      <c r="BK40" s="175">
        <v>89.71</v>
      </c>
      <c r="BM40" s="178">
        <v>2.4710351608153181E-9</v>
      </c>
      <c r="BN40" s="178">
        <v>1.3712496065954039E-9</v>
      </c>
      <c r="BO40" s="178">
        <v>1.1470980387552568E-9</v>
      </c>
      <c r="BP40" s="178">
        <v>9.8776270444850469E-10</v>
      </c>
      <c r="BQ40" s="178">
        <v>1.5310034944291401E-9</v>
      </c>
      <c r="BR40" s="178">
        <v>2.5996887981560434E-9</v>
      </c>
      <c r="BS40" s="178">
        <v>2.1124126559177785E-9</v>
      </c>
      <c r="BT40" s="178">
        <v>1.2659555866520971E-9</v>
      </c>
      <c r="BU40" s="178">
        <v>3.0430736589000832E-3</v>
      </c>
      <c r="BV40" s="178">
        <v>3.4624525107330357E-3</v>
      </c>
    </row>
    <row r="41" spans="1:74" x14ac:dyDescent="0.25">
      <c r="A41" s="176">
        <v>42844</v>
      </c>
      <c r="B41" s="177">
        <v>0.57291666666666663</v>
      </c>
      <c r="C41" s="178">
        <v>27.19</v>
      </c>
      <c r="D41" s="178">
        <v>25.29</v>
      </c>
      <c r="E41" s="178">
        <v>89</v>
      </c>
      <c r="F41" s="178">
        <v>89.65</v>
      </c>
      <c r="H41" s="179">
        <v>57.8</v>
      </c>
      <c r="I41" s="178">
        <v>-30.6</v>
      </c>
      <c r="J41" s="178">
        <v>-32.5</v>
      </c>
      <c r="K41" s="178">
        <v>31.2</v>
      </c>
      <c r="L41" s="178">
        <v>31.9</v>
      </c>
      <c r="N41" s="178">
        <v>27.8</v>
      </c>
      <c r="O41" s="178">
        <v>25.62</v>
      </c>
      <c r="P41" s="178">
        <v>24.88</v>
      </c>
      <c r="Q41" s="178">
        <v>24.14</v>
      </c>
      <c r="R41" s="178">
        <v>26.06</v>
      </c>
      <c r="S41" s="178">
        <v>27.97</v>
      </c>
      <c r="U41" s="178">
        <v>2.7049027314589166E-9</v>
      </c>
      <c r="V41" s="178">
        <v>1.5128192063853729E-9</v>
      </c>
      <c r="W41" s="178">
        <v>1.2664886029009154E-9</v>
      </c>
      <c r="X41" s="178">
        <v>1.088448916941624E-9</v>
      </c>
      <c r="Y41" s="178">
        <v>1.6876677806449193E-9</v>
      </c>
      <c r="Z41" s="178">
        <v>2.8428924010017747E-9</v>
      </c>
      <c r="AA41" s="178">
        <v>2.3156343205003843E-9</v>
      </c>
      <c r="AB41" s="178">
        <v>1.397166513821319E-9</v>
      </c>
      <c r="AC41" s="178">
        <v>3.3513711598308245E-3</v>
      </c>
      <c r="AD41" s="178">
        <v>3.8205242158394874E-3</v>
      </c>
      <c r="BB41" s="175">
        <v>27.8</v>
      </c>
      <c r="BC41" s="175">
        <v>25.62</v>
      </c>
      <c r="BD41" s="175">
        <v>24.88</v>
      </c>
      <c r="BE41" s="175">
        <v>24.14</v>
      </c>
      <c r="BF41" s="175">
        <v>26.06</v>
      </c>
      <c r="BG41" s="175">
        <v>27.97</v>
      </c>
      <c r="BH41" s="175">
        <v>27.19</v>
      </c>
      <c r="BI41" s="175">
        <v>25.29</v>
      </c>
      <c r="BJ41" s="175">
        <v>89</v>
      </c>
      <c r="BK41" s="175">
        <v>89.65</v>
      </c>
      <c r="BM41" s="178">
        <v>2.7049027314589166E-9</v>
      </c>
      <c r="BN41" s="178">
        <v>1.5128192063853729E-9</v>
      </c>
      <c r="BO41" s="178">
        <v>1.2664886029009154E-9</v>
      </c>
      <c r="BP41" s="178">
        <v>1.088448916941624E-9</v>
      </c>
      <c r="BQ41" s="178">
        <v>1.6876677806449193E-9</v>
      </c>
      <c r="BR41" s="178">
        <v>2.8428924010017747E-9</v>
      </c>
      <c r="BS41" s="178">
        <v>2.3156343205003843E-9</v>
      </c>
      <c r="BT41" s="178">
        <v>1.397166513821319E-9</v>
      </c>
      <c r="BU41" s="178">
        <v>3.3513711598308245E-3</v>
      </c>
      <c r="BV41" s="178">
        <v>3.8205242158394874E-3</v>
      </c>
    </row>
    <row r="42" spans="1:74" x14ac:dyDescent="0.25">
      <c r="A42" s="176">
        <v>42844</v>
      </c>
      <c r="B42" s="177">
        <v>0.57326388888888891</v>
      </c>
      <c r="C42" s="178">
        <v>27.08</v>
      </c>
      <c r="D42" s="178">
        <v>25.19</v>
      </c>
      <c r="E42" s="178">
        <v>88.91</v>
      </c>
      <c r="F42" s="178">
        <v>89.59</v>
      </c>
      <c r="H42" s="179">
        <v>57.7</v>
      </c>
      <c r="I42" s="178">
        <v>-30.6</v>
      </c>
      <c r="J42" s="178">
        <v>-32.5</v>
      </c>
      <c r="K42" s="178">
        <v>31.2</v>
      </c>
      <c r="L42" s="178">
        <v>31.9</v>
      </c>
      <c r="N42" s="178">
        <v>27.68</v>
      </c>
      <c r="O42" s="178">
        <v>25.56</v>
      </c>
      <c r="P42" s="178">
        <v>24.83</v>
      </c>
      <c r="Q42" s="178">
        <v>24.080000000000002</v>
      </c>
      <c r="R42" s="178">
        <v>25.99</v>
      </c>
      <c r="S42" s="178">
        <v>27.84</v>
      </c>
      <c r="U42" s="178">
        <v>2.9323967615339415E-9</v>
      </c>
      <c r="V42" s="178">
        <v>1.6524463984472402E-9</v>
      </c>
      <c r="W42" s="178">
        <v>1.3845125145599444E-9</v>
      </c>
      <c r="X42" s="178">
        <v>1.1877536628094924E-9</v>
      </c>
      <c r="Y42" s="178">
        <v>1.8418271781573872E-9</v>
      </c>
      <c r="Z42" s="178">
        <v>3.0789239216335701E-9</v>
      </c>
      <c r="AA42" s="178">
        <v>2.5137733376281039E-9</v>
      </c>
      <c r="AB42" s="178">
        <v>1.5253907156472047E-9</v>
      </c>
      <c r="AC42" s="178">
        <v>3.653345474519014E-3</v>
      </c>
      <c r="AD42" s="178">
        <v>4.1736829929709691E-3</v>
      </c>
      <c r="BB42" s="175">
        <v>27.68</v>
      </c>
      <c r="BC42" s="175">
        <v>25.56</v>
      </c>
      <c r="BD42" s="175">
        <v>24.83</v>
      </c>
      <c r="BE42" s="175">
        <v>24.080000000000002</v>
      </c>
      <c r="BF42" s="175">
        <v>25.99</v>
      </c>
      <c r="BG42" s="175">
        <v>27.84</v>
      </c>
      <c r="BH42" s="175">
        <v>27.08</v>
      </c>
      <c r="BI42" s="175">
        <v>25.19</v>
      </c>
      <c r="BJ42" s="175">
        <v>88.91</v>
      </c>
      <c r="BK42" s="175">
        <v>89.59</v>
      </c>
      <c r="BM42" s="178">
        <v>2.9323967615339415E-9</v>
      </c>
      <c r="BN42" s="178">
        <v>1.6524463984472402E-9</v>
      </c>
      <c r="BO42" s="178">
        <v>1.3845125145599444E-9</v>
      </c>
      <c r="BP42" s="178">
        <v>1.1877536628094924E-9</v>
      </c>
      <c r="BQ42" s="178">
        <v>1.8418271781573872E-9</v>
      </c>
      <c r="BR42" s="178">
        <v>3.0789239216335701E-9</v>
      </c>
      <c r="BS42" s="178">
        <v>2.5137733376281039E-9</v>
      </c>
      <c r="BT42" s="178">
        <v>1.5253907156472047E-9</v>
      </c>
      <c r="BU42" s="178">
        <v>3.653345474519014E-3</v>
      </c>
      <c r="BV42" s="178">
        <v>4.1736829929709691E-3</v>
      </c>
    </row>
    <row r="43" spans="1:74" x14ac:dyDescent="0.25">
      <c r="A43" s="176">
        <v>42844</v>
      </c>
      <c r="B43" s="177">
        <v>0.57361111111111118</v>
      </c>
      <c r="C43" s="178">
        <v>26.97</v>
      </c>
      <c r="D43" s="178">
        <v>25.18</v>
      </c>
      <c r="E43" s="178">
        <v>88.81</v>
      </c>
      <c r="F43" s="178">
        <v>89.52</v>
      </c>
      <c r="H43" s="179">
        <v>57.6</v>
      </c>
      <c r="I43" s="178">
        <v>-30.6</v>
      </c>
      <c r="J43" s="178">
        <v>-32.4</v>
      </c>
      <c r="K43" s="178">
        <v>31.2</v>
      </c>
      <c r="L43" s="178">
        <v>31.9</v>
      </c>
      <c r="N43" s="178">
        <v>27.55</v>
      </c>
      <c r="O43" s="178">
        <v>25.5</v>
      </c>
      <c r="P43" s="178">
        <v>24.78</v>
      </c>
      <c r="Q43" s="178">
        <v>24.02</v>
      </c>
      <c r="R43" s="178">
        <v>25.93</v>
      </c>
      <c r="S43" s="178">
        <v>27.72</v>
      </c>
      <c r="U43" s="178">
        <v>3.153181985210597E-9</v>
      </c>
      <c r="V43" s="178">
        <v>1.790157833614149E-9</v>
      </c>
      <c r="W43" s="178">
        <v>1.5011854176739943E-9</v>
      </c>
      <c r="X43" s="178">
        <v>1.2856958964847917E-9</v>
      </c>
      <c r="Y43" s="178">
        <v>1.9938714294412013E-9</v>
      </c>
      <c r="Z43" s="178">
        <v>3.3085229280520038E-9</v>
      </c>
      <c r="AA43" s="178">
        <v>2.7069568261551384E-9</v>
      </c>
      <c r="AB43" s="178">
        <v>1.6533200099924872E-9</v>
      </c>
      <c r="AC43" s="178">
        <v>3.9484460146049366E-3</v>
      </c>
      <c r="AD43" s="178">
        <v>4.5211951517653672E-3</v>
      </c>
      <c r="BB43" s="175">
        <v>27.55</v>
      </c>
      <c r="BC43" s="175">
        <v>25.5</v>
      </c>
      <c r="BD43" s="175">
        <v>24.78</v>
      </c>
      <c r="BE43" s="175">
        <v>24.02</v>
      </c>
      <c r="BF43" s="175">
        <v>25.93</v>
      </c>
      <c r="BG43" s="175">
        <v>27.72</v>
      </c>
      <c r="BH43" s="175">
        <v>26.97</v>
      </c>
      <c r="BI43" s="175">
        <v>25.18</v>
      </c>
      <c r="BJ43" s="175">
        <v>88.81</v>
      </c>
      <c r="BK43" s="175">
        <v>89.52</v>
      </c>
      <c r="BM43" s="178">
        <v>3.153181985210597E-9</v>
      </c>
      <c r="BN43" s="178">
        <v>1.790157833614149E-9</v>
      </c>
      <c r="BO43" s="178">
        <v>1.5011854176739943E-9</v>
      </c>
      <c r="BP43" s="178">
        <v>1.2856958964847917E-9</v>
      </c>
      <c r="BQ43" s="178">
        <v>1.9938714294412013E-9</v>
      </c>
      <c r="BR43" s="178">
        <v>3.3085229280520038E-9</v>
      </c>
      <c r="BS43" s="178">
        <v>2.7069568261551384E-9</v>
      </c>
      <c r="BT43" s="178">
        <v>1.6533200099924872E-9</v>
      </c>
      <c r="BU43" s="178">
        <v>3.9484460146049366E-3</v>
      </c>
      <c r="BV43" s="178">
        <v>4.5211951517653672E-3</v>
      </c>
    </row>
    <row r="44" spans="1:74" x14ac:dyDescent="0.25">
      <c r="A44" s="176">
        <v>42844</v>
      </c>
      <c r="B44" s="177">
        <v>0.57395833333333335</v>
      </c>
      <c r="C44" s="178">
        <v>26.87</v>
      </c>
      <c r="D44" s="178">
        <v>25.14</v>
      </c>
      <c r="E44" s="178">
        <v>51.44</v>
      </c>
      <c r="F44" s="178">
        <v>89.23</v>
      </c>
      <c r="H44" s="179">
        <v>48.2</v>
      </c>
      <c r="I44" s="178">
        <v>-21.3</v>
      </c>
      <c r="J44" s="178">
        <v>-23.1</v>
      </c>
      <c r="K44" s="178">
        <v>3.2</v>
      </c>
      <c r="L44" s="178">
        <v>41</v>
      </c>
      <c r="N44" s="178">
        <v>27.43</v>
      </c>
      <c r="O44" s="178">
        <v>25.44</v>
      </c>
      <c r="P44" s="178">
        <v>24.73</v>
      </c>
      <c r="Q44" s="178">
        <v>23.95</v>
      </c>
      <c r="R44" s="178">
        <v>25.87</v>
      </c>
      <c r="S44" s="178">
        <v>27.5</v>
      </c>
      <c r="U44" s="178">
        <v>3.3679501985930404E-9</v>
      </c>
      <c r="V44" s="178">
        <v>1.9259797970561034E-9</v>
      </c>
      <c r="W44" s="178">
        <v>1.6165227771099979E-9</v>
      </c>
      <c r="X44" s="178">
        <v>1.3820721421443381E-9</v>
      </c>
      <c r="Y44" s="178">
        <v>2.1438295553905837E-9</v>
      </c>
      <c r="Z44" s="178">
        <v>3.526780844172087E-9</v>
      </c>
      <c r="AA44" s="178">
        <v>2.8957429216178469E-9</v>
      </c>
      <c r="AB44" s="178">
        <v>1.7800764415173824E-9</v>
      </c>
      <c r="AC44" s="178">
        <v>3.9485000863025014E-3</v>
      </c>
      <c r="AD44" s="178">
        <v>4.8462599969369127E-3</v>
      </c>
      <c r="BB44" s="175">
        <v>27.43</v>
      </c>
      <c r="BC44" s="175">
        <v>25.44</v>
      </c>
      <c r="BD44" s="175">
        <v>24.73</v>
      </c>
      <c r="BE44" s="175">
        <v>23.95</v>
      </c>
      <c r="BF44" s="175">
        <v>25.87</v>
      </c>
      <c r="BG44" s="175">
        <v>27.5</v>
      </c>
      <c r="BH44" s="175">
        <v>26.87</v>
      </c>
      <c r="BI44" s="175">
        <v>25.14</v>
      </c>
      <c r="BJ44" s="175">
        <v>51.44</v>
      </c>
      <c r="BK44" s="175">
        <v>89.23</v>
      </c>
      <c r="BM44" s="178">
        <v>3.3679501985930404E-9</v>
      </c>
      <c r="BN44" s="178">
        <v>1.9259797970561034E-9</v>
      </c>
      <c r="BO44" s="178">
        <v>1.6165227771099979E-9</v>
      </c>
      <c r="BP44" s="178">
        <v>1.3820721421443381E-9</v>
      </c>
      <c r="BQ44" s="178">
        <v>2.1438295553905837E-9</v>
      </c>
      <c r="BR44" s="178">
        <v>3.526780844172087E-9</v>
      </c>
      <c r="BS44" s="178">
        <v>2.8957429216178469E-9</v>
      </c>
      <c r="BT44" s="178">
        <v>1.7800764415173824E-9</v>
      </c>
      <c r="BU44" s="178">
        <v>3.9485000863025014E-3</v>
      </c>
      <c r="BV44" s="178">
        <v>4.8462599969369127E-3</v>
      </c>
    </row>
    <row r="45" spans="1:74" x14ac:dyDescent="0.25">
      <c r="A45" s="176">
        <v>42844</v>
      </c>
      <c r="B45" s="177">
        <v>0.57430555555555551</v>
      </c>
      <c r="C45" s="178">
        <v>26.68</v>
      </c>
      <c r="D45" s="178">
        <v>25</v>
      </c>
      <c r="E45" s="178">
        <v>40.24</v>
      </c>
      <c r="F45" s="178">
        <v>88.07</v>
      </c>
      <c r="H45" s="179">
        <v>45</v>
      </c>
      <c r="I45" s="178">
        <v>-18.3</v>
      </c>
      <c r="J45" s="178">
        <v>-20</v>
      </c>
      <c r="K45" s="178">
        <v>-4.8</v>
      </c>
      <c r="L45" s="178">
        <v>43.1</v>
      </c>
      <c r="N45" s="178">
        <v>27.31</v>
      </c>
      <c r="O45" s="178">
        <v>25.89</v>
      </c>
      <c r="P45" s="178">
        <v>24.69</v>
      </c>
      <c r="Q45" s="178">
        <v>23.89</v>
      </c>
      <c r="R45" s="178">
        <v>25.81</v>
      </c>
      <c r="S45" s="178">
        <v>27.53</v>
      </c>
      <c r="U45" s="178">
        <v>3.5768653819163508E-9</v>
      </c>
      <c r="V45" s="178">
        <v>2.0766300982654098E-9</v>
      </c>
      <c r="W45" s="178">
        <v>1.7308027172787693E-9</v>
      </c>
      <c r="X45" s="178">
        <v>1.4771260561405027E-9</v>
      </c>
      <c r="Y45" s="178">
        <v>2.2917301787181611E-9</v>
      </c>
      <c r="Z45" s="178">
        <v>3.7465516518909992E-9</v>
      </c>
      <c r="AA45" s="178">
        <v>3.0764478529376536E-9</v>
      </c>
      <c r="AB45" s="178">
        <v>1.9028118873016338E-9</v>
      </c>
      <c r="AC45" s="178">
        <v>3.948504188060223E-3</v>
      </c>
      <c r="AD45" s="178">
        <v>5.0951285394263803E-3</v>
      </c>
      <c r="BB45" s="175">
        <v>27.31</v>
      </c>
      <c r="BC45" s="175">
        <v>25.89</v>
      </c>
      <c r="BD45" s="175">
        <v>24.69</v>
      </c>
      <c r="BE45" s="175">
        <v>23.89</v>
      </c>
      <c r="BF45" s="175">
        <v>25.81</v>
      </c>
      <c r="BG45" s="175">
        <v>27.53</v>
      </c>
      <c r="BH45" s="175">
        <v>26.68</v>
      </c>
      <c r="BI45" s="175">
        <v>25</v>
      </c>
      <c r="BJ45" s="175">
        <v>40.24</v>
      </c>
      <c r="BK45" s="175">
        <v>88.07</v>
      </c>
      <c r="BM45" s="178">
        <v>3.5768653819163508E-9</v>
      </c>
      <c r="BN45" s="178">
        <v>2.0766300982654098E-9</v>
      </c>
      <c r="BO45" s="178">
        <v>1.7308027172787693E-9</v>
      </c>
      <c r="BP45" s="178">
        <v>1.4771260561405027E-9</v>
      </c>
      <c r="BQ45" s="178">
        <v>2.2917301787181611E-9</v>
      </c>
      <c r="BR45" s="178">
        <v>3.7465516518909992E-9</v>
      </c>
      <c r="BS45" s="178">
        <v>3.0764478529376536E-9</v>
      </c>
      <c r="BT45" s="178">
        <v>1.9028118873016338E-9</v>
      </c>
      <c r="BU45" s="178">
        <v>3.948504188060223E-3</v>
      </c>
      <c r="BV45" s="178">
        <v>5.0951285394263803E-3</v>
      </c>
    </row>
    <row r="46" spans="1:74" x14ac:dyDescent="0.25">
      <c r="A46" s="176">
        <v>42844</v>
      </c>
      <c r="B46" s="177">
        <v>0.57465277777777779</v>
      </c>
      <c r="C46" s="178">
        <v>26.91</v>
      </c>
      <c r="D46" s="178">
        <v>25.09</v>
      </c>
      <c r="E46" s="178">
        <v>38.909999999999997</v>
      </c>
      <c r="F46" s="178">
        <v>86.8</v>
      </c>
      <c r="H46" s="179">
        <v>44.4</v>
      </c>
      <c r="I46" s="178">
        <v>-17.5</v>
      </c>
      <c r="J46" s="178">
        <v>-19.3</v>
      </c>
      <c r="K46" s="178">
        <v>-5.5</v>
      </c>
      <c r="L46" s="178">
        <v>42.4</v>
      </c>
      <c r="N46" s="178">
        <v>27.45</v>
      </c>
      <c r="O46" s="178">
        <v>27.13</v>
      </c>
      <c r="P46" s="178">
        <v>24.92</v>
      </c>
      <c r="Q46" s="178">
        <v>24.150000000000002</v>
      </c>
      <c r="R46" s="178">
        <v>26.08</v>
      </c>
      <c r="S46" s="178">
        <v>27.72</v>
      </c>
      <c r="U46" s="178">
        <v>3.7926249203302333E-9</v>
      </c>
      <c r="V46" s="178">
        <v>2.2770634570790603E-9</v>
      </c>
      <c r="W46" s="178">
        <v>1.8512979887130992E-9</v>
      </c>
      <c r="X46" s="178">
        <v>1.5780443743245808E-9</v>
      </c>
      <c r="Y46" s="178">
        <v>2.4491175944232269E-9</v>
      </c>
      <c r="Z46" s="178">
        <v>3.9761506583094333E-9</v>
      </c>
      <c r="AA46" s="178">
        <v>3.2669807646345398E-9</v>
      </c>
      <c r="AB46" s="178">
        <v>2.0281173499532393E-9</v>
      </c>
      <c r="AC46" s="178">
        <v>3.9485072078033695E-3</v>
      </c>
      <c r="AD46" s="178">
        <v>5.2808961539749667E-3</v>
      </c>
      <c r="BB46" s="175">
        <v>27.45</v>
      </c>
      <c r="BC46" s="175">
        <v>27.13</v>
      </c>
      <c r="BD46" s="175">
        <v>24.92</v>
      </c>
      <c r="BE46" s="175">
        <v>24.150000000000002</v>
      </c>
      <c r="BF46" s="175">
        <v>26.08</v>
      </c>
      <c r="BG46" s="175">
        <v>27.72</v>
      </c>
      <c r="BH46" s="175">
        <v>26.91</v>
      </c>
      <c r="BI46" s="175">
        <v>25.09</v>
      </c>
      <c r="BJ46" s="175">
        <v>38.909999999999997</v>
      </c>
      <c r="BK46" s="175">
        <v>86.8</v>
      </c>
      <c r="BM46" s="178">
        <v>3.7926249203302333E-9</v>
      </c>
      <c r="BN46" s="178">
        <v>2.2770634570790603E-9</v>
      </c>
      <c r="BO46" s="178">
        <v>1.8512979887130992E-9</v>
      </c>
      <c r="BP46" s="178">
        <v>1.5780443743245808E-9</v>
      </c>
      <c r="BQ46" s="178">
        <v>2.4491175944232269E-9</v>
      </c>
      <c r="BR46" s="178">
        <v>3.9761506583094333E-9</v>
      </c>
      <c r="BS46" s="178">
        <v>3.2669807646345398E-9</v>
      </c>
      <c r="BT46" s="178">
        <v>2.0281173499532393E-9</v>
      </c>
      <c r="BU46" s="178">
        <v>3.9485072078033695E-3</v>
      </c>
      <c r="BV46" s="178">
        <v>5.2808961539749667E-3</v>
      </c>
    </row>
    <row r="47" spans="1:74" x14ac:dyDescent="0.25">
      <c r="A47" s="176">
        <v>42844</v>
      </c>
      <c r="B47" s="177">
        <v>0.57500000000000007</v>
      </c>
      <c r="C47" s="178">
        <v>27.63</v>
      </c>
      <c r="D47" s="178">
        <v>25.56</v>
      </c>
      <c r="E47" s="178">
        <v>39.44</v>
      </c>
      <c r="F47" s="178">
        <v>85.48</v>
      </c>
      <c r="H47" s="179">
        <v>44.5</v>
      </c>
      <c r="I47" s="178">
        <v>-16.899999999999999</v>
      </c>
      <c r="J47" s="178">
        <v>-18.899999999999999</v>
      </c>
      <c r="K47" s="178">
        <v>-5.0999999999999996</v>
      </c>
      <c r="L47" s="178">
        <v>41</v>
      </c>
      <c r="N47" s="178">
        <v>27.85</v>
      </c>
      <c r="O47" s="178">
        <v>28.58</v>
      </c>
      <c r="P47" s="178">
        <v>25.48</v>
      </c>
      <c r="Q47" s="178">
        <v>24.89</v>
      </c>
      <c r="R47" s="178">
        <v>26.74</v>
      </c>
      <c r="S47" s="178">
        <v>27.99</v>
      </c>
      <c r="U47" s="178">
        <v>4.0292005498109738E-9</v>
      </c>
      <c r="V47" s="178">
        <v>2.5569422578266158E-9</v>
      </c>
      <c r="W47" s="178">
        <v>1.9883766973094936E-9</v>
      </c>
      <c r="X47" s="178">
        <v>1.6977101621448504E-9</v>
      </c>
      <c r="Y47" s="178">
        <v>2.6323363817471428E-9</v>
      </c>
      <c r="Z47" s="178">
        <v>4.2204768379808503E-9</v>
      </c>
      <c r="AA47" s="178">
        <v>3.4918706920811838E-9</v>
      </c>
      <c r="AB47" s="178">
        <v>2.1677445420151064E-9</v>
      </c>
      <c r="AC47" s="178">
        <v>3.9485106194968407E-3</v>
      </c>
      <c r="AD47" s="178">
        <v>5.4179748625713614E-3</v>
      </c>
      <c r="BB47" s="175">
        <v>27.85</v>
      </c>
      <c r="BC47" s="175">
        <v>28.58</v>
      </c>
      <c r="BD47" s="175">
        <v>25.48</v>
      </c>
      <c r="BE47" s="175">
        <v>24.89</v>
      </c>
      <c r="BF47" s="175">
        <v>26.74</v>
      </c>
      <c r="BG47" s="175">
        <v>27.99</v>
      </c>
      <c r="BH47" s="175">
        <v>27.63</v>
      </c>
      <c r="BI47" s="175">
        <v>25.56</v>
      </c>
      <c r="BJ47" s="175">
        <v>39.44</v>
      </c>
      <c r="BK47" s="175">
        <v>85.48</v>
      </c>
      <c r="BM47" s="178">
        <v>4.0292005498109738E-9</v>
      </c>
      <c r="BN47" s="178">
        <v>2.5569422578266158E-9</v>
      </c>
      <c r="BO47" s="178">
        <v>1.9883766973094936E-9</v>
      </c>
      <c r="BP47" s="178">
        <v>1.6977101621448504E-9</v>
      </c>
      <c r="BQ47" s="178">
        <v>2.6323363817471428E-9</v>
      </c>
      <c r="BR47" s="178">
        <v>4.2204768379808503E-9</v>
      </c>
      <c r="BS47" s="178">
        <v>3.4918706920811838E-9</v>
      </c>
      <c r="BT47" s="178">
        <v>2.1677445420151064E-9</v>
      </c>
      <c r="BU47" s="178">
        <v>3.9485106194968407E-3</v>
      </c>
      <c r="BV47" s="178">
        <v>5.4179748625713614E-3</v>
      </c>
    </row>
    <row r="48" spans="1:74" x14ac:dyDescent="0.25">
      <c r="A48" s="176">
        <v>42844</v>
      </c>
      <c r="B48" s="177">
        <v>0.57534722222222223</v>
      </c>
      <c r="C48" s="178">
        <v>28.43</v>
      </c>
      <c r="D48" s="178">
        <v>26.17</v>
      </c>
      <c r="E48" s="178">
        <v>39.159999999999997</v>
      </c>
      <c r="F48" s="178">
        <v>84.13</v>
      </c>
      <c r="H48" s="179">
        <v>44.5</v>
      </c>
      <c r="I48" s="178">
        <v>-16.100000000000001</v>
      </c>
      <c r="J48" s="178">
        <v>-18.3</v>
      </c>
      <c r="K48" s="178">
        <v>-5.3</v>
      </c>
      <c r="L48" s="178">
        <v>39.6</v>
      </c>
      <c r="N48" s="178">
        <v>28.76</v>
      </c>
      <c r="O48" s="178">
        <v>29.54</v>
      </c>
      <c r="P48" s="178">
        <v>26.18</v>
      </c>
      <c r="Q48" s="178">
        <v>25.810000000000002</v>
      </c>
      <c r="R48" s="178">
        <v>27.56</v>
      </c>
      <c r="S48" s="178">
        <v>28.35</v>
      </c>
      <c r="U48" s="178">
        <v>4.3209231019478471E-9</v>
      </c>
      <c r="V48" s="178">
        <v>2.9060584598652009E-9</v>
      </c>
      <c r="W48" s="178">
        <v>2.1494301368736654E-9</v>
      </c>
      <c r="X48" s="178">
        <v>1.8456107854724275E-9</v>
      </c>
      <c r="Y48" s="178">
        <v>2.8536305679284565E-9</v>
      </c>
      <c r="Z48" s="178">
        <v>4.4859190600963435E-9</v>
      </c>
      <c r="AA48" s="178">
        <v>3.7622478535539737E-9</v>
      </c>
      <c r="AB48" s="178">
        <v>2.328427568947122E-9</v>
      </c>
      <c r="AC48" s="178">
        <v>3.9485138181710178E-3</v>
      </c>
      <c r="AD48" s="178">
        <v>5.518429503201798E-3</v>
      </c>
      <c r="BB48" s="175">
        <v>28.76</v>
      </c>
      <c r="BC48" s="175">
        <v>29.54</v>
      </c>
      <c r="BD48" s="175">
        <v>26.18</v>
      </c>
      <c r="BE48" s="175">
        <v>25.810000000000002</v>
      </c>
      <c r="BF48" s="175">
        <v>27.56</v>
      </c>
      <c r="BG48" s="175">
        <v>28.35</v>
      </c>
      <c r="BH48" s="175">
        <v>28.43</v>
      </c>
      <c r="BI48" s="175">
        <v>26.17</v>
      </c>
      <c r="BJ48" s="175">
        <v>39.159999999999997</v>
      </c>
      <c r="BK48" s="175">
        <v>84.13</v>
      </c>
      <c r="BM48" s="178">
        <v>4.3209231019478471E-9</v>
      </c>
      <c r="BN48" s="178">
        <v>2.9060584598652009E-9</v>
      </c>
      <c r="BO48" s="178">
        <v>2.1494301368736654E-9</v>
      </c>
      <c r="BP48" s="178">
        <v>1.8456107854724275E-9</v>
      </c>
      <c r="BQ48" s="178">
        <v>2.8536305679284565E-9</v>
      </c>
      <c r="BR48" s="178">
        <v>4.4859190600963435E-9</v>
      </c>
      <c r="BS48" s="178">
        <v>3.7622478535539737E-9</v>
      </c>
      <c r="BT48" s="178">
        <v>2.328427568947122E-9</v>
      </c>
      <c r="BU48" s="178">
        <v>3.9485138181710178E-3</v>
      </c>
      <c r="BV48" s="178">
        <v>5.518429503201798E-3</v>
      </c>
    </row>
    <row r="49" spans="1:74" x14ac:dyDescent="0.25">
      <c r="A49" s="176">
        <v>42844</v>
      </c>
      <c r="B49" s="177">
        <v>0.5756944444444444</v>
      </c>
      <c r="C49" s="178">
        <v>29.35</v>
      </c>
      <c r="D49" s="178">
        <v>26.92</v>
      </c>
      <c r="E49" s="178">
        <v>38.49</v>
      </c>
      <c r="F49" s="178">
        <v>82.81</v>
      </c>
      <c r="H49" s="179">
        <v>44.4</v>
      </c>
      <c r="I49" s="178">
        <v>-15.1</v>
      </c>
      <c r="J49" s="178">
        <v>-17.5</v>
      </c>
      <c r="K49" s="178">
        <v>-5.9</v>
      </c>
      <c r="L49" s="178">
        <v>38.4</v>
      </c>
      <c r="N49" s="178">
        <v>30.09</v>
      </c>
      <c r="O49" s="178">
        <v>30.28</v>
      </c>
      <c r="P49" s="178">
        <v>27.04</v>
      </c>
      <c r="Q49" s="178">
        <v>26.77</v>
      </c>
      <c r="R49" s="178">
        <v>28.46</v>
      </c>
      <c r="S49" s="178">
        <v>28.82</v>
      </c>
      <c r="U49" s="178">
        <v>4.7171737671880837E-9</v>
      </c>
      <c r="V49" s="178">
        <v>3.320029541721368E-9</v>
      </c>
      <c r="W49" s="178">
        <v>2.3457526045734647E-9</v>
      </c>
      <c r="X49" s="178">
        <v>2.0300995847575025E-9</v>
      </c>
      <c r="Y49" s="178">
        <v>3.1258818943496671E-9</v>
      </c>
      <c r="Z49" s="178">
        <v>4.7816998771840795E-9</v>
      </c>
      <c r="AA49" s="178">
        <v>4.0964198123382795E-9</v>
      </c>
      <c r="AB49" s="178">
        <v>2.5193997043671452E-9</v>
      </c>
      <c r="AC49" s="178">
        <v>3.9485165595558426E-3</v>
      </c>
      <c r="AD49" s="178">
        <v>5.5925554074590959E-3</v>
      </c>
      <c r="BB49" s="175">
        <v>30.09</v>
      </c>
      <c r="BC49" s="175">
        <v>30.28</v>
      </c>
      <c r="BD49" s="175">
        <v>27.04</v>
      </c>
      <c r="BE49" s="175">
        <v>26.77</v>
      </c>
      <c r="BF49" s="175">
        <v>28.46</v>
      </c>
      <c r="BG49" s="175">
        <v>28.82</v>
      </c>
      <c r="BH49" s="175">
        <v>29.35</v>
      </c>
      <c r="BI49" s="175">
        <v>26.92</v>
      </c>
      <c r="BJ49" s="175">
        <v>38.49</v>
      </c>
      <c r="BK49" s="175">
        <v>82.81</v>
      </c>
      <c r="BM49" s="178">
        <v>4.7171737671880837E-9</v>
      </c>
      <c r="BN49" s="178">
        <v>3.320029541721368E-9</v>
      </c>
      <c r="BO49" s="178">
        <v>2.3457526045734647E-9</v>
      </c>
      <c r="BP49" s="178">
        <v>2.0300995847575025E-9</v>
      </c>
      <c r="BQ49" s="178">
        <v>3.1258818943496671E-9</v>
      </c>
      <c r="BR49" s="178">
        <v>4.7816998771840795E-9</v>
      </c>
      <c r="BS49" s="178">
        <v>4.0964198123382795E-9</v>
      </c>
      <c r="BT49" s="178">
        <v>2.5193997043671452E-9</v>
      </c>
      <c r="BU49" s="178">
        <v>3.9485165595558426E-3</v>
      </c>
      <c r="BV49" s="178">
        <v>5.5925554074590959E-3</v>
      </c>
    </row>
    <row r="50" spans="1:74" x14ac:dyDescent="0.25">
      <c r="A50" s="176">
        <v>42844</v>
      </c>
      <c r="B50" s="177">
        <v>0.57604166666666667</v>
      </c>
      <c r="C50" s="178">
        <v>30.37</v>
      </c>
      <c r="D50" s="178">
        <v>27.72</v>
      </c>
      <c r="E50" s="178">
        <v>39.42</v>
      </c>
      <c r="F50" s="178">
        <v>81.53</v>
      </c>
      <c r="H50" s="179">
        <v>44.8</v>
      </c>
      <c r="I50" s="178">
        <v>-14.4</v>
      </c>
      <c r="J50" s="178">
        <v>-17.100000000000001</v>
      </c>
      <c r="K50" s="178">
        <v>-5.4</v>
      </c>
      <c r="L50" s="178">
        <v>36.700000000000003</v>
      </c>
      <c r="N50" s="178">
        <v>31.64</v>
      </c>
      <c r="O50" s="178">
        <v>31.18</v>
      </c>
      <c r="P50" s="178">
        <v>27.9</v>
      </c>
      <c r="Q50" s="178">
        <v>27.76</v>
      </c>
      <c r="R50" s="178">
        <v>29.41</v>
      </c>
      <c r="S50" s="178">
        <v>29.43</v>
      </c>
      <c r="U50" s="178">
        <v>5.2833739488058615E-9</v>
      </c>
      <c r="V50" s="178">
        <v>3.829325235748426E-9</v>
      </c>
      <c r="W50" s="178">
        <v>2.5850676507347838E-9</v>
      </c>
      <c r="X50" s="178">
        <v>2.2618230446256459E-9</v>
      </c>
      <c r="Y50" s="178">
        <v>3.4647026481550033E-9</v>
      </c>
      <c r="Z50" s="178">
        <v>5.1220845565309507E-9</v>
      </c>
      <c r="AA50" s="178">
        <v>4.5190592349184258E-9</v>
      </c>
      <c r="AB50" s="178">
        <v>2.748998710785579E-9</v>
      </c>
      <c r="AC50" s="178">
        <v>3.9485199555740055E-3</v>
      </c>
      <c r="AD50" s="178">
        <v>5.6477593384542E-3</v>
      </c>
      <c r="BB50" s="175">
        <v>31.64</v>
      </c>
      <c r="BC50" s="175">
        <v>31.18</v>
      </c>
      <c r="BD50" s="175">
        <v>27.9</v>
      </c>
      <c r="BE50" s="175">
        <v>27.76</v>
      </c>
      <c r="BF50" s="175">
        <v>29.41</v>
      </c>
      <c r="BG50" s="175">
        <v>29.43</v>
      </c>
      <c r="BH50" s="175">
        <v>30.37</v>
      </c>
      <c r="BI50" s="175">
        <v>27.72</v>
      </c>
      <c r="BJ50" s="175">
        <v>39.42</v>
      </c>
      <c r="BK50" s="175">
        <v>81.53</v>
      </c>
      <c r="BM50" s="178">
        <v>5.2833739488058615E-9</v>
      </c>
      <c r="BN50" s="178">
        <v>3.829325235748426E-9</v>
      </c>
      <c r="BO50" s="178">
        <v>2.5850676507347838E-9</v>
      </c>
      <c r="BP50" s="178">
        <v>2.2618230446256459E-9</v>
      </c>
      <c r="BQ50" s="178">
        <v>3.4647026481550033E-9</v>
      </c>
      <c r="BR50" s="178">
        <v>5.1220845565309507E-9</v>
      </c>
      <c r="BS50" s="178">
        <v>4.5190592349184258E-9</v>
      </c>
      <c r="BT50" s="178">
        <v>2.748998710785579E-9</v>
      </c>
      <c r="BU50" s="178">
        <v>3.9485199555740055E-3</v>
      </c>
      <c r="BV50" s="178">
        <v>5.6477593384542E-3</v>
      </c>
    </row>
    <row r="51" spans="1:74" x14ac:dyDescent="0.25">
      <c r="A51" s="176">
        <v>42844</v>
      </c>
      <c r="B51" s="177">
        <v>0.57638888888888895</v>
      </c>
      <c r="C51" s="178">
        <v>31.43</v>
      </c>
      <c r="D51" s="178">
        <v>28.51</v>
      </c>
      <c r="E51" s="178">
        <v>39.26</v>
      </c>
      <c r="F51" s="178">
        <v>80.27</v>
      </c>
      <c r="H51" s="179">
        <v>44.9</v>
      </c>
      <c r="I51" s="178">
        <v>-13.5</v>
      </c>
      <c r="J51" s="178">
        <v>-16.399999999999999</v>
      </c>
      <c r="K51" s="178">
        <v>-5.6</v>
      </c>
      <c r="L51" s="178">
        <v>35.4</v>
      </c>
      <c r="N51" s="178">
        <v>34.869999999999997</v>
      </c>
      <c r="O51" s="178">
        <v>32.17</v>
      </c>
      <c r="P51" s="178">
        <v>28.78</v>
      </c>
      <c r="Q51" s="178">
        <v>28.75</v>
      </c>
      <c r="R51" s="178">
        <v>30.4</v>
      </c>
      <c r="S51" s="178">
        <v>30.09</v>
      </c>
      <c r="U51" s="178">
        <v>6.4745336834852046E-9</v>
      </c>
      <c r="V51" s="178">
        <v>4.4690158878271889E-9</v>
      </c>
      <c r="W51" s="178">
        <v>2.8781367329917976E-9</v>
      </c>
      <c r="X51" s="178">
        <v>2.5528746535110814E-9</v>
      </c>
      <c r="Y51" s="178">
        <v>3.8902716672561921E-9</v>
      </c>
      <c r="Z51" s="178">
        <v>5.5183352217711873E-9</v>
      </c>
      <c r="AA51" s="178">
        <v>5.0585325960333413E-9</v>
      </c>
      <c r="AB51" s="178">
        <v>3.0244025589882806E-9</v>
      </c>
      <c r="AC51" s="178">
        <v>3.9485232287548759E-3</v>
      </c>
      <c r="AD51" s="178">
        <v>5.6890612359330591E-3</v>
      </c>
      <c r="BB51" s="175">
        <v>34.869999999999997</v>
      </c>
      <c r="BC51" s="175">
        <v>32.17</v>
      </c>
      <c r="BD51" s="175">
        <v>28.78</v>
      </c>
      <c r="BE51" s="175">
        <v>28.75</v>
      </c>
      <c r="BF51" s="175">
        <v>30.4</v>
      </c>
      <c r="BG51" s="175">
        <v>30.09</v>
      </c>
      <c r="BH51" s="175">
        <v>31.43</v>
      </c>
      <c r="BI51" s="175">
        <v>28.51</v>
      </c>
      <c r="BJ51" s="175">
        <v>39.26</v>
      </c>
      <c r="BK51" s="175">
        <v>80.27</v>
      </c>
      <c r="BM51" s="178">
        <v>6.4745336834852046E-9</v>
      </c>
      <c r="BN51" s="178">
        <v>4.4690158878271889E-9</v>
      </c>
      <c r="BO51" s="178">
        <v>2.8781367329917976E-9</v>
      </c>
      <c r="BP51" s="178">
        <v>2.5528746535110814E-9</v>
      </c>
      <c r="BQ51" s="178">
        <v>3.8902716672561921E-9</v>
      </c>
      <c r="BR51" s="178">
        <v>5.5183352217711873E-9</v>
      </c>
      <c r="BS51" s="178">
        <v>5.0585325960333413E-9</v>
      </c>
      <c r="BT51" s="178">
        <v>3.0244025589882806E-9</v>
      </c>
      <c r="BU51" s="178">
        <v>3.9485232287548759E-3</v>
      </c>
      <c r="BV51" s="178">
        <v>5.6890612359330591E-3</v>
      </c>
    </row>
    <row r="52" spans="1:74" x14ac:dyDescent="0.25">
      <c r="A52" s="176">
        <v>42844</v>
      </c>
      <c r="B52" s="177">
        <v>0.57673611111111112</v>
      </c>
      <c r="C52" s="178">
        <v>32.53</v>
      </c>
      <c r="D52" s="178">
        <v>29.32</v>
      </c>
      <c r="E52" s="178">
        <v>41.13</v>
      </c>
      <c r="F52" s="178">
        <v>79.09</v>
      </c>
      <c r="H52" s="179">
        <v>45.5</v>
      </c>
      <c r="I52" s="178">
        <v>-13</v>
      </c>
      <c r="J52" s="178">
        <v>-16.2</v>
      </c>
      <c r="K52" s="178">
        <v>-4.4000000000000004</v>
      </c>
      <c r="L52" s="178">
        <v>33.6</v>
      </c>
      <c r="N52" s="178">
        <v>36.549999999999997</v>
      </c>
      <c r="O52" s="178">
        <v>33.11</v>
      </c>
      <c r="P52" s="178">
        <v>29.7</v>
      </c>
      <c r="Q52" s="178">
        <v>29.740000000000002</v>
      </c>
      <c r="R52" s="178">
        <v>31.46</v>
      </c>
      <c r="S52" s="178">
        <v>30.82</v>
      </c>
      <c r="U52" s="178">
        <v>8.228293053248043E-9</v>
      </c>
      <c r="V52" s="178">
        <v>5.2632892621260783E-9</v>
      </c>
      <c r="W52" s="178">
        <v>3.2403547130292934E-9</v>
      </c>
      <c r="X52" s="178">
        <v>2.9184441952527904E-9</v>
      </c>
      <c r="Y52" s="178">
        <v>4.4334844790647251E-9</v>
      </c>
      <c r="Z52" s="178">
        <v>5.9871162252341255E-9</v>
      </c>
      <c r="AA52" s="178">
        <v>5.7535089116400165E-9</v>
      </c>
      <c r="AB52" s="178">
        <v>3.3562740941892341E-9</v>
      </c>
      <c r="AC52" s="178">
        <v>3.9485282634132198E-3</v>
      </c>
      <c r="AD52" s="178">
        <v>5.7205365450759193E-3</v>
      </c>
      <c r="BB52" s="175">
        <v>36.549999999999997</v>
      </c>
      <c r="BC52" s="175">
        <v>33.11</v>
      </c>
      <c r="BD52" s="175">
        <v>29.7</v>
      </c>
      <c r="BE52" s="175">
        <v>29.740000000000002</v>
      </c>
      <c r="BF52" s="175">
        <v>31.46</v>
      </c>
      <c r="BG52" s="175">
        <v>30.82</v>
      </c>
      <c r="BH52" s="175">
        <v>32.53</v>
      </c>
      <c r="BI52" s="175">
        <v>29.32</v>
      </c>
      <c r="BJ52" s="175">
        <v>41.13</v>
      </c>
      <c r="BK52" s="175">
        <v>79.09</v>
      </c>
      <c r="BM52" s="178">
        <v>8.228293053248043E-9</v>
      </c>
      <c r="BN52" s="178">
        <v>5.2632892621260783E-9</v>
      </c>
      <c r="BO52" s="178">
        <v>3.2403547130292934E-9</v>
      </c>
      <c r="BP52" s="178">
        <v>2.9184441952527904E-9</v>
      </c>
      <c r="BQ52" s="178">
        <v>4.4334844790647251E-9</v>
      </c>
      <c r="BR52" s="178">
        <v>5.9871162252341255E-9</v>
      </c>
      <c r="BS52" s="178">
        <v>5.7535089116400165E-9</v>
      </c>
      <c r="BT52" s="178">
        <v>3.3562740941892341E-9</v>
      </c>
      <c r="BU52" s="178">
        <v>3.9485282634132198E-3</v>
      </c>
      <c r="BV52" s="178">
        <v>5.7205365450759193E-3</v>
      </c>
    </row>
    <row r="53" spans="1:74" x14ac:dyDescent="0.25">
      <c r="A53" s="176">
        <v>42844</v>
      </c>
      <c r="B53" s="177">
        <v>0.57708333333333328</v>
      </c>
      <c r="C53" s="178">
        <v>33.659999999999997</v>
      </c>
      <c r="D53" s="178">
        <v>30.19</v>
      </c>
      <c r="E53" s="178">
        <v>41.97</v>
      </c>
      <c r="F53" s="178">
        <v>77.989999999999995</v>
      </c>
      <c r="H53" s="179">
        <v>46</v>
      </c>
      <c r="I53" s="178">
        <v>-12.3</v>
      </c>
      <c r="J53" s="178">
        <v>-15.8</v>
      </c>
      <c r="K53" s="178">
        <v>-4</v>
      </c>
      <c r="L53" s="178">
        <v>32</v>
      </c>
      <c r="N53" s="178">
        <v>38.130000000000003</v>
      </c>
      <c r="O53" s="178">
        <v>34.07</v>
      </c>
      <c r="P53" s="178">
        <v>30.65</v>
      </c>
      <c r="Q53" s="178">
        <v>30.720000000000002</v>
      </c>
      <c r="R53" s="178">
        <v>32.54</v>
      </c>
      <c r="S53" s="178">
        <v>31.7</v>
      </c>
      <c r="U53" s="178">
        <v>1.0751599541065675E-8</v>
      </c>
      <c r="V53" s="178">
        <v>6.2540527750286262E-9</v>
      </c>
      <c r="W53" s="178">
        <v>3.6911402818322722E-9</v>
      </c>
      <c r="X53" s="178">
        <v>3.3765544403137899E-9</v>
      </c>
      <c r="Y53" s="178">
        <v>5.1300628805373754E-9</v>
      </c>
      <c r="Z53" s="178">
        <v>6.561193035982567E-9</v>
      </c>
      <c r="AA53" s="178">
        <v>6.6550177820697995E-9</v>
      </c>
      <c r="AB53" s="178">
        <v>3.7617546231161549E-9</v>
      </c>
      <c r="AC53" s="178">
        <v>3.948534372411521E-3</v>
      </c>
      <c r="AD53" s="178">
        <v>5.7449691630430608E-3</v>
      </c>
      <c r="BB53" s="175">
        <v>38.130000000000003</v>
      </c>
      <c r="BC53" s="175">
        <v>34.07</v>
      </c>
      <c r="BD53" s="175">
        <v>30.65</v>
      </c>
      <c r="BE53" s="175">
        <v>30.720000000000002</v>
      </c>
      <c r="BF53" s="175">
        <v>32.54</v>
      </c>
      <c r="BG53" s="175">
        <v>31.7</v>
      </c>
      <c r="BH53" s="175">
        <v>33.659999999999997</v>
      </c>
      <c r="BI53" s="175">
        <v>30.19</v>
      </c>
      <c r="BJ53" s="175">
        <v>41.97</v>
      </c>
      <c r="BK53" s="175">
        <v>77.989999999999995</v>
      </c>
      <c r="BM53" s="178">
        <v>1.0751599541065675E-8</v>
      </c>
      <c r="BN53" s="178">
        <v>6.2540527750286262E-9</v>
      </c>
      <c r="BO53" s="178">
        <v>3.6911402818322722E-9</v>
      </c>
      <c r="BP53" s="178">
        <v>3.3765544403137899E-9</v>
      </c>
      <c r="BQ53" s="178">
        <v>5.1300628805373754E-9</v>
      </c>
      <c r="BR53" s="178">
        <v>6.561193035982567E-9</v>
      </c>
      <c r="BS53" s="178">
        <v>6.6550177820697995E-9</v>
      </c>
      <c r="BT53" s="178">
        <v>3.7617546231161549E-9</v>
      </c>
      <c r="BU53" s="178">
        <v>3.948534372411521E-3</v>
      </c>
      <c r="BV53" s="178">
        <v>5.7449691630430608E-3</v>
      </c>
    </row>
    <row r="54" spans="1:74" x14ac:dyDescent="0.25">
      <c r="A54" s="176">
        <v>42844</v>
      </c>
      <c r="B54" s="177">
        <v>0.57743055555555556</v>
      </c>
      <c r="C54" s="178">
        <v>34.79</v>
      </c>
      <c r="D54" s="178">
        <v>31.08</v>
      </c>
      <c r="E54" s="178">
        <v>42.43</v>
      </c>
      <c r="F54" s="178">
        <v>76.97</v>
      </c>
      <c r="H54" s="179">
        <v>46.3</v>
      </c>
      <c r="I54" s="178">
        <v>-11.5</v>
      </c>
      <c r="J54" s="178">
        <v>-15.2</v>
      </c>
      <c r="K54" s="178">
        <v>-3.9</v>
      </c>
      <c r="L54" s="178">
        <v>30.7</v>
      </c>
      <c r="N54" s="178">
        <v>39.15</v>
      </c>
      <c r="O54" s="178">
        <v>34.97</v>
      </c>
      <c r="P54" s="178">
        <v>31.63</v>
      </c>
      <c r="Q54" s="178">
        <v>31.720000000000002</v>
      </c>
      <c r="R54" s="178">
        <v>33.64</v>
      </c>
      <c r="S54" s="178">
        <v>32.44</v>
      </c>
      <c r="U54" s="178">
        <v>1.3942916972018418E-8</v>
      </c>
      <c r="V54" s="178">
        <v>7.472958184213E-9</v>
      </c>
      <c r="W54" s="178">
        <v>4.2560382391686704E-9</v>
      </c>
      <c r="X54" s="178">
        <v>3.9532810692243368E-9</v>
      </c>
      <c r="Y54" s="178">
        <v>6.0274296939536394E-9</v>
      </c>
      <c r="Z54" s="178">
        <v>7.2419153772155416E-9</v>
      </c>
      <c r="AA54" s="178">
        <v>7.8244364013994734E-9</v>
      </c>
      <c r="AB54" s="178">
        <v>4.259457331791918E-9</v>
      </c>
      <c r="AC54" s="178">
        <v>3.948541163978754E-3</v>
      </c>
      <c r="AD54" s="178">
        <v>5.7642875118957644E-3</v>
      </c>
      <c r="BB54" s="175">
        <v>39.15</v>
      </c>
      <c r="BC54" s="175">
        <v>34.97</v>
      </c>
      <c r="BD54" s="175">
        <v>31.63</v>
      </c>
      <c r="BE54" s="175">
        <v>31.720000000000002</v>
      </c>
      <c r="BF54" s="175">
        <v>33.64</v>
      </c>
      <c r="BG54" s="175">
        <v>32.44</v>
      </c>
      <c r="BH54" s="175">
        <v>34.79</v>
      </c>
      <c r="BI54" s="175">
        <v>31.08</v>
      </c>
      <c r="BJ54" s="175">
        <v>42.43</v>
      </c>
      <c r="BK54" s="175">
        <v>76.97</v>
      </c>
      <c r="BM54" s="178">
        <v>1.3942916972018418E-8</v>
      </c>
      <c r="BN54" s="178">
        <v>7.472958184213E-9</v>
      </c>
      <c r="BO54" s="178">
        <v>4.2560382391686704E-9</v>
      </c>
      <c r="BP54" s="178">
        <v>3.9532810692243368E-9</v>
      </c>
      <c r="BQ54" s="178">
        <v>6.0274296939536394E-9</v>
      </c>
      <c r="BR54" s="178">
        <v>7.2419153772155416E-9</v>
      </c>
      <c r="BS54" s="178">
        <v>7.8244364013994734E-9</v>
      </c>
      <c r="BT54" s="178">
        <v>4.259457331791918E-9</v>
      </c>
      <c r="BU54" s="178">
        <v>3.948541163978754E-3</v>
      </c>
      <c r="BV54" s="178">
        <v>5.7642875118957644E-3</v>
      </c>
    </row>
    <row r="55" spans="1:74" x14ac:dyDescent="0.25">
      <c r="A55" s="176">
        <v>42844</v>
      </c>
      <c r="B55" s="177">
        <v>0.57777777777777783</v>
      </c>
      <c r="C55" s="178">
        <v>36.119999999999997</v>
      </c>
      <c r="D55" s="178">
        <v>31.99</v>
      </c>
      <c r="E55" s="178">
        <v>54.15</v>
      </c>
      <c r="F55" s="178">
        <v>76.11</v>
      </c>
      <c r="H55" s="179">
        <v>49.6</v>
      </c>
      <c r="I55" s="178">
        <v>-13.5</v>
      </c>
      <c r="J55" s="178">
        <v>-17.600000000000001</v>
      </c>
      <c r="K55" s="178">
        <v>4.5999999999999996</v>
      </c>
      <c r="L55" s="178">
        <v>26.5</v>
      </c>
      <c r="N55" s="178">
        <v>39.590000000000003</v>
      </c>
      <c r="O55" s="178">
        <v>35.82</v>
      </c>
      <c r="P55" s="178">
        <v>32.619999999999997</v>
      </c>
      <c r="Q55" s="178">
        <v>32.729999999999997</v>
      </c>
      <c r="R55" s="178">
        <v>34.74</v>
      </c>
      <c r="S55" s="178">
        <v>33.36</v>
      </c>
      <c r="U55" s="178">
        <v>1.7474504743333225E-8</v>
      </c>
      <c r="V55" s="178">
        <v>8.9553738789751681E-9</v>
      </c>
      <c r="W55" s="178">
        <v>4.9655670000132172E-9</v>
      </c>
      <c r="X55" s="178">
        <v>4.6810106095153183E-9</v>
      </c>
      <c r="Y55" s="178">
        <v>7.1834620890414366E-9</v>
      </c>
      <c r="Z55" s="178">
        <v>8.0832524077507747E-9</v>
      </c>
      <c r="AA55" s="178">
        <v>9.4128734367243598E-9</v>
      </c>
      <c r="AB55" s="178">
        <v>4.8731769473711209E-9</v>
      </c>
      <c r="AC55" s="178">
        <v>3.948642082296938E-3</v>
      </c>
      <c r="AD55" s="178">
        <v>5.7801353492109818E-3</v>
      </c>
      <c r="BB55" s="175">
        <v>39.590000000000003</v>
      </c>
      <c r="BC55" s="175">
        <v>35.82</v>
      </c>
      <c r="BD55" s="175">
        <v>32.619999999999997</v>
      </c>
      <c r="BE55" s="175">
        <v>32.729999999999997</v>
      </c>
      <c r="BF55" s="175">
        <v>34.74</v>
      </c>
      <c r="BG55" s="175">
        <v>33.36</v>
      </c>
      <c r="BH55" s="175">
        <v>36.119999999999997</v>
      </c>
      <c r="BI55" s="175">
        <v>31.99</v>
      </c>
      <c r="BJ55" s="175">
        <v>54.15</v>
      </c>
      <c r="BK55" s="175">
        <v>76.11</v>
      </c>
      <c r="BM55" s="178">
        <v>1.7474504743333225E-8</v>
      </c>
      <c r="BN55" s="178">
        <v>8.9553738789751681E-9</v>
      </c>
      <c r="BO55" s="178">
        <v>4.9655670000132172E-9</v>
      </c>
      <c r="BP55" s="178">
        <v>4.6810106095153183E-9</v>
      </c>
      <c r="BQ55" s="178">
        <v>7.1834620890414366E-9</v>
      </c>
      <c r="BR55" s="178">
        <v>8.0832524077507747E-9</v>
      </c>
      <c r="BS55" s="178">
        <v>9.4128734367243598E-9</v>
      </c>
      <c r="BT55" s="178">
        <v>4.8731769473711209E-9</v>
      </c>
      <c r="BU55" s="178">
        <v>3.948642082296938E-3</v>
      </c>
      <c r="BV55" s="178">
        <v>5.7801353492109818E-3</v>
      </c>
    </row>
    <row r="56" spans="1:74" x14ac:dyDescent="0.25">
      <c r="A56" s="176">
        <v>42844</v>
      </c>
      <c r="B56" s="177">
        <v>0.578125</v>
      </c>
      <c r="C56" s="178">
        <v>39.24</v>
      </c>
      <c r="D56" s="178">
        <v>33.39</v>
      </c>
      <c r="E56" s="178">
        <v>75.25</v>
      </c>
      <c r="F56" s="178">
        <v>75.03</v>
      </c>
      <c r="H56" s="179">
        <v>55.7</v>
      </c>
      <c r="I56" s="178">
        <v>-16.5</v>
      </c>
      <c r="J56" s="178">
        <v>-22.3</v>
      </c>
      <c r="K56" s="178">
        <v>19.600000000000001</v>
      </c>
      <c r="L56" s="178">
        <v>19.3</v>
      </c>
      <c r="N56" s="178">
        <v>40.17</v>
      </c>
      <c r="O56" s="178">
        <v>37.01</v>
      </c>
      <c r="P56" s="178">
        <v>33.72</v>
      </c>
      <c r="Q56" s="178">
        <v>33.909999999999997</v>
      </c>
      <c r="R56" s="178">
        <v>35.96</v>
      </c>
      <c r="S56" s="178">
        <v>34.78</v>
      </c>
      <c r="U56" s="178">
        <v>2.1510679894577403E-8</v>
      </c>
      <c r="V56" s="178">
        <v>1.0905083812357877E-8</v>
      </c>
      <c r="W56" s="178">
        <v>5.8796171080845886E-9</v>
      </c>
      <c r="X56" s="178">
        <v>5.6359372387984366E-9</v>
      </c>
      <c r="Y56" s="178">
        <v>8.7144438058867751E-9</v>
      </c>
      <c r="Z56" s="178">
        <v>9.2499814388912754E-9</v>
      </c>
      <c r="AA56" s="178">
        <v>1.2671015407028583E-8</v>
      </c>
      <c r="AB56" s="178">
        <v>5.7203458475947866E-9</v>
      </c>
      <c r="AC56" s="178">
        <v>3.9616428801127644E-3</v>
      </c>
      <c r="AD56" s="178">
        <v>5.7924939699360621E-3</v>
      </c>
      <c r="BB56" s="175">
        <v>40.17</v>
      </c>
      <c r="BC56" s="175">
        <v>37.01</v>
      </c>
      <c r="BD56" s="175">
        <v>33.72</v>
      </c>
      <c r="BE56" s="175">
        <v>33.909999999999997</v>
      </c>
      <c r="BF56" s="175">
        <v>35.96</v>
      </c>
      <c r="BG56" s="175">
        <v>34.78</v>
      </c>
      <c r="BH56" s="175">
        <v>39.24</v>
      </c>
      <c r="BI56" s="175">
        <v>33.39</v>
      </c>
      <c r="BJ56" s="175">
        <v>75.25</v>
      </c>
      <c r="BK56" s="175">
        <v>75.03</v>
      </c>
      <c r="BM56" s="178">
        <v>2.1510679894577403E-8</v>
      </c>
      <c r="BN56" s="178">
        <v>1.0905083812357877E-8</v>
      </c>
      <c r="BO56" s="178">
        <v>5.8796171080845886E-9</v>
      </c>
      <c r="BP56" s="178">
        <v>5.6359372387984366E-9</v>
      </c>
      <c r="BQ56" s="178">
        <v>8.7144438058867751E-9</v>
      </c>
      <c r="BR56" s="178">
        <v>9.2499814388912754E-9</v>
      </c>
      <c r="BS56" s="178">
        <v>1.2671015407028583E-8</v>
      </c>
      <c r="BT56" s="178">
        <v>5.7203458475947866E-9</v>
      </c>
      <c r="BU56" s="178">
        <v>3.9616428801127644E-3</v>
      </c>
      <c r="BV56" s="178">
        <v>5.7924939699360621E-3</v>
      </c>
    </row>
    <row r="57" spans="1:74" x14ac:dyDescent="0.25">
      <c r="A57" s="176">
        <v>42844</v>
      </c>
      <c r="B57" s="177">
        <v>0.57847222222222217</v>
      </c>
      <c r="C57" s="178">
        <v>56.02</v>
      </c>
      <c r="D57" s="178">
        <v>39.950000000000003</v>
      </c>
      <c r="E57" s="178">
        <v>92.07</v>
      </c>
      <c r="F57" s="178">
        <v>77.42</v>
      </c>
      <c r="H57" s="179">
        <v>66.400000000000006</v>
      </c>
      <c r="I57" s="178">
        <v>-10.4</v>
      </c>
      <c r="J57" s="178">
        <v>-26.5</v>
      </c>
      <c r="K57" s="178">
        <v>25.7</v>
      </c>
      <c r="L57" s="178">
        <v>11</v>
      </c>
      <c r="N57" s="178">
        <v>42.87</v>
      </c>
      <c r="O57" s="178">
        <v>40.26</v>
      </c>
      <c r="P57" s="178">
        <v>36.03</v>
      </c>
      <c r="Q57" s="178">
        <v>36.199999999999996</v>
      </c>
      <c r="R57" s="178">
        <v>38.479999999999997</v>
      </c>
      <c r="S57" s="178">
        <v>41.2</v>
      </c>
      <c r="U57" s="178">
        <v>2.9026389725027525E-8</v>
      </c>
      <c r="V57" s="178">
        <v>1.5025774387422887E-8</v>
      </c>
      <c r="W57" s="178">
        <v>7.4354752766375949E-9</v>
      </c>
      <c r="X57" s="178">
        <v>7.2539055234465772E-9</v>
      </c>
      <c r="Y57" s="178">
        <v>1.1449523620356621E-8</v>
      </c>
      <c r="Z57" s="178">
        <v>1.4366446400295037E-8</v>
      </c>
      <c r="AA57" s="178">
        <v>1.6789899481344684E-7</v>
      </c>
      <c r="AB57" s="178">
        <v>9.5571532944038932E-9</v>
      </c>
      <c r="AC57" s="178">
        <v>4.5867723952216239E-3</v>
      </c>
      <c r="AD57" s="178">
        <v>5.8139213959559344E-3</v>
      </c>
      <c r="BB57" s="175">
        <v>42.87</v>
      </c>
      <c r="BC57" s="175">
        <v>40.26</v>
      </c>
      <c r="BD57" s="175">
        <v>36.03</v>
      </c>
      <c r="BE57" s="175">
        <v>36.199999999999996</v>
      </c>
      <c r="BF57" s="175">
        <v>38.479999999999997</v>
      </c>
      <c r="BG57" s="175">
        <v>41.2</v>
      </c>
      <c r="BH57" s="175">
        <v>56.02</v>
      </c>
      <c r="BI57" s="175">
        <v>39.950000000000003</v>
      </c>
      <c r="BJ57" s="175">
        <v>92.07</v>
      </c>
      <c r="BK57" s="175">
        <v>77.42</v>
      </c>
      <c r="BM57" s="178">
        <v>2.9026389725027525E-8</v>
      </c>
      <c r="BN57" s="178">
        <v>1.5025774387422887E-8</v>
      </c>
      <c r="BO57" s="178">
        <v>7.4354752766375949E-9</v>
      </c>
      <c r="BP57" s="178">
        <v>7.2539055234465772E-9</v>
      </c>
      <c r="BQ57" s="178">
        <v>1.1449523620356621E-8</v>
      </c>
      <c r="BR57" s="178">
        <v>1.4366446400295037E-8</v>
      </c>
      <c r="BS57" s="178">
        <v>1.6789899481344684E-7</v>
      </c>
      <c r="BT57" s="178">
        <v>9.5571532944038932E-9</v>
      </c>
      <c r="BU57" s="178">
        <v>4.5867723952216239E-3</v>
      </c>
      <c r="BV57" s="178">
        <v>5.8139213959559344E-3</v>
      </c>
    </row>
    <row r="58" spans="1:74" x14ac:dyDescent="0.25">
      <c r="A58" s="176">
        <v>42844</v>
      </c>
      <c r="B58" s="177">
        <v>0.57881944444444444</v>
      </c>
      <c r="C58" s="178">
        <v>74.14</v>
      </c>
      <c r="D58" s="178">
        <v>53.93</v>
      </c>
      <c r="E58" s="178">
        <v>99.07</v>
      </c>
      <c r="F58" s="178">
        <v>83.15</v>
      </c>
      <c r="H58" s="179">
        <v>77.599999999999994</v>
      </c>
      <c r="I58" s="178">
        <v>-3.5</v>
      </c>
      <c r="J58" s="178">
        <v>-23.7</v>
      </c>
      <c r="K58" s="178">
        <v>21.5</v>
      </c>
      <c r="L58" s="178">
        <v>5.6</v>
      </c>
      <c r="N58" s="178">
        <v>48.6</v>
      </c>
      <c r="O58" s="178">
        <v>44.57</v>
      </c>
      <c r="P58" s="178">
        <v>40.619999999999997</v>
      </c>
      <c r="Q58" s="178">
        <v>40.879999999999995</v>
      </c>
      <c r="R58" s="178">
        <v>43.38</v>
      </c>
      <c r="S58" s="178">
        <v>51.2</v>
      </c>
      <c r="U58" s="178">
        <v>5.7143455984544928E-8</v>
      </c>
      <c r="V58" s="178">
        <v>2.614232384067986E-8</v>
      </c>
      <c r="W58" s="178">
        <v>1.1912299104385581E-8</v>
      </c>
      <c r="X58" s="178">
        <v>1.2006929491727971E-8</v>
      </c>
      <c r="Y58" s="178">
        <v>1.9901728278572925E-8</v>
      </c>
      <c r="Z58" s="178">
        <v>6.5531096014332708E-8</v>
      </c>
      <c r="AA58" s="178">
        <v>1.0236520244125386E-5</v>
      </c>
      <c r="AB58" s="178">
        <v>1.0549059032791843E-7</v>
      </c>
      <c r="AC58" s="178">
        <v>7.719841718583296E-3</v>
      </c>
      <c r="AD58" s="178">
        <v>5.8940836654904367E-3</v>
      </c>
      <c r="BB58" s="175">
        <v>48.6</v>
      </c>
      <c r="BC58" s="175">
        <v>44.57</v>
      </c>
      <c r="BD58" s="175">
        <v>40.619999999999997</v>
      </c>
      <c r="BE58" s="175">
        <v>40.879999999999995</v>
      </c>
      <c r="BF58" s="175">
        <v>43.38</v>
      </c>
      <c r="BG58" s="175">
        <v>51.2</v>
      </c>
      <c r="BH58" s="175">
        <v>74.14</v>
      </c>
      <c r="BI58" s="175">
        <v>53.93</v>
      </c>
      <c r="BJ58" s="175">
        <v>99.07</v>
      </c>
      <c r="BK58" s="175">
        <v>83.15</v>
      </c>
      <c r="BM58" s="178">
        <v>5.7143455984544928E-8</v>
      </c>
      <c r="BN58" s="178">
        <v>2.614232384067986E-8</v>
      </c>
      <c r="BO58" s="178">
        <v>1.1912299104385581E-8</v>
      </c>
      <c r="BP58" s="178">
        <v>1.2006929491727971E-8</v>
      </c>
      <c r="BQ58" s="178">
        <v>1.9901728278572925E-8</v>
      </c>
      <c r="BR58" s="178">
        <v>6.5531096014332708E-8</v>
      </c>
      <c r="BS58" s="178">
        <v>1.0236520244125386E-5</v>
      </c>
      <c r="BT58" s="178">
        <v>1.0549059032791843E-7</v>
      </c>
      <c r="BU58" s="178">
        <v>7.719841718583296E-3</v>
      </c>
      <c r="BV58" s="178">
        <v>5.8940836654904367E-3</v>
      </c>
    </row>
    <row r="59" spans="1:74" x14ac:dyDescent="0.25">
      <c r="A59" s="176">
        <v>42844</v>
      </c>
      <c r="B59" s="177">
        <v>0.57916666666666672</v>
      </c>
      <c r="C59" s="178">
        <v>83.49</v>
      </c>
      <c r="D59" s="178">
        <v>65.53</v>
      </c>
      <c r="E59" s="178">
        <v>104.69</v>
      </c>
      <c r="F59" s="178">
        <v>88.8</v>
      </c>
      <c r="H59" s="179">
        <v>85.6</v>
      </c>
      <c r="I59" s="178">
        <v>-2.1</v>
      </c>
      <c r="J59" s="178">
        <v>-20.100000000000001</v>
      </c>
      <c r="K59" s="178">
        <v>19.100000000000001</v>
      </c>
      <c r="L59" s="178">
        <v>3.2</v>
      </c>
      <c r="N59" s="178">
        <v>56.36</v>
      </c>
      <c r="O59" s="178">
        <v>49.29</v>
      </c>
      <c r="P59" s="178">
        <v>47.31</v>
      </c>
      <c r="Q59" s="178">
        <v>46.849999999999994</v>
      </c>
      <c r="R59" s="178">
        <v>49.49</v>
      </c>
      <c r="S59" s="178">
        <v>60.17</v>
      </c>
      <c r="U59" s="178">
        <v>2.2501226310602235E-7</v>
      </c>
      <c r="V59" s="178">
        <v>5.9101018602895824E-8</v>
      </c>
      <c r="W59" s="178">
        <v>3.2803817436716673E-8</v>
      </c>
      <c r="X59" s="178">
        <v>3.0798799706150175E-8</v>
      </c>
      <c r="Y59" s="178">
        <v>5.4413718470585032E-8</v>
      </c>
      <c r="Z59" s="178">
        <v>4.6914861113875218E-7</v>
      </c>
      <c r="AA59" s="178">
        <v>9.6926720131832258E-5</v>
      </c>
      <c r="AB59" s="178">
        <v>1.4921506426538391E-6</v>
      </c>
      <c r="AC59" s="178">
        <v>1.9147835735460455E-2</v>
      </c>
      <c r="AD59" s="178">
        <v>6.1885054931682315E-3</v>
      </c>
      <c r="BB59" s="175">
        <v>56.36</v>
      </c>
      <c r="BC59" s="175">
        <v>49.29</v>
      </c>
      <c r="BD59" s="175">
        <v>47.31</v>
      </c>
      <c r="BE59" s="175">
        <v>46.849999999999994</v>
      </c>
      <c r="BF59" s="175">
        <v>49.49</v>
      </c>
      <c r="BG59" s="175">
        <v>60.17</v>
      </c>
      <c r="BH59" s="175">
        <v>83.49</v>
      </c>
      <c r="BI59" s="175">
        <v>65.53</v>
      </c>
      <c r="BJ59" s="175">
        <v>104.69</v>
      </c>
      <c r="BK59" s="175">
        <v>88.8</v>
      </c>
      <c r="BM59" s="178">
        <v>2.2501226310602235E-7</v>
      </c>
      <c r="BN59" s="178">
        <v>5.9101018602895824E-8</v>
      </c>
      <c r="BO59" s="178">
        <v>3.2803817436716673E-8</v>
      </c>
      <c r="BP59" s="178">
        <v>3.0798799706150175E-8</v>
      </c>
      <c r="BQ59" s="178">
        <v>5.4413718470585032E-8</v>
      </c>
      <c r="BR59" s="178">
        <v>4.6914861113875218E-7</v>
      </c>
      <c r="BS59" s="178">
        <v>9.6926720131832258E-5</v>
      </c>
      <c r="BT59" s="178">
        <v>1.4921506426538391E-6</v>
      </c>
      <c r="BU59" s="178">
        <v>1.9147835735460455E-2</v>
      </c>
      <c r="BV59" s="178">
        <v>6.1885054931682315E-3</v>
      </c>
    </row>
    <row r="60" spans="1:74" x14ac:dyDescent="0.25">
      <c r="A60" s="176">
        <v>42844</v>
      </c>
      <c r="B60" s="177">
        <v>0.57951388888888888</v>
      </c>
      <c r="C60" s="178">
        <v>90.66</v>
      </c>
      <c r="D60" s="178">
        <v>75.84</v>
      </c>
      <c r="E60" s="178">
        <v>108.61</v>
      </c>
      <c r="F60" s="178">
        <v>93.94</v>
      </c>
      <c r="H60" s="179">
        <v>92.3</v>
      </c>
      <c r="I60" s="178">
        <v>-1.6</v>
      </c>
      <c r="J60" s="178">
        <v>-16.5</v>
      </c>
      <c r="K60" s="178">
        <v>16.3</v>
      </c>
      <c r="L60" s="178">
        <v>1.6</v>
      </c>
      <c r="N60" s="178">
        <v>62.23</v>
      </c>
      <c r="O60" s="178">
        <v>55.38</v>
      </c>
      <c r="P60" s="178">
        <v>54.82</v>
      </c>
      <c r="Q60" s="178">
        <v>53.26</v>
      </c>
      <c r="R60" s="178">
        <v>56.08</v>
      </c>
      <c r="S60" s="178">
        <v>67.48</v>
      </c>
      <c r="U60" s="178">
        <v>8.7360189859800017E-7</v>
      </c>
      <c r="V60" s="178">
        <v>1.930594348438473E-7</v>
      </c>
      <c r="W60" s="178">
        <v>1.5055628163151704E-7</v>
      </c>
      <c r="X60" s="178">
        <v>1.1301738586689646E-7</v>
      </c>
      <c r="Y60" s="178">
        <v>2.1180113417565061E-7</v>
      </c>
      <c r="Z60" s="178">
        <v>2.6416997319966101E-6</v>
      </c>
      <c r="AA60" s="178">
        <v>5.4875145699298316E-4</v>
      </c>
      <c r="AB60" s="178">
        <v>1.6384732789799815E-5</v>
      </c>
      <c r="AC60" s="178">
        <v>4.7329718526758213E-2</v>
      </c>
      <c r="AD60" s="178">
        <v>7.1500513576233113E-3</v>
      </c>
      <c r="BB60" s="175">
        <v>62.23</v>
      </c>
      <c r="BC60" s="175">
        <v>55.38</v>
      </c>
      <c r="BD60" s="175">
        <v>54.82</v>
      </c>
      <c r="BE60" s="175">
        <v>53.26</v>
      </c>
      <c r="BF60" s="175">
        <v>56.08</v>
      </c>
      <c r="BG60" s="175">
        <v>67.48</v>
      </c>
      <c r="BH60" s="175">
        <v>90.66</v>
      </c>
      <c r="BI60" s="175">
        <v>75.84</v>
      </c>
      <c r="BJ60" s="175">
        <v>108.61</v>
      </c>
      <c r="BK60" s="175">
        <v>93.94</v>
      </c>
      <c r="BM60" s="178">
        <v>8.7360189859800017E-7</v>
      </c>
      <c r="BN60" s="178">
        <v>1.930594348438473E-7</v>
      </c>
      <c r="BO60" s="178">
        <v>1.5055628163151704E-7</v>
      </c>
      <c r="BP60" s="178">
        <v>1.1301738586689646E-7</v>
      </c>
      <c r="BQ60" s="178">
        <v>2.1180113417565061E-7</v>
      </c>
      <c r="BR60" s="178">
        <v>2.6416997319966101E-6</v>
      </c>
      <c r="BS60" s="178">
        <v>5.4875145699298316E-4</v>
      </c>
      <c r="BT60" s="178">
        <v>1.6384732789799815E-5</v>
      </c>
      <c r="BU60" s="178">
        <v>4.7329718526758213E-2</v>
      </c>
      <c r="BV60" s="178">
        <v>7.1500513576233113E-3</v>
      </c>
    </row>
    <row r="61" spans="1:74" x14ac:dyDescent="0.25">
      <c r="A61" s="176">
        <v>42844</v>
      </c>
      <c r="B61" s="177">
        <v>0.57986111111111105</v>
      </c>
      <c r="C61" s="178">
        <v>96.1</v>
      </c>
      <c r="D61" s="178">
        <v>85.28</v>
      </c>
      <c r="E61" s="178">
        <v>111.96</v>
      </c>
      <c r="F61" s="178">
        <v>98.45</v>
      </c>
      <c r="H61" s="179">
        <v>97.9</v>
      </c>
      <c r="I61" s="178">
        <v>-1.8</v>
      </c>
      <c r="J61" s="178">
        <v>-12.6</v>
      </c>
      <c r="K61" s="178">
        <v>14.1</v>
      </c>
      <c r="L61" s="178">
        <v>0.5</v>
      </c>
      <c r="N61" s="178">
        <v>66.64</v>
      </c>
      <c r="O61" s="178">
        <v>62.32</v>
      </c>
      <c r="P61" s="178">
        <v>62.08</v>
      </c>
      <c r="Q61" s="178">
        <v>59.849999999999994</v>
      </c>
      <c r="R61" s="178">
        <v>62.69</v>
      </c>
      <c r="S61" s="178">
        <v>73.56</v>
      </c>
      <c r="U61" s="178">
        <v>2.6640840841111798E-6</v>
      </c>
      <c r="V61" s="178">
        <v>8.5523020244118003E-7</v>
      </c>
      <c r="W61" s="178">
        <v>7.7712686910222501E-7</v>
      </c>
      <c r="X61" s="178">
        <v>4.8796449053312367E-7</v>
      </c>
      <c r="Y61" s="178">
        <v>9.3285880993808494E-7</v>
      </c>
      <c r="Z61" s="178">
        <v>1.1451579964054757E-5</v>
      </c>
      <c r="AA61" s="178">
        <v>2.1298902870771712E-3</v>
      </c>
      <c r="AB61" s="178">
        <v>1.4729388320074922E-4</v>
      </c>
      <c r="AC61" s="178">
        <v>0.10827919847300152</v>
      </c>
      <c r="AD61" s="178">
        <v>9.8663030150854814E-3</v>
      </c>
      <c r="BB61" s="175">
        <v>66.64</v>
      </c>
      <c r="BC61" s="175">
        <v>62.32</v>
      </c>
      <c r="BD61" s="175">
        <v>62.08</v>
      </c>
      <c r="BE61" s="175">
        <v>59.849999999999994</v>
      </c>
      <c r="BF61" s="175">
        <v>62.69</v>
      </c>
      <c r="BG61" s="175">
        <v>73.56</v>
      </c>
      <c r="BH61" s="175">
        <v>96.1</v>
      </c>
      <c r="BI61" s="175">
        <v>85.28</v>
      </c>
      <c r="BJ61" s="175">
        <v>111.96</v>
      </c>
      <c r="BK61" s="175">
        <v>98.45</v>
      </c>
      <c r="BM61" s="178">
        <v>2.6640840841111798E-6</v>
      </c>
      <c r="BN61" s="178">
        <v>8.5523020244118003E-7</v>
      </c>
      <c r="BO61" s="178">
        <v>7.7712686910222501E-7</v>
      </c>
      <c r="BP61" s="178">
        <v>4.8796449053312367E-7</v>
      </c>
      <c r="BQ61" s="178">
        <v>9.3285880993808494E-7</v>
      </c>
      <c r="BR61" s="178">
        <v>1.1451579964054757E-5</v>
      </c>
      <c r="BS61" s="178">
        <v>2.1298902870771712E-3</v>
      </c>
      <c r="BT61" s="178">
        <v>1.4729388320074922E-4</v>
      </c>
      <c r="BU61" s="178">
        <v>0.10827919847300152</v>
      </c>
      <c r="BV61" s="178">
        <v>9.8663030150854814E-3</v>
      </c>
    </row>
    <row r="62" spans="1:74" x14ac:dyDescent="0.25">
      <c r="A62" s="176">
        <v>42844</v>
      </c>
      <c r="B62" s="177">
        <v>0.58020833333333333</v>
      </c>
      <c r="C62" s="178">
        <v>99.56</v>
      </c>
      <c r="D62" s="178">
        <v>92.23</v>
      </c>
      <c r="E62" s="178">
        <v>114.37</v>
      </c>
      <c r="F62" s="178">
        <v>102.3</v>
      </c>
      <c r="H62" s="179">
        <v>102.1</v>
      </c>
      <c r="I62" s="178">
        <v>-2.5</v>
      </c>
      <c r="J62" s="178">
        <v>-9.9</v>
      </c>
      <c r="K62" s="178">
        <v>12.3</v>
      </c>
      <c r="L62" s="178">
        <v>0.2</v>
      </c>
      <c r="N62" s="178">
        <v>70.069999999999993</v>
      </c>
      <c r="O62" s="178">
        <v>69.17</v>
      </c>
      <c r="P62" s="178">
        <v>69.09</v>
      </c>
      <c r="Q62" s="178">
        <v>66.19</v>
      </c>
      <c r="R62" s="178">
        <v>69.099999999999994</v>
      </c>
      <c r="S62" s="178">
        <v>78.36</v>
      </c>
      <c r="U62" s="178">
        <v>6.6083846722039465E-6</v>
      </c>
      <c r="V62" s="178">
        <v>4.0612780853669868E-6</v>
      </c>
      <c r="W62" s="178">
        <v>3.9246577833882153E-6</v>
      </c>
      <c r="X62" s="178">
        <v>2.1022115513894417E-6</v>
      </c>
      <c r="Y62" s="178">
        <v>4.0876455323390453E-6</v>
      </c>
      <c r="Z62" s="178">
        <v>3.8056992927394483E-5</v>
      </c>
      <c r="AA62" s="178">
        <v>5.6371667791770344E-3</v>
      </c>
      <c r="AB62" s="178">
        <v>7.9588351869272803E-4</v>
      </c>
      <c r="AC62" s="178">
        <v>0.21444142157301271</v>
      </c>
      <c r="AD62" s="178">
        <v>1.6457586707867518E-2</v>
      </c>
      <c r="BB62" s="175">
        <v>70.069999999999993</v>
      </c>
      <c r="BC62" s="175">
        <v>69.17</v>
      </c>
      <c r="BD62" s="175">
        <v>69.09</v>
      </c>
      <c r="BE62" s="175">
        <v>66.19</v>
      </c>
      <c r="BF62" s="175">
        <v>69.099999999999994</v>
      </c>
      <c r="BG62" s="175">
        <v>78.36</v>
      </c>
      <c r="BH62" s="175">
        <v>99.56</v>
      </c>
      <c r="BI62" s="175">
        <v>92.23</v>
      </c>
      <c r="BJ62" s="175">
        <v>114.37</v>
      </c>
      <c r="BK62" s="175">
        <v>102.3</v>
      </c>
      <c r="BM62" s="178">
        <v>6.6083846722039465E-6</v>
      </c>
      <c r="BN62" s="178">
        <v>4.0612780853669868E-6</v>
      </c>
      <c r="BO62" s="178">
        <v>3.9246577833882153E-6</v>
      </c>
      <c r="BP62" s="178">
        <v>2.1022115513894417E-6</v>
      </c>
      <c r="BQ62" s="178">
        <v>4.0876455323390453E-6</v>
      </c>
      <c r="BR62" s="178">
        <v>3.8056992927394483E-5</v>
      </c>
      <c r="BS62" s="178">
        <v>5.6371667791770344E-3</v>
      </c>
      <c r="BT62" s="178">
        <v>7.9588351869272803E-4</v>
      </c>
      <c r="BU62" s="178">
        <v>0.21444142157301271</v>
      </c>
      <c r="BV62" s="178">
        <v>1.6457586707867518E-2</v>
      </c>
    </row>
    <row r="63" spans="1:74" x14ac:dyDescent="0.25">
      <c r="A63" s="176">
        <v>42844</v>
      </c>
      <c r="B63" s="177">
        <v>0.5805555555555556</v>
      </c>
      <c r="C63" s="178">
        <v>102.39</v>
      </c>
      <c r="D63" s="178">
        <v>92.23</v>
      </c>
      <c r="E63" s="178">
        <v>116.47</v>
      </c>
      <c r="F63" s="178">
        <v>105.63</v>
      </c>
      <c r="H63" s="179">
        <v>104.2</v>
      </c>
      <c r="I63" s="178">
        <v>-1.8</v>
      </c>
      <c r="J63" s="178">
        <v>-12</v>
      </c>
      <c r="K63" s="178">
        <v>12.3</v>
      </c>
      <c r="L63" s="178">
        <v>1.4</v>
      </c>
      <c r="N63" s="178">
        <v>73.25</v>
      </c>
      <c r="O63" s="178">
        <v>75.680000000000007</v>
      </c>
      <c r="P63" s="178">
        <v>75.8</v>
      </c>
      <c r="Q63" s="178">
        <v>72.149999999999991</v>
      </c>
      <c r="R63" s="178">
        <v>74.989999999999995</v>
      </c>
      <c r="S63" s="178">
        <v>82.4</v>
      </c>
      <c r="U63" s="178">
        <v>1.4811333538201653E-5</v>
      </c>
      <c r="V63" s="178">
        <v>1.8415180995490455E-5</v>
      </c>
      <c r="W63" s="178">
        <v>1.8680703916720154E-5</v>
      </c>
      <c r="X63" s="178">
        <v>8.4697269564727303E-6</v>
      </c>
      <c r="Y63" s="178">
        <v>1.633296174156276E-5</v>
      </c>
      <c r="Z63" s="178">
        <v>1.0550513705697726E-4</v>
      </c>
      <c r="AA63" s="178">
        <v>1.2366468549456784E-2</v>
      </c>
      <c r="AB63" s="178">
        <v>1.4444731541847068E-3</v>
      </c>
      <c r="AC63" s="178">
        <v>0.38661638695468215</v>
      </c>
      <c r="AD63" s="178">
        <v>3.0647181850075297E-2</v>
      </c>
      <c r="BB63" s="175">
        <v>73.25</v>
      </c>
      <c r="BC63" s="175">
        <v>75.680000000000007</v>
      </c>
      <c r="BD63" s="175">
        <v>75.8</v>
      </c>
      <c r="BE63" s="175">
        <v>72.149999999999991</v>
      </c>
      <c r="BF63" s="175">
        <v>74.989999999999995</v>
      </c>
      <c r="BG63" s="175">
        <v>82.4</v>
      </c>
      <c r="BH63" s="175">
        <v>102.39</v>
      </c>
      <c r="BI63" s="175">
        <v>92.23</v>
      </c>
      <c r="BJ63" s="175">
        <v>116.47</v>
      </c>
      <c r="BK63" s="175">
        <v>105.63</v>
      </c>
      <c r="BM63" s="178">
        <v>1.4811333538201653E-5</v>
      </c>
      <c r="BN63" s="178">
        <v>1.8415180995490455E-5</v>
      </c>
      <c r="BO63" s="178">
        <v>1.8680703916720154E-5</v>
      </c>
      <c r="BP63" s="178">
        <v>8.4697269564727303E-6</v>
      </c>
      <c r="BQ63" s="178">
        <v>1.633296174156276E-5</v>
      </c>
      <c r="BR63" s="178">
        <v>1.0550513705697726E-4</v>
      </c>
      <c r="BS63" s="178">
        <v>1.2366468549456784E-2</v>
      </c>
      <c r="BT63" s="178">
        <v>1.4444731541847068E-3</v>
      </c>
      <c r="BU63" s="178">
        <v>0.38661638695468215</v>
      </c>
      <c r="BV63" s="178">
        <v>3.0647181850075297E-2</v>
      </c>
    </row>
    <row r="64" spans="1:74" x14ac:dyDescent="0.25">
      <c r="A64" s="176">
        <v>42844</v>
      </c>
      <c r="B64" s="177">
        <v>0.58090277777777777</v>
      </c>
      <c r="C64" s="178">
        <v>104.74</v>
      </c>
      <c r="D64" s="178">
        <v>103.99</v>
      </c>
      <c r="E64" s="178">
        <v>118.24</v>
      </c>
      <c r="F64" s="178">
        <v>108.51</v>
      </c>
      <c r="H64" s="179">
        <v>108.9</v>
      </c>
      <c r="I64" s="178">
        <v>-4.2</v>
      </c>
      <c r="J64" s="178">
        <v>-4.9000000000000004</v>
      </c>
      <c r="K64" s="178">
        <v>9.3000000000000007</v>
      </c>
      <c r="L64" s="178">
        <v>-0.4</v>
      </c>
      <c r="N64" s="178">
        <v>76.62</v>
      </c>
      <c r="O64" s="178">
        <v>81.680000000000007</v>
      </c>
      <c r="P64" s="178">
        <v>81.88</v>
      </c>
      <c r="Q64" s="178">
        <v>77.709999999999994</v>
      </c>
      <c r="R64" s="178">
        <v>80.209999999999994</v>
      </c>
      <c r="S64" s="178">
        <v>85.92</v>
      </c>
      <c r="U64" s="178">
        <v>3.2633890209513917E-5</v>
      </c>
      <c r="V64" s="178">
        <v>7.555909773497918E-5</v>
      </c>
      <c r="W64" s="178">
        <v>7.8517730482082355E-5</v>
      </c>
      <c r="X64" s="178">
        <v>3.1376821292199355E-5</v>
      </c>
      <c r="Y64" s="178">
        <v>5.70681759426047E-5</v>
      </c>
      <c r="Z64" s="178">
        <v>2.5719969626669101E-4</v>
      </c>
      <c r="AA64" s="178">
        <v>2.3926792500334755E-2</v>
      </c>
      <c r="AB64" s="178">
        <v>1.1171273562298021E-2</v>
      </c>
      <c r="AC64" s="178">
        <v>0.64541980292996604</v>
      </c>
      <c r="AD64" s="178">
        <v>5.8187566670345525E-2</v>
      </c>
      <c r="BB64" s="175">
        <v>76.62</v>
      </c>
      <c r="BC64" s="175">
        <v>81.680000000000007</v>
      </c>
      <c r="BD64" s="175">
        <v>81.88</v>
      </c>
      <c r="BE64" s="175">
        <v>77.709999999999994</v>
      </c>
      <c r="BF64" s="175">
        <v>80.209999999999994</v>
      </c>
      <c r="BG64" s="175">
        <v>85.92</v>
      </c>
      <c r="BH64" s="175">
        <v>104.74</v>
      </c>
      <c r="BI64" s="175">
        <v>103.99</v>
      </c>
      <c r="BJ64" s="175">
        <v>118.24</v>
      </c>
      <c r="BK64" s="175">
        <v>108.51</v>
      </c>
      <c r="BM64" s="178">
        <v>3.2633890209513917E-5</v>
      </c>
      <c r="BN64" s="178">
        <v>7.555909773497918E-5</v>
      </c>
      <c r="BO64" s="178">
        <v>7.8517730482082355E-5</v>
      </c>
      <c r="BP64" s="178">
        <v>3.1376821292199355E-5</v>
      </c>
      <c r="BQ64" s="178">
        <v>5.70681759426047E-5</v>
      </c>
      <c r="BR64" s="178">
        <v>2.5719969626669101E-4</v>
      </c>
      <c r="BS64" s="178">
        <v>2.3926792500334755E-2</v>
      </c>
      <c r="BT64" s="178">
        <v>1.1171273562298021E-2</v>
      </c>
      <c r="BU64" s="178">
        <v>0.64541980292996604</v>
      </c>
      <c r="BV64" s="178">
        <v>5.8187566670345525E-2</v>
      </c>
    </row>
    <row r="65" spans="1:74" x14ac:dyDescent="0.25">
      <c r="A65" s="176">
        <v>42844</v>
      </c>
      <c r="B65" s="177">
        <v>0.58124999999999993</v>
      </c>
      <c r="C65" s="178">
        <v>106.88</v>
      </c>
      <c r="D65" s="178">
        <v>107.99</v>
      </c>
      <c r="E65" s="178">
        <v>119.86</v>
      </c>
      <c r="F65" s="178">
        <v>111.04</v>
      </c>
      <c r="H65" s="179">
        <v>111.4</v>
      </c>
      <c r="I65" s="178">
        <v>-4.5</v>
      </c>
      <c r="J65" s="178">
        <v>-3.4</v>
      </c>
      <c r="K65" s="178">
        <v>8.5</v>
      </c>
      <c r="L65" s="178">
        <v>-0.4</v>
      </c>
      <c r="N65" s="178">
        <v>80.52</v>
      </c>
      <c r="O65" s="178">
        <v>87.09</v>
      </c>
      <c r="P65" s="178">
        <v>87.42</v>
      </c>
      <c r="Q65" s="178">
        <v>82.57</v>
      </c>
      <c r="R65" s="178">
        <v>85.06</v>
      </c>
      <c r="S65" s="178">
        <v>89.1</v>
      </c>
      <c r="U65" s="178">
        <v>7.6383078970885688E-5</v>
      </c>
      <c r="V65" s="178">
        <v>2.7415487246969965E-4</v>
      </c>
      <c r="W65" s="178">
        <v>2.9279199068080229E-4</v>
      </c>
      <c r="X65" s="178">
        <v>1.0151750652029719E-4</v>
      </c>
      <c r="Y65" s="178">
        <v>1.8151104185672444E-4</v>
      </c>
      <c r="Z65" s="178">
        <v>5.7267836850678723E-4</v>
      </c>
      <c r="AA65" s="178">
        <v>4.2848921736189413E-2</v>
      </c>
      <c r="AB65" s="178">
        <v>3.5603891529439699E-2</v>
      </c>
      <c r="AC65" s="178">
        <v>1.0212312499390692</v>
      </c>
      <c r="AD65" s="178">
        <v>0.10750154095190616</v>
      </c>
      <c r="BB65" s="175">
        <v>80.52</v>
      </c>
      <c r="BC65" s="175">
        <v>87.09</v>
      </c>
      <c r="BD65" s="175">
        <v>87.42</v>
      </c>
      <c r="BE65" s="175">
        <v>82.57</v>
      </c>
      <c r="BF65" s="175">
        <v>85.06</v>
      </c>
      <c r="BG65" s="175">
        <v>89.1</v>
      </c>
      <c r="BH65" s="175">
        <v>106.88</v>
      </c>
      <c r="BI65" s="175">
        <v>107.99</v>
      </c>
      <c r="BJ65" s="175">
        <v>119.86</v>
      </c>
      <c r="BK65" s="175">
        <v>111.04</v>
      </c>
      <c r="BM65" s="178">
        <v>7.6383078970885688E-5</v>
      </c>
      <c r="BN65" s="178">
        <v>2.7415487246969965E-4</v>
      </c>
      <c r="BO65" s="178">
        <v>2.9279199068080229E-4</v>
      </c>
      <c r="BP65" s="178">
        <v>1.0151750652029719E-4</v>
      </c>
      <c r="BQ65" s="178">
        <v>1.8151104185672444E-4</v>
      </c>
      <c r="BR65" s="178">
        <v>5.7267836850678723E-4</v>
      </c>
      <c r="BS65" s="178">
        <v>4.2848921736189413E-2</v>
      </c>
      <c r="BT65" s="178">
        <v>3.5603891529439699E-2</v>
      </c>
      <c r="BU65" s="178">
        <v>1.0212312499390692</v>
      </c>
      <c r="BV65" s="178">
        <v>0.10750154095190616</v>
      </c>
    </row>
    <row r="66" spans="1:74" x14ac:dyDescent="0.25">
      <c r="A66" s="176">
        <v>42844</v>
      </c>
      <c r="B66" s="177">
        <v>0.58159722222222221</v>
      </c>
      <c r="C66" s="178">
        <v>109.06</v>
      </c>
      <c r="D66" s="178">
        <v>111.24</v>
      </c>
      <c r="E66" s="178">
        <v>123.67</v>
      </c>
      <c r="F66" s="178">
        <v>113.35</v>
      </c>
      <c r="H66" s="179">
        <v>114.3</v>
      </c>
      <c r="I66" s="178">
        <v>-5.2</v>
      </c>
      <c r="J66" s="178">
        <v>-3.1</v>
      </c>
      <c r="K66" s="178">
        <v>9.4</v>
      </c>
      <c r="L66" s="178">
        <v>-1</v>
      </c>
      <c r="N66" s="178">
        <v>84.87</v>
      </c>
      <c r="O66" s="178">
        <v>91.96</v>
      </c>
      <c r="P66" s="178">
        <v>92.45</v>
      </c>
      <c r="Q66" s="178">
        <v>87.09</v>
      </c>
      <c r="R66" s="178">
        <v>89.47</v>
      </c>
      <c r="S66" s="178">
        <v>92.14</v>
      </c>
      <c r="U66" s="178">
        <v>1.9549905243882045E-4</v>
      </c>
      <c r="V66" s="178">
        <v>8.8364967193213246E-4</v>
      </c>
      <c r="W66" s="178">
        <v>9.7508355897526502E-4</v>
      </c>
      <c r="X66" s="178">
        <v>3.0011328125501767E-4</v>
      </c>
      <c r="Y66" s="178">
        <v>5.2504526186384075E-4</v>
      </c>
      <c r="Z66" s="178">
        <v>1.2079654211110582E-3</v>
      </c>
      <c r="AA66" s="178">
        <v>7.4107556374973751E-2</v>
      </c>
      <c r="AB66" s="178">
        <v>8.7241961817509567E-2</v>
      </c>
      <c r="AC66" s="178">
        <v>1.9248183129445344</v>
      </c>
      <c r="AD66" s="178">
        <v>0.19144174185803414</v>
      </c>
      <c r="BB66" s="175">
        <v>84.87</v>
      </c>
      <c r="BC66" s="175">
        <v>91.96</v>
      </c>
      <c r="BD66" s="175">
        <v>92.45</v>
      </c>
      <c r="BE66" s="175">
        <v>87.09</v>
      </c>
      <c r="BF66" s="175">
        <v>89.47</v>
      </c>
      <c r="BG66" s="175">
        <v>92.14</v>
      </c>
      <c r="BH66" s="175">
        <v>109.06</v>
      </c>
      <c r="BI66" s="175">
        <v>111.24</v>
      </c>
      <c r="BJ66" s="175">
        <v>123.67</v>
      </c>
      <c r="BK66" s="175">
        <v>113.35</v>
      </c>
      <c r="BM66" s="178">
        <v>1.9549905243882045E-4</v>
      </c>
      <c r="BN66" s="178">
        <v>8.8364967193213246E-4</v>
      </c>
      <c r="BO66" s="178">
        <v>9.7508355897526502E-4</v>
      </c>
      <c r="BP66" s="178">
        <v>3.0011328125501767E-4</v>
      </c>
      <c r="BQ66" s="178">
        <v>5.2504526186384075E-4</v>
      </c>
      <c r="BR66" s="178">
        <v>1.2079654211110582E-3</v>
      </c>
      <c r="BS66" s="178">
        <v>7.4107556374973751E-2</v>
      </c>
      <c r="BT66" s="178">
        <v>8.7241961817509567E-2</v>
      </c>
      <c r="BU66" s="178">
        <v>1.9248183129445344</v>
      </c>
      <c r="BV66" s="178">
        <v>0.19144174185803414</v>
      </c>
    </row>
    <row r="67" spans="1:74" x14ac:dyDescent="0.25">
      <c r="A67" s="176">
        <v>42844</v>
      </c>
      <c r="B67" s="177">
        <v>0.58194444444444449</v>
      </c>
      <c r="C67" s="178">
        <v>111.25</v>
      </c>
      <c r="D67" s="178">
        <v>113.89</v>
      </c>
      <c r="E67" s="178">
        <v>124.92</v>
      </c>
      <c r="F67" s="178">
        <v>115.48</v>
      </c>
      <c r="H67" s="179">
        <v>116.4</v>
      </c>
      <c r="I67" s="178">
        <v>-5.2</v>
      </c>
      <c r="J67" s="178">
        <v>-2.5</v>
      </c>
      <c r="K67" s="178">
        <v>8.5</v>
      </c>
      <c r="L67" s="178">
        <v>-0.9</v>
      </c>
      <c r="N67" s="178">
        <v>89.53</v>
      </c>
      <c r="O67" s="178">
        <v>96.29</v>
      </c>
      <c r="P67" s="178">
        <v>96.83</v>
      </c>
      <c r="Q67" s="178">
        <v>91.53</v>
      </c>
      <c r="R67" s="178">
        <v>92.64</v>
      </c>
      <c r="S67" s="178">
        <v>95.12</v>
      </c>
      <c r="U67" s="178">
        <v>5.4381230949420529E-4</v>
      </c>
      <c r="V67" s="178">
        <v>2.5354973771162092E-3</v>
      </c>
      <c r="W67" s="178">
        <v>2.8456365003355325E-3</v>
      </c>
      <c r="X67" s="178">
        <v>8.5215259120605472E-4</v>
      </c>
      <c r="Y67" s="178">
        <v>1.2378490586649358E-3</v>
      </c>
      <c r="Z67" s="178">
        <v>2.4697058073513472E-3</v>
      </c>
      <c r="AA67" s="178">
        <v>0.125864664708941</v>
      </c>
      <c r="AB67" s="178">
        <v>0.18229587581367468</v>
      </c>
      <c r="AC67" s="178">
        <v>3.1297710272878341</v>
      </c>
      <c r="AD67" s="178">
        <v>0.32852045045442857</v>
      </c>
      <c r="BB67" s="175">
        <v>89.53</v>
      </c>
      <c r="BC67" s="175">
        <v>96.29</v>
      </c>
      <c r="BD67" s="175">
        <v>96.83</v>
      </c>
      <c r="BE67" s="175">
        <v>91.53</v>
      </c>
      <c r="BF67" s="175">
        <v>92.64</v>
      </c>
      <c r="BG67" s="175">
        <v>95.12</v>
      </c>
      <c r="BH67" s="175">
        <v>111.25</v>
      </c>
      <c r="BI67" s="175">
        <v>113.89</v>
      </c>
      <c r="BJ67" s="175">
        <v>124.92</v>
      </c>
      <c r="BK67" s="175">
        <v>115.48</v>
      </c>
      <c r="BM67" s="178">
        <v>5.4381230949420529E-4</v>
      </c>
      <c r="BN67" s="178">
        <v>2.5354973771162092E-3</v>
      </c>
      <c r="BO67" s="178">
        <v>2.8456365003355325E-3</v>
      </c>
      <c r="BP67" s="178">
        <v>8.5215259120605472E-4</v>
      </c>
      <c r="BQ67" s="178">
        <v>1.2378490586649358E-3</v>
      </c>
      <c r="BR67" s="178">
        <v>2.4697058073513472E-3</v>
      </c>
      <c r="BS67" s="178">
        <v>0.125864664708941</v>
      </c>
      <c r="BT67" s="178">
        <v>0.18229587581367468</v>
      </c>
      <c r="BU67" s="178">
        <v>3.1297710272878341</v>
      </c>
      <c r="BV67" s="178">
        <v>0.32852045045442857</v>
      </c>
    </row>
    <row r="68" spans="1:74" x14ac:dyDescent="0.25">
      <c r="A68" s="176">
        <v>42844</v>
      </c>
      <c r="B68" s="177">
        <v>0.58229166666666665</v>
      </c>
      <c r="C68" s="178">
        <v>113.41</v>
      </c>
      <c r="D68" s="178">
        <v>116.12</v>
      </c>
      <c r="E68" s="178">
        <v>126.95</v>
      </c>
      <c r="F68" s="178">
        <v>117.42</v>
      </c>
      <c r="H68" s="179">
        <v>118.5</v>
      </c>
      <c r="I68" s="178">
        <v>-5.0999999999999996</v>
      </c>
      <c r="J68" s="178">
        <v>-2.4</v>
      </c>
      <c r="K68" s="178">
        <v>8.5</v>
      </c>
      <c r="L68" s="178">
        <v>-1.1000000000000001</v>
      </c>
      <c r="N68" s="178">
        <v>93.83</v>
      </c>
      <c r="O68" s="178">
        <v>100.03</v>
      </c>
      <c r="P68" s="178">
        <v>100.52</v>
      </c>
      <c r="Q68" s="178">
        <v>95.25</v>
      </c>
      <c r="R68" s="178">
        <v>94.75</v>
      </c>
      <c r="S68" s="178">
        <v>98.05</v>
      </c>
      <c r="U68" s="178">
        <v>1.4813095635279152E-3</v>
      </c>
      <c r="V68" s="178">
        <v>6.443636400057861E-3</v>
      </c>
      <c r="W68" s="178">
        <v>7.2205553764727124E-3</v>
      </c>
      <c r="X68" s="178">
        <v>2.1522323727886919E-3</v>
      </c>
      <c r="Y68" s="178">
        <v>2.3965463836491765E-3</v>
      </c>
      <c r="Z68" s="178">
        <v>4.9469567613752976E-3</v>
      </c>
      <c r="AA68" s="178">
        <v>0.21097259012868858</v>
      </c>
      <c r="AB68" s="178">
        <v>0.34113957934616357</v>
      </c>
      <c r="AC68" s="178">
        <v>5.0527299375146058</v>
      </c>
      <c r="AD68" s="178">
        <v>0.54279471065314866</v>
      </c>
      <c r="BB68" s="175">
        <v>93.83</v>
      </c>
      <c r="BC68" s="175">
        <v>100.03</v>
      </c>
      <c r="BD68" s="175">
        <v>100.52</v>
      </c>
      <c r="BE68" s="175">
        <v>95.25</v>
      </c>
      <c r="BF68" s="175">
        <v>94.75</v>
      </c>
      <c r="BG68" s="175">
        <v>98.05</v>
      </c>
      <c r="BH68" s="175">
        <v>113.41</v>
      </c>
      <c r="BI68" s="175">
        <v>116.12</v>
      </c>
      <c r="BJ68" s="175">
        <v>126.95</v>
      </c>
      <c r="BK68" s="175">
        <v>117.42</v>
      </c>
      <c r="BM68" s="178">
        <v>1.4813095635279152E-3</v>
      </c>
      <c r="BN68" s="178">
        <v>6.443636400057861E-3</v>
      </c>
      <c r="BO68" s="178">
        <v>7.2205553764727124E-3</v>
      </c>
      <c r="BP68" s="178">
        <v>2.1522323727886919E-3</v>
      </c>
      <c r="BQ68" s="178">
        <v>2.3965463836491765E-3</v>
      </c>
      <c r="BR68" s="178">
        <v>4.9469567613752976E-3</v>
      </c>
      <c r="BS68" s="178">
        <v>0.21097259012868858</v>
      </c>
      <c r="BT68" s="178">
        <v>0.34113957934616357</v>
      </c>
      <c r="BU68" s="178">
        <v>5.0527299375146058</v>
      </c>
      <c r="BV68" s="178">
        <v>0.54279471065314866</v>
      </c>
    </row>
    <row r="69" spans="1:74" x14ac:dyDescent="0.25">
      <c r="A69" s="176">
        <v>42844</v>
      </c>
      <c r="B69" s="177">
        <v>0.58263888888888882</v>
      </c>
      <c r="C69" s="178">
        <v>114.4</v>
      </c>
      <c r="D69" s="178">
        <v>117.47</v>
      </c>
      <c r="E69" s="178">
        <v>121.58</v>
      </c>
      <c r="F69" s="178">
        <v>118.92</v>
      </c>
      <c r="H69" s="179">
        <v>118.1</v>
      </c>
      <c r="I69" s="178">
        <v>-3.7</v>
      </c>
      <c r="J69" s="178">
        <v>-0.6</v>
      </c>
      <c r="K69" s="178">
        <v>3.5</v>
      </c>
      <c r="L69" s="178">
        <v>0.8</v>
      </c>
      <c r="N69" s="178">
        <v>97.55</v>
      </c>
      <c r="O69" s="178">
        <v>103.12</v>
      </c>
      <c r="P69" s="178">
        <v>103.44</v>
      </c>
      <c r="Q69" s="178">
        <v>97.22</v>
      </c>
      <c r="R69" s="178">
        <v>97.92</v>
      </c>
      <c r="S69" s="178">
        <v>100.46</v>
      </c>
      <c r="U69" s="178">
        <v>3.6891618002944781E-3</v>
      </c>
      <c r="V69" s="178">
        <v>1.4404680035313725E-2</v>
      </c>
      <c r="W69" s="178">
        <v>1.5790341914014842E-2</v>
      </c>
      <c r="X69" s="178">
        <v>4.1985356714387481E-3</v>
      </c>
      <c r="Y69" s="178">
        <v>4.8007431258978222E-3</v>
      </c>
      <c r="Z69" s="178">
        <v>9.2618495002101467E-3</v>
      </c>
      <c r="AA69" s="178">
        <v>0.31787069460380046</v>
      </c>
      <c r="AB69" s="178">
        <v>0.55789501853992829</v>
      </c>
      <c r="AC69" s="178">
        <v>5.6111615614048871</v>
      </c>
      <c r="AD69" s="178">
        <v>0.84546514803010597</v>
      </c>
      <c r="BB69" s="175">
        <v>97.55</v>
      </c>
      <c r="BC69" s="175">
        <v>103.12</v>
      </c>
      <c r="BD69" s="175">
        <v>103.44</v>
      </c>
      <c r="BE69" s="175">
        <v>97.22</v>
      </c>
      <c r="BF69" s="175">
        <v>97.92</v>
      </c>
      <c r="BG69" s="175">
        <v>100.46</v>
      </c>
      <c r="BH69" s="175">
        <v>114.4</v>
      </c>
      <c r="BI69" s="175">
        <v>117.47</v>
      </c>
      <c r="BJ69" s="175">
        <v>121.58</v>
      </c>
      <c r="BK69" s="175">
        <v>118.92</v>
      </c>
      <c r="BM69" s="178">
        <v>3.6891618002944781E-3</v>
      </c>
      <c r="BN69" s="178">
        <v>1.4404680035313725E-2</v>
      </c>
      <c r="BO69" s="178">
        <v>1.5790341914014842E-2</v>
      </c>
      <c r="BP69" s="178">
        <v>4.1985356714387481E-3</v>
      </c>
      <c r="BQ69" s="178">
        <v>4.8007431258978222E-3</v>
      </c>
      <c r="BR69" s="178">
        <v>9.2618495002101467E-3</v>
      </c>
      <c r="BS69" s="178">
        <v>0.31787069460380046</v>
      </c>
      <c r="BT69" s="178">
        <v>0.55789501853992829</v>
      </c>
      <c r="BU69" s="178">
        <v>5.6111615614048871</v>
      </c>
      <c r="BV69" s="178">
        <v>0.84546514803010597</v>
      </c>
    </row>
    <row r="70" spans="1:74" x14ac:dyDescent="0.25">
      <c r="A70" s="176">
        <v>42844</v>
      </c>
      <c r="B70" s="177">
        <v>0.58298611111111109</v>
      </c>
      <c r="C70" s="178">
        <v>114.41</v>
      </c>
      <c r="D70" s="178">
        <v>116.42</v>
      </c>
      <c r="E70" s="178">
        <v>123.39</v>
      </c>
      <c r="F70" s="178">
        <v>119.24</v>
      </c>
      <c r="H70" s="179">
        <v>118.4</v>
      </c>
      <c r="I70" s="178">
        <v>-4</v>
      </c>
      <c r="J70" s="178">
        <v>-2</v>
      </c>
      <c r="K70" s="178">
        <v>5</v>
      </c>
      <c r="L70" s="178">
        <v>0.8</v>
      </c>
      <c r="N70" s="178">
        <v>100.51</v>
      </c>
      <c r="O70" s="178">
        <v>105.29</v>
      </c>
      <c r="P70" s="178">
        <v>105.5</v>
      </c>
      <c r="Q70" s="178">
        <v>99.789999999999992</v>
      </c>
      <c r="R70" s="178">
        <v>100.67</v>
      </c>
      <c r="S70" s="178">
        <v>101.95</v>
      </c>
      <c r="U70" s="178">
        <v>8.0540186422350477E-3</v>
      </c>
      <c r="V70" s="178">
        <v>2.7525772752235965E-2</v>
      </c>
      <c r="W70" s="178">
        <v>2.9561485430705692E-2</v>
      </c>
      <c r="X70" s="178">
        <v>7.8965620467299352E-3</v>
      </c>
      <c r="Y70" s="178">
        <v>9.3294061303888301E-3</v>
      </c>
      <c r="Z70" s="178">
        <v>1.5342779503441996E-2</v>
      </c>
      <c r="AA70" s="178">
        <v>0.4250152246598034</v>
      </c>
      <c r="AB70" s="178">
        <v>0.72809911339042899</v>
      </c>
      <c r="AC70" s="178">
        <v>6.4583304616285524</v>
      </c>
      <c r="AD70" s="178">
        <v>1.1712793450605274</v>
      </c>
      <c r="BB70" s="175">
        <v>100.51</v>
      </c>
      <c r="BC70" s="175">
        <v>105.29</v>
      </c>
      <c r="BD70" s="175">
        <v>105.5</v>
      </c>
      <c r="BE70" s="175">
        <v>99.789999999999992</v>
      </c>
      <c r="BF70" s="175">
        <v>100.67</v>
      </c>
      <c r="BG70" s="175">
        <v>101.95</v>
      </c>
      <c r="BH70" s="175">
        <v>114.41</v>
      </c>
      <c r="BI70" s="175">
        <v>116.42</v>
      </c>
      <c r="BJ70" s="175">
        <v>123.39</v>
      </c>
      <c r="BK70" s="175">
        <v>119.24</v>
      </c>
      <c r="BM70" s="178">
        <v>8.0540186422350477E-3</v>
      </c>
      <c r="BN70" s="178">
        <v>2.7525772752235965E-2</v>
      </c>
      <c r="BO70" s="178">
        <v>2.9561485430705692E-2</v>
      </c>
      <c r="BP70" s="178">
        <v>7.8965620467299352E-3</v>
      </c>
      <c r="BQ70" s="178">
        <v>9.3294061303888301E-3</v>
      </c>
      <c r="BR70" s="178">
        <v>1.5342779503441996E-2</v>
      </c>
      <c r="BS70" s="178">
        <v>0.4250152246598034</v>
      </c>
      <c r="BT70" s="178">
        <v>0.72809911339042899</v>
      </c>
      <c r="BU70" s="178">
        <v>6.4583304616285524</v>
      </c>
      <c r="BV70" s="178">
        <v>1.1712793450605274</v>
      </c>
    </row>
    <row r="71" spans="1:74" x14ac:dyDescent="0.25">
      <c r="A71" s="176">
        <v>42844</v>
      </c>
      <c r="B71" s="177">
        <v>0.58333333333333337</v>
      </c>
      <c r="C71" s="178">
        <v>114.87</v>
      </c>
      <c r="D71" s="178">
        <v>117.26</v>
      </c>
      <c r="E71" s="178">
        <v>121.02</v>
      </c>
      <c r="F71" s="178">
        <v>120.02</v>
      </c>
      <c r="H71" s="179">
        <v>118.3</v>
      </c>
      <c r="I71" s="178">
        <v>-3.4</v>
      </c>
      <c r="J71" s="178">
        <v>-1</v>
      </c>
      <c r="K71" s="178">
        <v>2.7</v>
      </c>
      <c r="L71" s="178">
        <v>1.7</v>
      </c>
      <c r="N71" s="178">
        <v>103.33</v>
      </c>
      <c r="O71" s="178">
        <v>107.17</v>
      </c>
      <c r="P71" s="178">
        <v>107.9</v>
      </c>
      <c r="Q71" s="178">
        <v>100.28</v>
      </c>
      <c r="R71" s="178">
        <v>101.53</v>
      </c>
      <c r="S71" s="178">
        <v>103.43</v>
      </c>
      <c r="U71" s="178">
        <v>1.6409471713788589E-2</v>
      </c>
      <c r="V71" s="178">
        <v>4.7754567337108131E-2</v>
      </c>
      <c r="W71" s="178">
        <v>5.3492990046837656E-2</v>
      </c>
      <c r="X71" s="178">
        <v>1.203627286529161E-2</v>
      </c>
      <c r="Y71" s="178">
        <v>1.4849799229899202E-2</v>
      </c>
      <c r="Z71" s="178">
        <v>2.3892856078893451E-2</v>
      </c>
      <c r="AA71" s="178">
        <v>0.54413119812773814</v>
      </c>
      <c r="AB71" s="178">
        <v>0.93462286438551012</v>
      </c>
      <c r="AC71" s="178">
        <v>6.9492044331385445</v>
      </c>
      <c r="AD71" s="178">
        <v>1.5611944003221569</v>
      </c>
      <c r="BB71" s="175">
        <v>103.33</v>
      </c>
      <c r="BC71" s="175">
        <v>107.17</v>
      </c>
      <c r="BD71" s="175">
        <v>107.9</v>
      </c>
      <c r="BE71" s="175">
        <v>100.28</v>
      </c>
      <c r="BF71" s="175">
        <v>101.53</v>
      </c>
      <c r="BG71" s="175">
        <v>103.43</v>
      </c>
      <c r="BH71" s="175">
        <v>114.87</v>
      </c>
      <c r="BI71" s="175">
        <v>117.26</v>
      </c>
      <c r="BJ71" s="175">
        <v>121.02</v>
      </c>
      <c r="BK71" s="175">
        <v>120.02</v>
      </c>
      <c r="BM71" s="178">
        <v>1.6409471713788589E-2</v>
      </c>
      <c r="BN71" s="178">
        <v>4.7754567337108131E-2</v>
      </c>
      <c r="BO71" s="178">
        <v>5.3492990046837656E-2</v>
      </c>
      <c r="BP71" s="178">
        <v>1.203627286529161E-2</v>
      </c>
      <c r="BQ71" s="178">
        <v>1.4849799229899202E-2</v>
      </c>
      <c r="BR71" s="178">
        <v>2.3892856078893451E-2</v>
      </c>
      <c r="BS71" s="178">
        <v>0.54413119812773814</v>
      </c>
      <c r="BT71" s="178">
        <v>0.93462286438551012</v>
      </c>
      <c r="BU71" s="178">
        <v>6.9492044331385445</v>
      </c>
      <c r="BV71" s="178">
        <v>1.5611944003221569</v>
      </c>
    </row>
    <row r="72" spans="1:74" x14ac:dyDescent="0.25">
      <c r="A72" s="176">
        <v>42844</v>
      </c>
      <c r="B72" s="177">
        <v>0.58368055555555554</v>
      </c>
      <c r="C72" s="178">
        <v>115.56</v>
      </c>
      <c r="D72" s="178">
        <v>117.01</v>
      </c>
      <c r="E72" s="178">
        <v>123.61</v>
      </c>
      <c r="F72" s="178">
        <v>120.39</v>
      </c>
      <c r="H72" s="179">
        <v>119.1</v>
      </c>
      <c r="I72" s="178">
        <v>-3.5</v>
      </c>
      <c r="J72" s="178">
        <v>-2.1</v>
      </c>
      <c r="K72" s="178">
        <v>4.5</v>
      </c>
      <c r="L72" s="178">
        <v>1.3</v>
      </c>
      <c r="N72" s="178">
        <v>105.47</v>
      </c>
      <c r="O72" s="178">
        <v>108.63</v>
      </c>
      <c r="P72" s="178">
        <v>110.18</v>
      </c>
      <c r="Q72" s="178">
        <v>101.89</v>
      </c>
      <c r="R72" s="178">
        <v>103.01</v>
      </c>
      <c r="S72" s="178">
        <v>104.76</v>
      </c>
      <c r="U72" s="178">
        <v>3.0085815345322162E-2</v>
      </c>
      <c r="V72" s="178">
        <v>7.6066531789020786E-2</v>
      </c>
      <c r="W72" s="178">
        <v>9.3947785005756887E-2</v>
      </c>
      <c r="X72" s="178">
        <v>1.8033769381038508E-2</v>
      </c>
      <c r="Y72" s="178">
        <v>2.261173427968963E-2</v>
      </c>
      <c r="Z72" s="178">
        <v>3.5506540060679007E-2</v>
      </c>
      <c r="AA72" s="178">
        <v>0.68375839018960527</v>
      </c>
      <c r="AB72" s="178">
        <v>1.1295938577237823</v>
      </c>
      <c r="AC72" s="178">
        <v>7.8403938168625906</v>
      </c>
      <c r="AD72" s="178">
        <v>1.9857846378403146</v>
      </c>
      <c r="BB72" s="175">
        <v>105.47</v>
      </c>
      <c r="BC72" s="175">
        <v>108.63</v>
      </c>
      <c r="BD72" s="175">
        <v>110.18</v>
      </c>
      <c r="BE72" s="175">
        <v>101.89</v>
      </c>
      <c r="BF72" s="175">
        <v>103.01</v>
      </c>
      <c r="BG72" s="175">
        <v>104.76</v>
      </c>
      <c r="BH72" s="175">
        <v>115.56</v>
      </c>
      <c r="BI72" s="175">
        <v>117.01</v>
      </c>
      <c r="BJ72" s="175">
        <v>123.61</v>
      </c>
      <c r="BK72" s="175">
        <v>120.39</v>
      </c>
      <c r="BM72" s="178">
        <v>3.0085815345322162E-2</v>
      </c>
      <c r="BN72" s="178">
        <v>7.6066531789020786E-2</v>
      </c>
      <c r="BO72" s="178">
        <v>9.3947785005756887E-2</v>
      </c>
      <c r="BP72" s="178">
        <v>1.8033769381038508E-2</v>
      </c>
      <c r="BQ72" s="178">
        <v>2.261173427968963E-2</v>
      </c>
      <c r="BR72" s="178">
        <v>3.5506540060679007E-2</v>
      </c>
      <c r="BS72" s="178">
        <v>0.68375839018960527</v>
      </c>
      <c r="BT72" s="178">
        <v>1.1295938577237823</v>
      </c>
      <c r="BU72" s="178">
        <v>7.8403938168625906</v>
      </c>
      <c r="BV72" s="178">
        <v>1.9857846378403146</v>
      </c>
    </row>
    <row r="73" spans="1:74" x14ac:dyDescent="0.25">
      <c r="A73" s="176">
        <v>42844</v>
      </c>
      <c r="B73" s="177">
        <v>0.58402777777777781</v>
      </c>
      <c r="C73" s="178">
        <v>115.28</v>
      </c>
      <c r="D73" s="178">
        <v>117.59</v>
      </c>
      <c r="E73" s="178">
        <v>120.71</v>
      </c>
      <c r="F73" s="178">
        <v>120.63</v>
      </c>
      <c r="H73" s="179">
        <v>118.6</v>
      </c>
      <c r="I73" s="178">
        <v>-3.3</v>
      </c>
      <c r="J73" s="178">
        <v>-1</v>
      </c>
      <c r="K73" s="178">
        <v>2.1</v>
      </c>
      <c r="L73" s="178">
        <v>2</v>
      </c>
      <c r="N73" s="178">
        <v>107.31</v>
      </c>
      <c r="O73" s="178">
        <v>110.04</v>
      </c>
      <c r="P73" s="178">
        <v>112.33</v>
      </c>
      <c r="Q73" s="178">
        <v>103.77</v>
      </c>
      <c r="R73" s="178">
        <v>105.19</v>
      </c>
      <c r="S73" s="178">
        <v>105.47</v>
      </c>
      <c r="U73" s="178">
        <v>5.0977333677653294E-2</v>
      </c>
      <c r="V73" s="178">
        <v>0.11523801392733149</v>
      </c>
      <c r="W73" s="178">
        <v>0.16031750789224392</v>
      </c>
      <c r="X73" s="178">
        <v>2.7280112475928896E-2</v>
      </c>
      <c r="Y73" s="178">
        <v>3.5434154462278218E-2</v>
      </c>
      <c r="Z73" s="178">
        <v>4.9182883692212576E-2</v>
      </c>
      <c r="AA73" s="178">
        <v>0.8146675406005548</v>
      </c>
      <c r="AB73" s="178">
        <v>1.3524219819225345</v>
      </c>
      <c r="AC73" s="178">
        <v>8.2974504375977158</v>
      </c>
      <c r="AD73" s="178">
        <v>2.4344990350906888</v>
      </c>
      <c r="BB73" s="175">
        <v>107.31</v>
      </c>
      <c r="BC73" s="175">
        <v>110.04</v>
      </c>
      <c r="BD73" s="175">
        <v>112.33</v>
      </c>
      <c r="BE73" s="175">
        <v>103.77</v>
      </c>
      <c r="BF73" s="175">
        <v>105.19</v>
      </c>
      <c r="BG73" s="175">
        <v>105.47</v>
      </c>
      <c r="BH73" s="175">
        <v>115.28</v>
      </c>
      <c r="BI73" s="175">
        <v>117.59</v>
      </c>
      <c r="BJ73" s="175">
        <v>120.71</v>
      </c>
      <c r="BK73" s="175">
        <v>120.63</v>
      </c>
      <c r="BM73" s="178">
        <v>5.0977333677653294E-2</v>
      </c>
      <c r="BN73" s="178">
        <v>0.11523801392733149</v>
      </c>
      <c r="BO73" s="178">
        <v>0.16031750789224392</v>
      </c>
      <c r="BP73" s="178">
        <v>2.7280112475928896E-2</v>
      </c>
      <c r="BQ73" s="178">
        <v>3.5434154462278218E-2</v>
      </c>
      <c r="BR73" s="178">
        <v>4.9182883692212576E-2</v>
      </c>
      <c r="BS73" s="178">
        <v>0.8146675406005548</v>
      </c>
      <c r="BT73" s="178">
        <v>1.3524219819225345</v>
      </c>
      <c r="BU73" s="178">
        <v>8.2974504375977158</v>
      </c>
      <c r="BV73" s="178">
        <v>2.4344990350906888</v>
      </c>
    </row>
    <row r="74" spans="1:74" x14ac:dyDescent="0.25">
      <c r="A74" s="176">
        <v>42844</v>
      </c>
      <c r="B74" s="177">
        <v>0.58437499999999998</v>
      </c>
      <c r="C74" s="178">
        <v>116.45</v>
      </c>
      <c r="D74" s="178">
        <v>117.75</v>
      </c>
      <c r="E74" s="178">
        <v>123.04</v>
      </c>
      <c r="F74" s="178">
        <v>121.07</v>
      </c>
      <c r="H74" s="179">
        <v>119.6</v>
      </c>
      <c r="I74" s="178">
        <v>-3.1</v>
      </c>
      <c r="J74" s="178">
        <v>-1.8</v>
      </c>
      <c r="K74" s="178">
        <v>3.4</v>
      </c>
      <c r="L74" s="178">
        <v>1.5</v>
      </c>
      <c r="N74" s="178">
        <v>108.99</v>
      </c>
      <c r="O74" s="178">
        <v>112.59</v>
      </c>
      <c r="P74" s="178">
        <v>113.68</v>
      </c>
      <c r="Q74" s="178">
        <v>106</v>
      </c>
      <c r="R74" s="178">
        <v>106.93</v>
      </c>
      <c r="S74" s="178">
        <v>106.79</v>
      </c>
      <c r="U74" s="178">
        <v>8.173617731314671E-2</v>
      </c>
      <c r="V74" s="178">
        <v>0.18570245384842538</v>
      </c>
      <c r="W74" s="178">
        <v>0.2508845125232243</v>
      </c>
      <c r="X74" s="178">
        <v>4.2731589638496867E-2</v>
      </c>
      <c r="Y74" s="178">
        <v>5.4575391628119405E-2</v>
      </c>
      <c r="Z74" s="178">
        <v>6.7716919781341423E-2</v>
      </c>
      <c r="AA74" s="178">
        <v>0.98605143387378025</v>
      </c>
      <c r="AB74" s="178">
        <v>1.5836124926221649</v>
      </c>
      <c r="AC74" s="178">
        <v>9.0790242589181958</v>
      </c>
      <c r="AD74" s="178">
        <v>2.9310570593011556</v>
      </c>
      <c r="BB74" s="175">
        <v>108.99</v>
      </c>
      <c r="BC74" s="175">
        <v>112.59</v>
      </c>
      <c r="BD74" s="175">
        <v>113.68</v>
      </c>
      <c r="BE74" s="175">
        <v>106</v>
      </c>
      <c r="BF74" s="175">
        <v>106.93</v>
      </c>
      <c r="BG74" s="175">
        <v>106.79</v>
      </c>
      <c r="BH74" s="175">
        <v>116.45</v>
      </c>
      <c r="BI74" s="175">
        <v>117.75</v>
      </c>
      <c r="BJ74" s="175">
        <v>123.04</v>
      </c>
      <c r="BK74" s="175">
        <v>121.07</v>
      </c>
      <c r="BM74" s="178">
        <v>8.173617731314671E-2</v>
      </c>
      <c r="BN74" s="178">
        <v>0.18570245384842538</v>
      </c>
      <c r="BO74" s="178">
        <v>0.2508845125232243</v>
      </c>
      <c r="BP74" s="178">
        <v>4.2731589638496867E-2</v>
      </c>
      <c r="BQ74" s="178">
        <v>5.4575391628119405E-2</v>
      </c>
      <c r="BR74" s="178">
        <v>6.7716919781341423E-2</v>
      </c>
      <c r="BS74" s="178">
        <v>0.98605143387378025</v>
      </c>
      <c r="BT74" s="178">
        <v>1.5836124926221649</v>
      </c>
      <c r="BU74" s="178">
        <v>9.0790242589181958</v>
      </c>
      <c r="BV74" s="178">
        <v>2.9310570593011556</v>
      </c>
    </row>
    <row r="75" spans="1:74" x14ac:dyDescent="0.25">
      <c r="A75" s="180">
        <v>42844</v>
      </c>
      <c r="B75" s="181">
        <v>0.58472222222222225</v>
      </c>
      <c r="C75" s="182">
        <v>116.05</v>
      </c>
      <c r="D75" s="182">
        <v>117.81</v>
      </c>
      <c r="E75" s="182">
        <v>122.41</v>
      </c>
      <c r="F75" s="182">
        <v>121.03</v>
      </c>
      <c r="H75" s="183">
        <v>119.3</v>
      </c>
      <c r="I75" s="184">
        <v>-3.3</v>
      </c>
      <c r="J75" s="184">
        <v>-1.5</v>
      </c>
      <c r="K75" s="184">
        <v>3.1</v>
      </c>
      <c r="L75" s="184">
        <v>1.7</v>
      </c>
      <c r="N75" s="182">
        <v>110.27</v>
      </c>
      <c r="O75" s="182">
        <v>113.8</v>
      </c>
      <c r="P75" s="182">
        <v>114.73</v>
      </c>
      <c r="Q75" s="182">
        <v>107.11</v>
      </c>
      <c r="R75" s="182">
        <v>108.28</v>
      </c>
      <c r="S75" s="182">
        <v>107.24</v>
      </c>
      <c r="U75" s="184">
        <v>0.12303807479200565</v>
      </c>
      <c r="V75" s="184">
        <v>0.27880681068156876</v>
      </c>
      <c r="W75" s="184">
        <v>0.36622187195922801</v>
      </c>
      <c r="X75" s="184">
        <v>6.2682834756603981E-2</v>
      </c>
      <c r="Y75" s="184">
        <v>8.0695201078075429E-2</v>
      </c>
      <c r="Z75" s="184">
        <v>8.8274405836567538E-2</v>
      </c>
      <c r="AA75" s="184">
        <v>1.142355402229978</v>
      </c>
      <c r="AB75" s="184">
        <v>1.8180191836947979</v>
      </c>
      <c r="AC75" s="184">
        <v>9.7550605405153341</v>
      </c>
      <c r="AD75" s="184">
        <v>3.4230626121817234</v>
      </c>
      <c r="BB75" s="175">
        <v>110.27</v>
      </c>
      <c r="BC75" s="175">
        <v>113.8</v>
      </c>
      <c r="BD75" s="175">
        <v>114.73</v>
      </c>
      <c r="BE75" s="175">
        <v>107.11</v>
      </c>
      <c r="BF75" s="175">
        <v>108.28</v>
      </c>
      <c r="BG75" s="175">
        <v>107.24</v>
      </c>
      <c r="BH75" s="175">
        <v>116.05</v>
      </c>
      <c r="BI75" s="175">
        <v>117.81</v>
      </c>
      <c r="BJ75" s="175">
        <v>122.41</v>
      </c>
      <c r="BK75" s="175">
        <v>121.03</v>
      </c>
      <c r="BM75" s="184">
        <v>0.12303807479200565</v>
      </c>
      <c r="BN75" s="184">
        <v>0.27880681068156876</v>
      </c>
      <c r="BO75" s="184">
        <v>0.36622187195922801</v>
      </c>
      <c r="BP75" s="184">
        <v>6.2682834756603981E-2</v>
      </c>
      <c r="BQ75" s="184">
        <v>8.0695201078075429E-2</v>
      </c>
      <c r="BR75" s="184">
        <v>8.8274405836567538E-2</v>
      </c>
      <c r="BS75" s="184">
        <v>1.142355402229978</v>
      </c>
      <c r="BT75" s="184">
        <v>1.8180191836947979</v>
      </c>
      <c r="BU75" s="184">
        <v>9.7550605405153341</v>
      </c>
      <c r="BV75" s="184">
        <v>3.4230626121817234</v>
      </c>
    </row>
    <row r="76" spans="1:74" x14ac:dyDescent="0.25">
      <c r="A76" s="180">
        <v>42844</v>
      </c>
      <c r="B76" s="181">
        <v>0.58506944444444442</v>
      </c>
      <c r="C76" s="182">
        <v>117.06</v>
      </c>
      <c r="D76" s="182">
        <v>118.35</v>
      </c>
      <c r="E76" s="182">
        <v>122.29</v>
      </c>
      <c r="F76" s="182">
        <v>121.5</v>
      </c>
      <c r="H76" s="183">
        <v>119.8</v>
      </c>
      <c r="I76" s="184">
        <v>-2.7</v>
      </c>
      <c r="J76" s="184">
        <v>-1.5</v>
      </c>
      <c r="K76" s="184">
        <v>2.5</v>
      </c>
      <c r="L76" s="184">
        <v>1.7</v>
      </c>
      <c r="N76" s="182">
        <v>111.58</v>
      </c>
      <c r="O76" s="182">
        <v>114.87</v>
      </c>
      <c r="P76" s="182">
        <v>115.73</v>
      </c>
      <c r="Q76" s="182">
        <v>108.61</v>
      </c>
      <c r="R76" s="182">
        <v>109.5</v>
      </c>
      <c r="S76" s="182">
        <v>108.45</v>
      </c>
      <c r="U76" s="184">
        <v>0.17888123718103374</v>
      </c>
      <c r="V76" s="184">
        <v>0.39792278414950355</v>
      </c>
      <c r="W76" s="184">
        <v>0.51142300468245083</v>
      </c>
      <c r="X76" s="184">
        <v>9.0864717547901735E-2</v>
      </c>
      <c r="Y76" s="184">
        <v>0.11528674962402229</v>
      </c>
      <c r="Z76" s="184">
        <v>0.11543692241118925</v>
      </c>
      <c r="AA76" s="184">
        <v>1.3395840532676175</v>
      </c>
      <c r="AB76" s="184">
        <v>2.0834614058102918</v>
      </c>
      <c r="AC76" s="184">
        <v>10.412672956611456</v>
      </c>
      <c r="AD76" s="184">
        <v>3.9713017102533166</v>
      </c>
      <c r="BB76" s="175">
        <v>111.58</v>
      </c>
      <c r="BC76" s="175">
        <v>114.87</v>
      </c>
      <c r="BD76" s="175">
        <v>115.73</v>
      </c>
      <c r="BE76" s="175">
        <v>108.61</v>
      </c>
      <c r="BF76" s="175">
        <v>109.5</v>
      </c>
      <c r="BG76" s="175">
        <v>108.45</v>
      </c>
      <c r="BH76" s="175">
        <v>117.06</v>
      </c>
      <c r="BI76" s="175">
        <v>118.35</v>
      </c>
      <c r="BJ76" s="175">
        <v>122.29</v>
      </c>
      <c r="BK76" s="175">
        <v>121.5</v>
      </c>
      <c r="BM76" s="184">
        <v>0.17888123718103374</v>
      </c>
      <c r="BN76" s="184">
        <v>0.39792278414950355</v>
      </c>
      <c r="BO76" s="184">
        <v>0.51142300468245083</v>
      </c>
      <c r="BP76" s="184">
        <v>9.0864717547901735E-2</v>
      </c>
      <c r="BQ76" s="184">
        <v>0.11528674962402229</v>
      </c>
      <c r="BR76" s="184">
        <v>0.11543692241118925</v>
      </c>
      <c r="BS76" s="184">
        <v>1.3395840532676175</v>
      </c>
      <c r="BT76" s="184">
        <v>2.0834614058102918</v>
      </c>
      <c r="BU76" s="184">
        <v>10.412672956611456</v>
      </c>
      <c r="BV76" s="184">
        <v>3.9713017102533166</v>
      </c>
    </row>
    <row r="77" spans="1:74" x14ac:dyDescent="0.25">
      <c r="A77" s="180">
        <v>42844</v>
      </c>
      <c r="B77" s="181">
        <v>0.5854166666666667</v>
      </c>
      <c r="C77" s="182">
        <v>116.99</v>
      </c>
      <c r="D77" s="182">
        <v>118.07</v>
      </c>
      <c r="E77" s="182">
        <v>123.2</v>
      </c>
      <c r="F77" s="182">
        <v>121.38</v>
      </c>
      <c r="H77" s="183">
        <v>119.9</v>
      </c>
      <c r="I77" s="184">
        <v>-2.9</v>
      </c>
      <c r="J77" s="184">
        <v>-1.8</v>
      </c>
      <c r="K77" s="184">
        <v>3.3</v>
      </c>
      <c r="L77" s="184">
        <v>1.5</v>
      </c>
      <c r="N77" s="182">
        <v>112.52</v>
      </c>
      <c r="O77" s="182">
        <v>115.6</v>
      </c>
      <c r="P77" s="182">
        <v>116.44</v>
      </c>
      <c r="Q77" s="182">
        <v>109.75999999999999</v>
      </c>
      <c r="R77" s="182">
        <v>110.34</v>
      </c>
      <c r="S77" s="182">
        <v>108.93</v>
      </c>
      <c r="U77" s="184">
        <v>0.24821902862462819</v>
      </c>
      <c r="V77" s="184">
        <v>0.53884193071272624</v>
      </c>
      <c r="W77" s="184">
        <v>0.68241272593930535</v>
      </c>
      <c r="X77" s="184">
        <v>0.12759041095575746</v>
      </c>
      <c r="Y77" s="184">
        <v>0.15725974894999223</v>
      </c>
      <c r="Z77" s="184">
        <v>0.1457737388906146</v>
      </c>
      <c r="AA77" s="184">
        <v>1.5336592362629418</v>
      </c>
      <c r="AB77" s="184">
        <v>2.3323299482997597</v>
      </c>
      <c r="AC77" s="184">
        <v>11.223578005290921</v>
      </c>
      <c r="AD77" s="184">
        <v>4.5045997708684453</v>
      </c>
      <c r="BB77" s="175">
        <v>112.52</v>
      </c>
      <c r="BC77" s="175">
        <v>115.6</v>
      </c>
      <c r="BD77" s="175">
        <v>116.44</v>
      </c>
      <c r="BE77" s="175">
        <v>109.75999999999999</v>
      </c>
      <c r="BF77" s="175">
        <v>110.34</v>
      </c>
      <c r="BG77" s="175">
        <v>108.93</v>
      </c>
      <c r="BH77" s="175">
        <v>116.99</v>
      </c>
      <c r="BI77" s="175">
        <v>118.07</v>
      </c>
      <c r="BJ77" s="175">
        <v>123.2</v>
      </c>
      <c r="BK77" s="175">
        <v>121.38</v>
      </c>
      <c r="BM77" s="184">
        <v>0.24821902862462819</v>
      </c>
      <c r="BN77" s="184">
        <v>0.53884193071272624</v>
      </c>
      <c r="BO77" s="184">
        <v>0.68241272593930535</v>
      </c>
      <c r="BP77" s="184">
        <v>0.12759041095575746</v>
      </c>
      <c r="BQ77" s="184">
        <v>0.15725974894999223</v>
      </c>
      <c r="BR77" s="184">
        <v>0.1457737388906146</v>
      </c>
      <c r="BS77" s="184">
        <v>1.5336592362629418</v>
      </c>
      <c r="BT77" s="184">
        <v>2.3323299482997597</v>
      </c>
      <c r="BU77" s="184">
        <v>11.223578005290921</v>
      </c>
      <c r="BV77" s="184">
        <v>4.5045997708684453</v>
      </c>
    </row>
    <row r="78" spans="1:74" x14ac:dyDescent="0.25">
      <c r="A78" s="180">
        <v>42844</v>
      </c>
      <c r="B78" s="181">
        <v>0.58576388888888886</v>
      </c>
      <c r="C78" s="182">
        <v>117.48</v>
      </c>
      <c r="D78" s="182">
        <v>118.73</v>
      </c>
      <c r="E78" s="182">
        <v>121.62</v>
      </c>
      <c r="F78" s="182">
        <v>121.72</v>
      </c>
      <c r="H78" s="183">
        <v>119.9</v>
      </c>
      <c r="I78" s="184">
        <v>-2.4</v>
      </c>
      <c r="J78" s="184">
        <v>-1.2</v>
      </c>
      <c r="K78" s="184">
        <v>1.7</v>
      </c>
      <c r="L78" s="184">
        <v>1.8</v>
      </c>
      <c r="N78" s="182">
        <v>113.49</v>
      </c>
      <c r="O78" s="182">
        <v>116.34</v>
      </c>
      <c r="P78" s="182">
        <v>117.16</v>
      </c>
      <c r="Q78" s="182">
        <v>110.92999999999999</v>
      </c>
      <c r="R78" s="182">
        <v>111.42</v>
      </c>
      <c r="S78" s="182">
        <v>109.79</v>
      </c>
      <c r="U78" s="184">
        <v>0.33490922851233512</v>
      </c>
      <c r="V78" s="184">
        <v>0.70593945072578368</v>
      </c>
      <c r="W78" s="184">
        <v>0.88423542242310793</v>
      </c>
      <c r="X78" s="184">
        <v>0.17567102487494066</v>
      </c>
      <c r="Y78" s="184">
        <v>0.21108300963148405</v>
      </c>
      <c r="Z78" s="184">
        <v>0.18275400264352656</v>
      </c>
      <c r="AA78" s="184">
        <v>1.7509143483487279</v>
      </c>
      <c r="AB78" s="184">
        <v>2.6220442965132009</v>
      </c>
      <c r="AC78" s="184">
        <v>11.787176733378677</v>
      </c>
      <c r="AD78" s="184">
        <v>5.0813263997789919</v>
      </c>
      <c r="BB78" s="175">
        <v>113.49</v>
      </c>
      <c r="BC78" s="175">
        <v>116.34</v>
      </c>
      <c r="BD78" s="175">
        <v>117.16</v>
      </c>
      <c r="BE78" s="175">
        <v>110.92999999999999</v>
      </c>
      <c r="BF78" s="175">
        <v>111.42</v>
      </c>
      <c r="BG78" s="175">
        <v>109.79</v>
      </c>
      <c r="BH78" s="175">
        <v>117.48</v>
      </c>
      <c r="BI78" s="175">
        <v>118.73</v>
      </c>
      <c r="BJ78" s="175">
        <v>121.62</v>
      </c>
      <c r="BK78" s="175">
        <v>121.72</v>
      </c>
      <c r="BM78" s="184">
        <v>0.33490922851233512</v>
      </c>
      <c r="BN78" s="184">
        <v>0.70593945072578368</v>
      </c>
      <c r="BO78" s="184">
        <v>0.88423542242310793</v>
      </c>
      <c r="BP78" s="184">
        <v>0.17567102487494066</v>
      </c>
      <c r="BQ78" s="184">
        <v>0.21108300963148405</v>
      </c>
      <c r="BR78" s="184">
        <v>0.18275400264352656</v>
      </c>
      <c r="BS78" s="184">
        <v>1.7509143483487279</v>
      </c>
      <c r="BT78" s="184">
        <v>2.6220442965132009</v>
      </c>
      <c r="BU78" s="184">
        <v>11.787176733378677</v>
      </c>
      <c r="BV78" s="184">
        <v>5.0813263997789919</v>
      </c>
    </row>
    <row r="79" spans="1:74" x14ac:dyDescent="0.25">
      <c r="A79" s="180">
        <v>42844</v>
      </c>
      <c r="B79" s="181">
        <v>0.58611111111111114</v>
      </c>
      <c r="C79" s="182">
        <v>117.85</v>
      </c>
      <c r="D79" s="182">
        <v>118.45</v>
      </c>
      <c r="E79" s="182">
        <v>123.04</v>
      </c>
      <c r="F79" s="182">
        <v>121.7</v>
      </c>
      <c r="H79" s="183">
        <v>120.3</v>
      </c>
      <c r="I79" s="184">
        <v>-2.5</v>
      </c>
      <c r="J79" s="184">
        <v>-1.8</v>
      </c>
      <c r="K79" s="184">
        <v>2.7</v>
      </c>
      <c r="L79" s="184">
        <v>1.4</v>
      </c>
      <c r="N79" s="182">
        <v>114.24</v>
      </c>
      <c r="O79" s="182">
        <v>116.89</v>
      </c>
      <c r="P79" s="182">
        <v>117.67</v>
      </c>
      <c r="Q79" s="182">
        <v>112.03999999999999</v>
      </c>
      <c r="R79" s="182">
        <v>112.36</v>
      </c>
      <c r="S79" s="182">
        <v>110.42</v>
      </c>
      <c r="U79" s="184">
        <v>0.43794072417583513</v>
      </c>
      <c r="V79" s="184">
        <v>0.89559694321262495</v>
      </c>
      <c r="W79" s="184">
        <v>1.11120623074821</v>
      </c>
      <c r="X79" s="184">
        <v>0.23775364025456117</v>
      </c>
      <c r="Y79" s="184">
        <v>0.27791278545880621</v>
      </c>
      <c r="Z79" s="184">
        <v>0.22550733828776082</v>
      </c>
      <c r="AA79" s="184">
        <v>1.9874899778294681</v>
      </c>
      <c r="AB79" s="184">
        <v>2.8936694622594179</v>
      </c>
      <c r="AC79" s="184">
        <v>12.568750554699157</v>
      </c>
      <c r="AD79" s="184">
        <v>5.6554032105274343</v>
      </c>
      <c r="BB79" s="175">
        <v>114.24</v>
      </c>
      <c r="BC79" s="175">
        <v>116.89</v>
      </c>
      <c r="BD79" s="175">
        <v>117.67</v>
      </c>
      <c r="BE79" s="175">
        <v>112.03999999999999</v>
      </c>
      <c r="BF79" s="175">
        <v>112.36</v>
      </c>
      <c r="BG79" s="175">
        <v>110.42</v>
      </c>
      <c r="BH79" s="175">
        <v>117.85</v>
      </c>
      <c r="BI79" s="175">
        <v>118.45</v>
      </c>
      <c r="BJ79" s="175">
        <v>123.04</v>
      </c>
      <c r="BK79" s="175">
        <v>121.7</v>
      </c>
      <c r="BM79" s="184">
        <v>0.43794072417583513</v>
      </c>
      <c r="BN79" s="184">
        <v>0.89559694321262495</v>
      </c>
      <c r="BO79" s="184">
        <v>1.11120623074821</v>
      </c>
      <c r="BP79" s="184">
        <v>0.23775364025456117</v>
      </c>
      <c r="BQ79" s="184">
        <v>0.27791278545880621</v>
      </c>
      <c r="BR79" s="184">
        <v>0.22550733828776082</v>
      </c>
      <c r="BS79" s="184">
        <v>1.9874899778294681</v>
      </c>
      <c r="BT79" s="184">
        <v>2.8936694622594179</v>
      </c>
      <c r="BU79" s="184">
        <v>12.568750554699157</v>
      </c>
      <c r="BV79" s="184">
        <v>5.6554032105274343</v>
      </c>
    </row>
    <row r="80" spans="1:74" x14ac:dyDescent="0.25">
      <c r="A80" s="180">
        <v>42844</v>
      </c>
      <c r="B80" s="181">
        <v>0.5864583333333333</v>
      </c>
      <c r="C80" s="182">
        <v>117.75</v>
      </c>
      <c r="D80" s="182">
        <v>118.99</v>
      </c>
      <c r="E80" s="182">
        <v>121.06</v>
      </c>
      <c r="F80" s="182">
        <v>121.81</v>
      </c>
      <c r="H80" s="183">
        <v>119.9</v>
      </c>
      <c r="I80" s="184">
        <v>-2.2000000000000002</v>
      </c>
      <c r="J80" s="184">
        <v>-0.9</v>
      </c>
      <c r="K80" s="184">
        <v>1.2</v>
      </c>
      <c r="L80" s="184">
        <v>1.9</v>
      </c>
      <c r="N80" s="182">
        <v>114.93</v>
      </c>
      <c r="O80" s="182">
        <v>117.39</v>
      </c>
      <c r="P80" s="182">
        <v>118.18</v>
      </c>
      <c r="Q80" s="182">
        <v>113.09</v>
      </c>
      <c r="R80" s="182">
        <v>113.26</v>
      </c>
      <c r="S80" s="182">
        <v>110.89</v>
      </c>
      <c r="U80" s="184">
        <v>0.55871376589808242</v>
      </c>
      <c r="V80" s="184">
        <v>1.1083961497794967</v>
      </c>
      <c r="W80" s="184">
        <v>1.3664587307359137</v>
      </c>
      <c r="X80" s="184">
        <v>0.31681604221808046</v>
      </c>
      <c r="Y80" s="184">
        <v>0.360131371619553</v>
      </c>
      <c r="Z80" s="184">
        <v>0.27314714648894345</v>
      </c>
      <c r="AA80" s="184">
        <v>2.2186804885290985</v>
      </c>
      <c r="AB80" s="184">
        <v>3.2012578986143518</v>
      </c>
      <c r="AC80" s="184">
        <v>13.064166527145542</v>
      </c>
      <c r="AD80" s="184">
        <v>6.2442061972878395</v>
      </c>
      <c r="BB80" s="175">
        <v>114.93</v>
      </c>
      <c r="BC80" s="175">
        <v>117.39</v>
      </c>
      <c r="BD80" s="175">
        <v>118.18</v>
      </c>
      <c r="BE80" s="175">
        <v>113.09</v>
      </c>
      <c r="BF80" s="175">
        <v>113.26</v>
      </c>
      <c r="BG80" s="175">
        <v>110.89</v>
      </c>
      <c r="BH80" s="175">
        <v>117.75</v>
      </c>
      <c r="BI80" s="175">
        <v>118.99</v>
      </c>
      <c r="BJ80" s="175">
        <v>121.06</v>
      </c>
      <c r="BK80" s="175">
        <v>121.81</v>
      </c>
      <c r="BM80" s="184">
        <v>0.55871376589808242</v>
      </c>
      <c r="BN80" s="184">
        <v>1.1083961497794967</v>
      </c>
      <c r="BO80" s="184">
        <v>1.3664587307359137</v>
      </c>
      <c r="BP80" s="184">
        <v>0.31681604221808046</v>
      </c>
      <c r="BQ80" s="184">
        <v>0.360131371619553</v>
      </c>
      <c r="BR80" s="184">
        <v>0.27314714648894345</v>
      </c>
      <c r="BS80" s="184">
        <v>2.2186804885290985</v>
      </c>
      <c r="BT80" s="184">
        <v>3.2012578986143518</v>
      </c>
      <c r="BU80" s="184">
        <v>13.064166527145542</v>
      </c>
      <c r="BV80" s="184">
        <v>6.2442061972878395</v>
      </c>
    </row>
    <row r="81" spans="1:74" x14ac:dyDescent="0.25">
      <c r="A81" s="180">
        <v>42844</v>
      </c>
      <c r="B81" s="181">
        <v>0.58680555555555558</v>
      </c>
      <c r="C81" s="182">
        <v>118.37</v>
      </c>
      <c r="D81" s="182">
        <v>118.9</v>
      </c>
      <c r="E81" s="182">
        <v>123.12</v>
      </c>
      <c r="F81" s="182">
        <v>121.91</v>
      </c>
      <c r="H81" s="183">
        <v>120.6</v>
      </c>
      <c r="I81" s="184">
        <v>-2.2000000000000002</v>
      </c>
      <c r="J81" s="184">
        <v>-1.7</v>
      </c>
      <c r="K81" s="184">
        <v>2.5</v>
      </c>
      <c r="L81" s="184">
        <v>1.3</v>
      </c>
      <c r="N81" s="182">
        <v>115.55</v>
      </c>
      <c r="O81" s="182">
        <v>117.81</v>
      </c>
      <c r="P81" s="182">
        <v>118.57</v>
      </c>
      <c r="Q81" s="182">
        <v>114.06</v>
      </c>
      <c r="R81" s="182">
        <v>114.15</v>
      </c>
      <c r="S81" s="182">
        <v>111.59</v>
      </c>
      <c r="U81" s="184">
        <v>0.69801982432957099</v>
      </c>
      <c r="V81" s="184">
        <v>1.3428028408521298</v>
      </c>
      <c r="W81" s="184">
        <v>1.6456938281043292</v>
      </c>
      <c r="X81" s="184">
        <v>0.41566452422367367</v>
      </c>
      <c r="Y81" s="184">
        <v>0.46104968980363131</v>
      </c>
      <c r="Z81" s="184">
        <v>0.32911904066230113</v>
      </c>
      <c r="AA81" s="184">
        <v>2.4853479362729098</v>
      </c>
      <c r="AB81" s="184">
        <v>3.5025376916515314</v>
      </c>
      <c r="AC81" s="184">
        <v>13.860270890671128</v>
      </c>
      <c r="AD81" s="184">
        <v>6.8467241674737389</v>
      </c>
      <c r="BB81" s="175">
        <v>115.55</v>
      </c>
      <c r="BC81" s="175">
        <v>117.81</v>
      </c>
      <c r="BD81" s="175">
        <v>118.57</v>
      </c>
      <c r="BE81" s="175">
        <v>114.06</v>
      </c>
      <c r="BF81" s="175">
        <v>114.15</v>
      </c>
      <c r="BG81" s="175">
        <v>111.59</v>
      </c>
      <c r="BH81" s="175">
        <v>118.37</v>
      </c>
      <c r="BI81" s="175">
        <v>118.9</v>
      </c>
      <c r="BJ81" s="175">
        <v>123.12</v>
      </c>
      <c r="BK81" s="175">
        <v>121.91</v>
      </c>
      <c r="BM81" s="184">
        <v>0.69801982432957099</v>
      </c>
      <c r="BN81" s="184">
        <v>1.3428028408521298</v>
      </c>
      <c r="BO81" s="184">
        <v>1.6456938281043292</v>
      </c>
      <c r="BP81" s="184">
        <v>0.41566452422367367</v>
      </c>
      <c r="BQ81" s="184">
        <v>0.46104968980363131</v>
      </c>
      <c r="BR81" s="184">
        <v>0.32911904066230113</v>
      </c>
      <c r="BS81" s="184">
        <v>2.4853479362729098</v>
      </c>
      <c r="BT81" s="184">
        <v>3.5025376916515314</v>
      </c>
      <c r="BU81" s="184">
        <v>13.860270890671128</v>
      </c>
      <c r="BV81" s="184">
        <v>6.8467241674737389</v>
      </c>
    </row>
    <row r="82" spans="1:74" x14ac:dyDescent="0.25">
      <c r="A82" s="180">
        <v>42844</v>
      </c>
      <c r="B82" s="181">
        <v>0.58715277777777775</v>
      </c>
      <c r="C82" s="182">
        <v>117.9</v>
      </c>
      <c r="D82" s="182">
        <v>119.06</v>
      </c>
      <c r="E82" s="182">
        <v>121.39</v>
      </c>
      <c r="F82" s="182">
        <v>121.83</v>
      </c>
      <c r="H82" s="183">
        <v>120</v>
      </c>
      <c r="I82" s="184">
        <v>-2.1</v>
      </c>
      <c r="J82" s="184">
        <v>-0.9</v>
      </c>
      <c r="K82" s="184">
        <v>1.4</v>
      </c>
      <c r="L82" s="184">
        <v>1.8</v>
      </c>
      <c r="N82" s="182">
        <v>116.04</v>
      </c>
      <c r="O82" s="182">
        <v>118.12</v>
      </c>
      <c r="P82" s="182">
        <v>118.9</v>
      </c>
      <c r="Q82" s="182">
        <v>115.41</v>
      </c>
      <c r="R82" s="182">
        <v>116.23</v>
      </c>
      <c r="S82" s="182">
        <v>111.82</v>
      </c>
      <c r="U82" s="184">
        <v>0.85396430353426833</v>
      </c>
      <c r="V82" s="184">
        <v>1.5945531452460826</v>
      </c>
      <c r="W82" s="184">
        <v>1.9469736211415087</v>
      </c>
      <c r="X82" s="184">
        <v>0.55055149584591978</v>
      </c>
      <c r="Y82" s="184">
        <v>0.62396804030463604</v>
      </c>
      <c r="Z82" s="184">
        <v>0.3881350724448876</v>
      </c>
      <c r="AA82" s="184">
        <v>2.7246629824342294</v>
      </c>
      <c r="AB82" s="184">
        <v>3.8151240380393747</v>
      </c>
      <c r="AC82" s="184">
        <v>14.394798330282457</v>
      </c>
      <c r="AD82" s="184">
        <v>7.4382449453363222</v>
      </c>
      <c r="BB82" s="175">
        <v>116.04</v>
      </c>
      <c r="BC82" s="175">
        <v>118.12</v>
      </c>
      <c r="BD82" s="175">
        <v>118.9</v>
      </c>
      <c r="BE82" s="175">
        <v>115.41</v>
      </c>
      <c r="BF82" s="175">
        <v>116.23</v>
      </c>
      <c r="BG82" s="175">
        <v>111.82</v>
      </c>
      <c r="BH82" s="175">
        <v>117.9</v>
      </c>
      <c r="BI82" s="175">
        <v>119.06</v>
      </c>
      <c r="BJ82" s="175">
        <v>121.39</v>
      </c>
      <c r="BK82" s="175">
        <v>121.83</v>
      </c>
      <c r="BM82" s="184">
        <v>0.85396430353426833</v>
      </c>
      <c r="BN82" s="184">
        <v>1.5945531452460826</v>
      </c>
      <c r="BO82" s="184">
        <v>1.9469736211415087</v>
      </c>
      <c r="BP82" s="184">
        <v>0.55055149584591978</v>
      </c>
      <c r="BQ82" s="184">
        <v>0.62396804030463604</v>
      </c>
      <c r="BR82" s="184">
        <v>0.3881350724448876</v>
      </c>
      <c r="BS82" s="184">
        <v>2.7246629824342294</v>
      </c>
      <c r="BT82" s="184">
        <v>3.8151240380393747</v>
      </c>
      <c r="BU82" s="184">
        <v>14.394798330282457</v>
      </c>
      <c r="BV82" s="184">
        <v>7.4382449453363222</v>
      </c>
    </row>
    <row r="83" spans="1:74" x14ac:dyDescent="0.25">
      <c r="A83" s="180">
        <v>42844</v>
      </c>
      <c r="B83" s="181">
        <v>0.58750000000000002</v>
      </c>
      <c r="C83" s="182">
        <v>118.78</v>
      </c>
      <c r="D83" s="182">
        <v>119.3</v>
      </c>
      <c r="E83" s="182">
        <v>122.73</v>
      </c>
      <c r="F83" s="182">
        <v>122.06</v>
      </c>
      <c r="H83" s="183">
        <v>120.7</v>
      </c>
      <c r="I83" s="184">
        <v>-1.9</v>
      </c>
      <c r="J83" s="184">
        <v>-1.4</v>
      </c>
      <c r="K83" s="184">
        <v>2</v>
      </c>
      <c r="L83" s="184">
        <v>1.4</v>
      </c>
      <c r="N83" s="182">
        <v>116.57</v>
      </c>
      <c r="O83" s="182">
        <v>118.48</v>
      </c>
      <c r="P83" s="182">
        <v>119.22</v>
      </c>
      <c r="Q83" s="182">
        <v>116.61</v>
      </c>
      <c r="R83" s="182">
        <v>117.22</v>
      </c>
      <c r="S83" s="182">
        <v>112.62</v>
      </c>
      <c r="U83" s="184">
        <v>1.0301497390555119</v>
      </c>
      <c r="V83" s="184">
        <v>1.8680611266930689</v>
      </c>
      <c r="W83" s="184">
        <v>2.271290837915628</v>
      </c>
      <c r="X83" s="184">
        <v>0.72836715513041261</v>
      </c>
      <c r="Y83" s="184">
        <v>0.82859837016964166</v>
      </c>
      <c r="Z83" s="184">
        <v>0.45908794852934237</v>
      </c>
      <c r="AA83" s="184">
        <v>3.0177320646912444</v>
      </c>
      <c r="AB83" s="184">
        <v>4.145470762043173</v>
      </c>
      <c r="AC83" s="184">
        <v>15.122527870573442</v>
      </c>
      <c r="AD83" s="184">
        <v>8.0619367024577944</v>
      </c>
      <c r="BB83" s="175">
        <v>116.57</v>
      </c>
      <c r="BC83" s="175">
        <v>118.48</v>
      </c>
      <c r="BD83" s="175">
        <v>119.22</v>
      </c>
      <c r="BE83" s="175">
        <v>116.61</v>
      </c>
      <c r="BF83" s="175">
        <v>117.22</v>
      </c>
      <c r="BG83" s="175">
        <v>112.62</v>
      </c>
      <c r="BH83" s="175">
        <v>118.78</v>
      </c>
      <c r="BI83" s="175">
        <v>119.3</v>
      </c>
      <c r="BJ83" s="175">
        <v>122.73</v>
      </c>
      <c r="BK83" s="175">
        <v>122.06</v>
      </c>
      <c r="BM83" s="184">
        <v>1.0301497390555119</v>
      </c>
      <c r="BN83" s="184">
        <v>1.8680611266930689</v>
      </c>
      <c r="BO83" s="184">
        <v>2.271290837915628</v>
      </c>
      <c r="BP83" s="184">
        <v>0.72836715513041261</v>
      </c>
      <c r="BQ83" s="184">
        <v>0.82859837016964166</v>
      </c>
      <c r="BR83" s="184">
        <v>0.45908794852934237</v>
      </c>
      <c r="BS83" s="184">
        <v>3.0177320646912444</v>
      </c>
      <c r="BT83" s="184">
        <v>4.145470762043173</v>
      </c>
      <c r="BU83" s="184">
        <v>15.122527870573442</v>
      </c>
      <c r="BV83" s="184">
        <v>8.0619367024577944</v>
      </c>
    </row>
    <row r="84" spans="1:74" x14ac:dyDescent="0.25">
      <c r="A84" s="180">
        <v>42844</v>
      </c>
      <c r="B84" s="181">
        <v>0.58784722222222219</v>
      </c>
      <c r="C84" s="182">
        <v>118.33</v>
      </c>
      <c r="D84" s="182">
        <v>119.2</v>
      </c>
      <c r="E84" s="182">
        <v>122.29</v>
      </c>
      <c r="F84" s="182">
        <v>121.85</v>
      </c>
      <c r="H84" s="183">
        <v>120.4</v>
      </c>
      <c r="I84" s="184">
        <v>-2.1</v>
      </c>
      <c r="J84" s="184">
        <v>-1.2</v>
      </c>
      <c r="K84" s="184">
        <v>1.9</v>
      </c>
      <c r="L84" s="184">
        <v>1.4</v>
      </c>
      <c r="N84" s="182">
        <v>116.91</v>
      </c>
      <c r="O84" s="182">
        <v>118.66</v>
      </c>
      <c r="P84" s="182">
        <v>119.42</v>
      </c>
      <c r="Q84" s="182">
        <v>117.21</v>
      </c>
      <c r="R84" s="182">
        <v>117.77</v>
      </c>
      <c r="S84" s="182">
        <v>112.76</v>
      </c>
      <c r="U84" s="184">
        <v>1.2206826507523985</v>
      </c>
      <c r="V84" s="184">
        <v>2.153143262833443</v>
      </c>
      <c r="W84" s="184">
        <v>2.6108926542242208</v>
      </c>
      <c r="X84" s="184">
        <v>0.93252684829675858</v>
      </c>
      <c r="Y84" s="184">
        <v>1.0608560077810165</v>
      </c>
      <c r="Z84" s="184">
        <v>0.53236534057713814</v>
      </c>
      <c r="AA84" s="184">
        <v>3.2819546905788348</v>
      </c>
      <c r="AB84" s="184">
        <v>4.4682978765605013</v>
      </c>
      <c r="AC84" s="184">
        <v>15.780140286669564</v>
      </c>
      <c r="AD84" s="184">
        <v>8.6561878161763044</v>
      </c>
      <c r="BB84" s="175">
        <v>116.91</v>
      </c>
      <c r="BC84" s="175">
        <v>118.66</v>
      </c>
      <c r="BD84" s="175">
        <v>119.42</v>
      </c>
      <c r="BE84" s="175">
        <v>117.21</v>
      </c>
      <c r="BF84" s="175">
        <v>117.77</v>
      </c>
      <c r="BG84" s="175">
        <v>112.76</v>
      </c>
      <c r="BH84" s="175">
        <v>118.33</v>
      </c>
      <c r="BI84" s="175">
        <v>119.2</v>
      </c>
      <c r="BJ84" s="175">
        <v>122.29</v>
      </c>
      <c r="BK84" s="175">
        <v>121.85</v>
      </c>
      <c r="BM84" s="184">
        <v>1.2206826507523985</v>
      </c>
      <c r="BN84" s="184">
        <v>2.153143262833443</v>
      </c>
      <c r="BO84" s="184">
        <v>2.6108926542242208</v>
      </c>
      <c r="BP84" s="184">
        <v>0.93252684829675858</v>
      </c>
      <c r="BQ84" s="184">
        <v>1.0608560077810165</v>
      </c>
      <c r="BR84" s="184">
        <v>0.53236534057713814</v>
      </c>
      <c r="BS84" s="184">
        <v>3.2819546905788348</v>
      </c>
      <c r="BT84" s="184">
        <v>4.4682978765605013</v>
      </c>
      <c r="BU84" s="184">
        <v>15.780140286669564</v>
      </c>
      <c r="BV84" s="184">
        <v>8.6561878161763044</v>
      </c>
    </row>
    <row r="85" spans="1:74" x14ac:dyDescent="0.25">
      <c r="A85" s="180">
        <v>42844</v>
      </c>
      <c r="B85" s="181">
        <v>0.58819444444444446</v>
      </c>
      <c r="C85" s="182">
        <v>119.05</v>
      </c>
      <c r="D85" s="182">
        <v>119.65</v>
      </c>
      <c r="E85" s="182">
        <v>122.74</v>
      </c>
      <c r="F85" s="182">
        <v>122.13</v>
      </c>
      <c r="H85" s="183">
        <v>120.9</v>
      </c>
      <c r="I85" s="184">
        <v>-1.9</v>
      </c>
      <c r="J85" s="184">
        <v>-1.3</v>
      </c>
      <c r="K85" s="184">
        <v>1.8</v>
      </c>
      <c r="L85" s="184">
        <v>1.2</v>
      </c>
      <c r="N85" s="182">
        <v>117.35</v>
      </c>
      <c r="O85" s="182">
        <v>118.95</v>
      </c>
      <c r="P85" s="182">
        <v>119.71</v>
      </c>
      <c r="Q85" s="182">
        <v>117.78</v>
      </c>
      <c r="R85" s="182">
        <v>118.25</v>
      </c>
      <c r="S85" s="182">
        <v>113.55</v>
      </c>
      <c r="U85" s="184">
        <v>1.4315309024666896</v>
      </c>
      <c r="V85" s="184">
        <v>2.4579117114535283</v>
      </c>
      <c r="W85" s="184">
        <v>2.9739456329417981</v>
      </c>
      <c r="X85" s="184">
        <v>1.1653198950582384</v>
      </c>
      <c r="Y85" s="184">
        <v>1.3202560272454975</v>
      </c>
      <c r="Z85" s="184">
        <v>0.62026152127507284</v>
      </c>
      <c r="AA85" s="184">
        <v>3.5938221083200448</v>
      </c>
      <c r="AB85" s="184">
        <v>4.8263695816669534</v>
      </c>
      <c r="AC85" s="184">
        <v>16.509547416807237</v>
      </c>
      <c r="AD85" s="184">
        <v>9.2900137491052277</v>
      </c>
      <c r="BB85" s="175">
        <v>117.35</v>
      </c>
      <c r="BC85" s="175">
        <v>118.95</v>
      </c>
      <c r="BD85" s="175">
        <v>119.71</v>
      </c>
      <c r="BE85" s="175">
        <v>117.78</v>
      </c>
      <c r="BF85" s="175">
        <v>118.25</v>
      </c>
      <c r="BG85" s="175">
        <v>113.55</v>
      </c>
      <c r="BH85" s="175">
        <v>119.05</v>
      </c>
      <c r="BI85" s="175">
        <v>119.65</v>
      </c>
      <c r="BJ85" s="175">
        <v>122.74</v>
      </c>
      <c r="BK85" s="175">
        <v>122.13</v>
      </c>
      <c r="BM85" s="184">
        <v>1.4315309024666896</v>
      </c>
      <c r="BN85" s="184">
        <v>2.4579117114535283</v>
      </c>
      <c r="BO85" s="184">
        <v>2.9739456329417981</v>
      </c>
      <c r="BP85" s="184">
        <v>1.1653198950582384</v>
      </c>
      <c r="BQ85" s="184">
        <v>1.3202560272454975</v>
      </c>
      <c r="BR85" s="184">
        <v>0.62026152127507284</v>
      </c>
      <c r="BS85" s="184">
        <v>3.5938221083200448</v>
      </c>
      <c r="BT85" s="184">
        <v>4.8263695816669534</v>
      </c>
      <c r="BU85" s="184">
        <v>16.509547416807237</v>
      </c>
      <c r="BV85" s="184">
        <v>9.2900137491052277</v>
      </c>
    </row>
    <row r="86" spans="1:74" x14ac:dyDescent="0.25">
      <c r="A86" s="180">
        <v>42844</v>
      </c>
      <c r="B86" s="181">
        <v>0.58854166666666663</v>
      </c>
      <c r="C86" s="182">
        <v>118.73</v>
      </c>
      <c r="D86" s="182">
        <v>119.4</v>
      </c>
      <c r="E86" s="182">
        <v>122.75</v>
      </c>
      <c r="F86" s="182">
        <v>121.9</v>
      </c>
      <c r="H86" s="183">
        <v>120.7</v>
      </c>
      <c r="I86" s="184">
        <v>-2</v>
      </c>
      <c r="J86" s="184">
        <v>-1.3</v>
      </c>
      <c r="K86" s="184">
        <v>2.1</v>
      </c>
      <c r="L86" s="184">
        <v>1.2</v>
      </c>
      <c r="N86" s="182">
        <v>117.61</v>
      </c>
      <c r="O86" s="182">
        <v>119.08</v>
      </c>
      <c r="P86" s="182">
        <v>119.85</v>
      </c>
      <c r="Q86" s="182">
        <v>118.17999999999999</v>
      </c>
      <c r="R86" s="182">
        <v>118.59</v>
      </c>
      <c r="S86" s="182">
        <v>113.72</v>
      </c>
      <c r="U86" s="184">
        <v>1.6553875545548711</v>
      </c>
      <c r="V86" s="184">
        <v>2.7719408908601877</v>
      </c>
      <c r="W86" s="184">
        <v>3.348892737608026</v>
      </c>
      <c r="X86" s="184">
        <v>1.4205723950459415</v>
      </c>
      <c r="Y86" s="184">
        <v>1.6007800152617333</v>
      </c>
      <c r="Z86" s="184">
        <v>0.71166653208221009</v>
      </c>
      <c r="AA86" s="184">
        <v>3.883536456533486</v>
      </c>
      <c r="AB86" s="184">
        <v>5.164411069362945</v>
      </c>
      <c r="AC86" s="184">
        <v>17.240636004035597</v>
      </c>
      <c r="AD86" s="184">
        <v>9.8911459664139354</v>
      </c>
      <c r="BB86" s="175">
        <v>117.61</v>
      </c>
      <c r="BC86" s="175">
        <v>119.08</v>
      </c>
      <c r="BD86" s="175">
        <v>119.85</v>
      </c>
      <c r="BE86" s="175">
        <v>118.17999999999999</v>
      </c>
      <c r="BF86" s="175">
        <v>118.59</v>
      </c>
      <c r="BG86" s="175">
        <v>113.72</v>
      </c>
      <c r="BH86" s="175">
        <v>118.73</v>
      </c>
      <c r="BI86" s="175">
        <v>119.4</v>
      </c>
      <c r="BJ86" s="175">
        <v>122.75</v>
      </c>
      <c r="BK86" s="175">
        <v>121.9</v>
      </c>
      <c r="BM86" s="184">
        <v>1.6553875545548711</v>
      </c>
      <c r="BN86" s="184">
        <v>2.7719408908601877</v>
      </c>
      <c r="BO86" s="184">
        <v>3.348892737608026</v>
      </c>
      <c r="BP86" s="184">
        <v>1.4205723950459415</v>
      </c>
      <c r="BQ86" s="184">
        <v>1.6007800152617333</v>
      </c>
      <c r="BR86" s="184">
        <v>0.71166653208221009</v>
      </c>
      <c r="BS86" s="184">
        <v>3.883536456533486</v>
      </c>
      <c r="BT86" s="184">
        <v>5.164411069362945</v>
      </c>
      <c r="BU86" s="184">
        <v>17.240636004035597</v>
      </c>
      <c r="BV86" s="184">
        <v>9.8911459664139354</v>
      </c>
    </row>
    <row r="87" spans="1:74" x14ac:dyDescent="0.25">
      <c r="A87" s="180">
        <v>42844</v>
      </c>
      <c r="B87" s="181">
        <v>0.58888888888888891</v>
      </c>
      <c r="C87" s="182">
        <v>119.14</v>
      </c>
      <c r="D87" s="182">
        <v>119.88</v>
      </c>
      <c r="E87" s="182">
        <v>122.28</v>
      </c>
      <c r="F87" s="182">
        <v>122.11</v>
      </c>
      <c r="H87" s="183">
        <v>120.9</v>
      </c>
      <c r="I87" s="184">
        <v>-1.8</v>
      </c>
      <c r="J87" s="184">
        <v>-1</v>
      </c>
      <c r="K87" s="184">
        <v>1.4</v>
      </c>
      <c r="L87" s="184">
        <v>1.2</v>
      </c>
      <c r="N87" s="182">
        <v>117.95</v>
      </c>
      <c r="O87" s="182">
        <v>119.31</v>
      </c>
      <c r="P87" s="182">
        <v>120.05</v>
      </c>
      <c r="Q87" s="182">
        <v>118.58</v>
      </c>
      <c r="R87" s="182">
        <v>118.93</v>
      </c>
      <c r="S87" s="182">
        <v>114.33</v>
      </c>
      <c r="U87" s="184">
        <v>1.8974737383469211</v>
      </c>
      <c r="V87" s="184">
        <v>3.1030491427110691</v>
      </c>
      <c r="W87" s="184">
        <v>3.7415105549130621</v>
      </c>
      <c r="X87" s="184">
        <v>1.7004511957934967</v>
      </c>
      <c r="Y87" s="184">
        <v>1.9041481800559867</v>
      </c>
      <c r="Z87" s="184">
        <v>0.81685545407053395</v>
      </c>
      <c r="AA87" s="184">
        <v>4.2019342169874445</v>
      </c>
      <c r="AB87" s="184">
        <v>5.5419571831956622</v>
      </c>
      <c r="AC87" s="184">
        <v>17.8967359535452</v>
      </c>
      <c r="AD87" s="184">
        <v>10.522059733709272</v>
      </c>
      <c r="BB87" s="175">
        <v>117.95</v>
      </c>
      <c r="BC87" s="175">
        <v>119.31</v>
      </c>
      <c r="BD87" s="175">
        <v>120.05</v>
      </c>
      <c r="BE87" s="175">
        <v>118.58</v>
      </c>
      <c r="BF87" s="175">
        <v>118.93</v>
      </c>
      <c r="BG87" s="175">
        <v>114.33</v>
      </c>
      <c r="BH87" s="175">
        <v>119.14</v>
      </c>
      <c r="BI87" s="175">
        <v>119.88</v>
      </c>
      <c r="BJ87" s="175">
        <v>122.28</v>
      </c>
      <c r="BK87" s="175">
        <v>122.11</v>
      </c>
      <c r="BM87" s="184">
        <v>1.8974737383469211</v>
      </c>
      <c r="BN87" s="184">
        <v>3.1030491427110691</v>
      </c>
      <c r="BO87" s="184">
        <v>3.7415105549130621</v>
      </c>
      <c r="BP87" s="184">
        <v>1.7004511957934967</v>
      </c>
      <c r="BQ87" s="184">
        <v>1.9041481800559867</v>
      </c>
      <c r="BR87" s="184">
        <v>0.81685545407053395</v>
      </c>
      <c r="BS87" s="184">
        <v>4.2019342169874445</v>
      </c>
      <c r="BT87" s="184">
        <v>5.5419571831956622</v>
      </c>
      <c r="BU87" s="184">
        <v>17.8967359535452</v>
      </c>
      <c r="BV87" s="184">
        <v>10.522059733709272</v>
      </c>
    </row>
    <row r="88" spans="1:74" x14ac:dyDescent="0.25">
      <c r="A88" s="180">
        <v>42844</v>
      </c>
      <c r="B88" s="181">
        <v>0.58923611111111118</v>
      </c>
      <c r="C88" s="182">
        <v>119.22</v>
      </c>
      <c r="D88" s="182">
        <v>119.63</v>
      </c>
      <c r="E88" s="182">
        <v>123.41</v>
      </c>
      <c r="F88" s="182">
        <v>121.99</v>
      </c>
      <c r="H88" s="183">
        <v>121.1</v>
      </c>
      <c r="I88" s="184">
        <v>-1.9</v>
      </c>
      <c r="J88" s="184">
        <v>-1.5</v>
      </c>
      <c r="K88" s="184">
        <v>2.2999999999999998</v>
      </c>
      <c r="L88" s="184">
        <v>0.9</v>
      </c>
      <c r="N88" s="182">
        <v>118.17</v>
      </c>
      <c r="O88" s="182">
        <v>119.42</v>
      </c>
      <c r="P88" s="182">
        <v>120.14</v>
      </c>
      <c r="Q88" s="182">
        <v>118.86</v>
      </c>
      <c r="R88" s="182">
        <v>119.16</v>
      </c>
      <c r="S88" s="182">
        <v>114.66</v>
      </c>
      <c r="U88" s="184">
        <v>2.1521391738755193</v>
      </c>
      <c r="V88" s="184">
        <v>3.4426509590196619</v>
      </c>
      <c r="W88" s="184">
        <v>4.142349586606902</v>
      </c>
      <c r="X88" s="184">
        <v>1.9989688390854154</v>
      </c>
      <c r="Y88" s="184">
        <v>2.2240155977973108</v>
      </c>
      <c r="Z88" s="184">
        <v>0.93034869666472508</v>
      </c>
      <c r="AA88" s="184">
        <v>4.5262514337615638</v>
      </c>
      <c r="AB88" s="184">
        <v>5.8983836982589217</v>
      </c>
      <c r="AC88" s="184">
        <v>18.747815207742676</v>
      </c>
      <c r="AD88" s="184">
        <v>11.135779349288475</v>
      </c>
      <c r="BB88" s="175">
        <v>118.17</v>
      </c>
      <c r="BC88" s="175">
        <v>119.42</v>
      </c>
      <c r="BD88" s="175">
        <v>120.14</v>
      </c>
      <c r="BE88" s="175">
        <v>118.86</v>
      </c>
      <c r="BF88" s="175">
        <v>119.16</v>
      </c>
      <c r="BG88" s="175">
        <v>114.66</v>
      </c>
      <c r="BH88" s="175">
        <v>119.22</v>
      </c>
      <c r="BI88" s="175">
        <v>119.63</v>
      </c>
      <c r="BJ88" s="175">
        <v>123.41</v>
      </c>
      <c r="BK88" s="175">
        <v>121.99</v>
      </c>
      <c r="BM88" s="184">
        <v>2.1521391738755193</v>
      </c>
      <c r="BN88" s="184">
        <v>3.4426509590196619</v>
      </c>
      <c r="BO88" s="184">
        <v>4.142349586606902</v>
      </c>
      <c r="BP88" s="184">
        <v>1.9989688390854154</v>
      </c>
      <c r="BQ88" s="184">
        <v>2.2240155977973108</v>
      </c>
      <c r="BR88" s="184">
        <v>0.93034869666472508</v>
      </c>
      <c r="BS88" s="184">
        <v>4.5262514337615638</v>
      </c>
      <c r="BT88" s="184">
        <v>5.8983836982589217</v>
      </c>
      <c r="BU88" s="184">
        <v>18.747815207742676</v>
      </c>
      <c r="BV88" s="184">
        <v>11.135779349288475</v>
      </c>
    </row>
    <row r="89" spans="1:74" x14ac:dyDescent="0.25">
      <c r="A89" s="180">
        <v>42844</v>
      </c>
      <c r="B89" s="181">
        <v>0.58958333333333335</v>
      </c>
      <c r="C89" s="182">
        <v>119.21</v>
      </c>
      <c r="D89" s="182">
        <v>120.05</v>
      </c>
      <c r="E89" s="182">
        <v>121.63</v>
      </c>
      <c r="F89" s="182">
        <v>122.08</v>
      </c>
      <c r="H89" s="183">
        <v>120.7</v>
      </c>
      <c r="I89" s="184">
        <v>-1.5</v>
      </c>
      <c r="J89" s="184">
        <v>-0.7</v>
      </c>
      <c r="K89" s="184">
        <v>0.9</v>
      </c>
      <c r="L89" s="184">
        <v>1.4</v>
      </c>
      <c r="N89" s="182">
        <v>118.42</v>
      </c>
      <c r="O89" s="182">
        <v>119.56</v>
      </c>
      <c r="P89" s="182">
        <v>120.3</v>
      </c>
      <c r="Q89" s="182">
        <v>119.14999999999999</v>
      </c>
      <c r="R89" s="182">
        <v>119.43</v>
      </c>
      <c r="S89" s="182">
        <v>115.04</v>
      </c>
      <c r="U89" s="184">
        <v>2.4218944851330835</v>
      </c>
      <c r="V89" s="184">
        <v>3.7933786082296481</v>
      </c>
      <c r="W89" s="184">
        <v>4.558231472158238</v>
      </c>
      <c r="X89" s="184">
        <v>2.3181005821806897</v>
      </c>
      <c r="Y89" s="184">
        <v>2.5644002771441827</v>
      </c>
      <c r="Z89" s="184">
        <v>1.0542197995463898</v>
      </c>
      <c r="AA89" s="184">
        <v>4.8498227416358555</v>
      </c>
      <c r="AB89" s="184">
        <v>6.2910015155639574</v>
      </c>
      <c r="AC89" s="184">
        <v>19.312713165079074</v>
      </c>
      <c r="AD89" s="184">
        <v>11.762349936759183</v>
      </c>
      <c r="BB89" s="175">
        <v>118.42</v>
      </c>
      <c r="BC89" s="175">
        <v>119.56</v>
      </c>
      <c r="BD89" s="175">
        <v>120.3</v>
      </c>
      <c r="BE89" s="175">
        <v>119.14999999999999</v>
      </c>
      <c r="BF89" s="175">
        <v>119.43</v>
      </c>
      <c r="BG89" s="175">
        <v>115.04</v>
      </c>
      <c r="BH89" s="175">
        <v>119.21</v>
      </c>
      <c r="BI89" s="175">
        <v>120.05</v>
      </c>
      <c r="BJ89" s="175">
        <v>121.63</v>
      </c>
      <c r="BK89" s="175">
        <v>122.08</v>
      </c>
      <c r="BM89" s="184">
        <v>2.4218944851330835</v>
      </c>
      <c r="BN89" s="184">
        <v>3.7933786082296481</v>
      </c>
      <c r="BO89" s="184">
        <v>4.558231472158238</v>
      </c>
      <c r="BP89" s="184">
        <v>2.3181005821806897</v>
      </c>
      <c r="BQ89" s="184">
        <v>2.5644002771441827</v>
      </c>
      <c r="BR89" s="184">
        <v>1.0542197995463898</v>
      </c>
      <c r="BS89" s="184">
        <v>4.8498227416358555</v>
      </c>
      <c r="BT89" s="184">
        <v>6.2910015155639574</v>
      </c>
      <c r="BU89" s="184">
        <v>19.312713165079074</v>
      </c>
      <c r="BV89" s="184">
        <v>11.762349936759183</v>
      </c>
    </row>
    <row r="90" spans="1:74" x14ac:dyDescent="0.25">
      <c r="A90" s="180">
        <v>42844</v>
      </c>
      <c r="B90" s="181">
        <v>0.58993055555555551</v>
      </c>
      <c r="C90" s="182">
        <v>119.58</v>
      </c>
      <c r="D90" s="182">
        <v>119.91</v>
      </c>
      <c r="E90" s="182">
        <v>123.63</v>
      </c>
      <c r="F90" s="182">
        <v>122.09</v>
      </c>
      <c r="H90" s="183">
        <v>121.3</v>
      </c>
      <c r="I90" s="184">
        <v>-1.7</v>
      </c>
      <c r="J90" s="184">
        <v>-1.4</v>
      </c>
      <c r="K90" s="184">
        <v>2.2999999999999998</v>
      </c>
      <c r="L90" s="184">
        <v>0.8</v>
      </c>
      <c r="N90" s="182">
        <v>118.63</v>
      </c>
      <c r="O90" s="182">
        <v>119.68</v>
      </c>
      <c r="P90" s="182">
        <v>120.39</v>
      </c>
      <c r="Q90" s="182">
        <v>119.39999999999999</v>
      </c>
      <c r="R90" s="182">
        <v>119.6</v>
      </c>
      <c r="S90" s="182">
        <v>115.51</v>
      </c>
      <c r="U90" s="184">
        <v>2.7050141296522101</v>
      </c>
      <c r="V90" s="184">
        <v>4.1539323478210992</v>
      </c>
      <c r="W90" s="184">
        <v>4.9828217096763954</v>
      </c>
      <c r="X90" s="184">
        <v>2.6561420698766804</v>
      </c>
      <c r="Y90" s="184">
        <v>2.9183731693362516</v>
      </c>
      <c r="Z90" s="184">
        <v>1.1922486923574074</v>
      </c>
      <c r="AA90" s="184">
        <v>5.2021692761194291</v>
      </c>
      <c r="AB90" s="184">
        <v>6.6711646540340483</v>
      </c>
      <c r="AC90" s="184">
        <v>20.20801609209672</v>
      </c>
      <c r="AD90" s="184">
        <v>12.390364918606622</v>
      </c>
      <c r="BB90" s="175">
        <v>118.63</v>
      </c>
      <c r="BC90" s="175">
        <v>119.68</v>
      </c>
      <c r="BD90" s="175">
        <v>120.39</v>
      </c>
      <c r="BE90" s="175">
        <v>119.39999999999999</v>
      </c>
      <c r="BF90" s="175">
        <v>119.6</v>
      </c>
      <c r="BG90" s="175">
        <v>115.51</v>
      </c>
      <c r="BH90" s="175">
        <v>119.58</v>
      </c>
      <c r="BI90" s="175">
        <v>119.91</v>
      </c>
      <c r="BJ90" s="175">
        <v>123.63</v>
      </c>
      <c r="BK90" s="175">
        <v>122.09</v>
      </c>
      <c r="BM90" s="184">
        <v>2.7050141296522101</v>
      </c>
      <c r="BN90" s="184">
        <v>4.1539323478210992</v>
      </c>
      <c r="BO90" s="184">
        <v>4.9828217096763954</v>
      </c>
      <c r="BP90" s="184">
        <v>2.6561420698766804</v>
      </c>
      <c r="BQ90" s="184">
        <v>2.9183731693362516</v>
      </c>
      <c r="BR90" s="184">
        <v>1.1922486923574074</v>
      </c>
      <c r="BS90" s="184">
        <v>5.2021692761194291</v>
      </c>
      <c r="BT90" s="184">
        <v>6.6711646540340483</v>
      </c>
      <c r="BU90" s="184">
        <v>20.20801609209672</v>
      </c>
      <c r="BV90" s="184">
        <v>12.390364918606622</v>
      </c>
    </row>
    <row r="91" spans="1:74" x14ac:dyDescent="0.25">
      <c r="A91" s="180">
        <v>42844</v>
      </c>
      <c r="B91" s="181">
        <v>0.59027777777777779</v>
      </c>
      <c r="C91" s="182">
        <v>119.11</v>
      </c>
      <c r="D91" s="182">
        <v>120.1</v>
      </c>
      <c r="E91" s="182">
        <v>121.44</v>
      </c>
      <c r="F91" s="182">
        <v>121.98</v>
      </c>
      <c r="H91" s="183">
        <v>120.7</v>
      </c>
      <c r="I91" s="184">
        <v>-1.6</v>
      </c>
      <c r="J91" s="184">
        <v>-0.6</v>
      </c>
      <c r="K91" s="184">
        <v>0.7</v>
      </c>
      <c r="L91" s="184">
        <v>1.3</v>
      </c>
      <c r="N91" s="182">
        <v>118.78</v>
      </c>
      <c r="O91" s="182">
        <v>119.74</v>
      </c>
      <c r="P91" s="182">
        <v>120.47</v>
      </c>
      <c r="Q91" s="182">
        <v>119.57</v>
      </c>
      <c r="R91" s="182">
        <v>119.78</v>
      </c>
      <c r="S91" s="182">
        <v>115.6</v>
      </c>
      <c r="U91" s="184">
        <v>2.9980832119092251</v>
      </c>
      <c r="V91" s="184">
        <v>4.5195018895628083</v>
      </c>
      <c r="W91" s="184">
        <v>5.4153056690642423</v>
      </c>
      <c r="X91" s="184">
        <v>3.0076782298185969</v>
      </c>
      <c r="Y91" s="184">
        <v>3.2873252844008025</v>
      </c>
      <c r="Z91" s="184">
        <v>1.3331678389206301</v>
      </c>
      <c r="AA91" s="184">
        <v>5.5183752018075394</v>
      </c>
      <c r="AB91" s="184">
        <v>7.0683287713961889</v>
      </c>
      <c r="AC91" s="184">
        <v>20.74873306774569</v>
      </c>
      <c r="AD91" s="184">
        <v>13.002673018239147</v>
      </c>
      <c r="BB91" s="175">
        <v>118.78</v>
      </c>
      <c r="BC91" s="175">
        <v>119.74</v>
      </c>
      <c r="BD91" s="175">
        <v>120.47</v>
      </c>
      <c r="BE91" s="175">
        <v>119.57</v>
      </c>
      <c r="BF91" s="175">
        <v>119.78</v>
      </c>
      <c r="BG91" s="175">
        <v>115.6</v>
      </c>
      <c r="BH91" s="175">
        <v>119.11</v>
      </c>
      <c r="BI91" s="175">
        <v>120.1</v>
      </c>
      <c r="BJ91" s="175">
        <v>121.44</v>
      </c>
      <c r="BK91" s="175">
        <v>121.98</v>
      </c>
      <c r="BM91" s="184">
        <v>2.9980832119092251</v>
      </c>
      <c r="BN91" s="184">
        <v>4.5195018895628083</v>
      </c>
      <c r="BO91" s="184">
        <v>5.4153056690642423</v>
      </c>
      <c r="BP91" s="184">
        <v>3.0076782298185969</v>
      </c>
      <c r="BQ91" s="184">
        <v>3.2873252844008025</v>
      </c>
      <c r="BR91" s="184">
        <v>1.3331678389206301</v>
      </c>
      <c r="BS91" s="184">
        <v>5.5183752018075394</v>
      </c>
      <c r="BT91" s="184">
        <v>7.0683287713961889</v>
      </c>
      <c r="BU91" s="184">
        <v>20.74873306774569</v>
      </c>
      <c r="BV91" s="184">
        <v>13.002673018239147</v>
      </c>
    </row>
    <row r="92" spans="1:74" x14ac:dyDescent="0.25">
      <c r="A92" s="180">
        <v>42844</v>
      </c>
      <c r="B92" s="181">
        <v>0.59062500000000007</v>
      </c>
      <c r="C92" s="182">
        <v>119.88</v>
      </c>
      <c r="D92" s="182">
        <v>120.3</v>
      </c>
      <c r="E92" s="182">
        <v>123.22</v>
      </c>
      <c r="F92" s="182">
        <v>122.18</v>
      </c>
      <c r="H92" s="183">
        <v>121.4</v>
      </c>
      <c r="I92" s="184">
        <v>-1.5</v>
      </c>
      <c r="J92" s="184">
        <v>-1.1000000000000001</v>
      </c>
      <c r="K92" s="184">
        <v>1.8</v>
      </c>
      <c r="L92" s="184">
        <v>0.8</v>
      </c>
      <c r="N92" s="182">
        <v>119.03</v>
      </c>
      <c r="O92" s="182">
        <v>119.91</v>
      </c>
      <c r="P92" s="182">
        <v>120.59</v>
      </c>
      <c r="Q92" s="182">
        <v>119.78999999999999</v>
      </c>
      <c r="R92" s="182">
        <v>119.94</v>
      </c>
      <c r="S92" s="182">
        <v>116.23</v>
      </c>
      <c r="U92" s="184">
        <v>3.3085177290242571</v>
      </c>
      <c r="V92" s="184">
        <v>4.8996650280328993</v>
      </c>
      <c r="W92" s="184">
        <v>5.8599062279932177</v>
      </c>
      <c r="X92" s="184">
        <v>3.3774808673477157</v>
      </c>
      <c r="Y92" s="184">
        <v>3.6701235878564309</v>
      </c>
      <c r="Z92" s="184">
        <v>1.4960861894216348</v>
      </c>
      <c r="AA92" s="184">
        <v>5.8959213156402566</v>
      </c>
      <c r="AB92" s="184">
        <v>7.4842106569475249</v>
      </c>
      <c r="AC92" s="184">
        <v>21.563381084065551</v>
      </c>
      <c r="AD92" s="184">
        <v>13.64383830956716</v>
      </c>
      <c r="BB92" s="175">
        <v>119.03</v>
      </c>
      <c r="BC92" s="175">
        <v>119.91</v>
      </c>
      <c r="BD92" s="175">
        <v>120.59</v>
      </c>
      <c r="BE92" s="175">
        <v>119.78999999999999</v>
      </c>
      <c r="BF92" s="175">
        <v>119.94</v>
      </c>
      <c r="BG92" s="175">
        <v>116.23</v>
      </c>
      <c r="BH92" s="175">
        <v>119.88</v>
      </c>
      <c r="BI92" s="175">
        <v>120.3</v>
      </c>
      <c r="BJ92" s="175">
        <v>123.22</v>
      </c>
      <c r="BK92" s="175">
        <v>122.18</v>
      </c>
      <c r="BM92" s="184">
        <v>3.3085177290242571</v>
      </c>
      <c r="BN92" s="184">
        <v>4.8996650280328993</v>
      </c>
      <c r="BO92" s="184">
        <v>5.8599062279932177</v>
      </c>
      <c r="BP92" s="184">
        <v>3.3774808673477157</v>
      </c>
      <c r="BQ92" s="184">
        <v>3.6701235878564309</v>
      </c>
      <c r="BR92" s="184">
        <v>1.4960861894216348</v>
      </c>
      <c r="BS92" s="184">
        <v>5.8959213156402566</v>
      </c>
      <c r="BT92" s="184">
        <v>7.4842106569475249</v>
      </c>
      <c r="BU92" s="184">
        <v>21.563381084065551</v>
      </c>
      <c r="BV92" s="184">
        <v>13.64383830956716</v>
      </c>
    </row>
    <row r="93" spans="1:74" x14ac:dyDescent="0.25">
      <c r="A93" s="180">
        <v>42844</v>
      </c>
      <c r="B93" s="181">
        <v>0.59097222222222223</v>
      </c>
      <c r="C93" s="182">
        <v>119.43</v>
      </c>
      <c r="D93" s="182">
        <v>120.26</v>
      </c>
      <c r="E93" s="182">
        <v>122.58</v>
      </c>
      <c r="F93" s="182">
        <v>121.99</v>
      </c>
      <c r="H93" s="183">
        <v>121.1</v>
      </c>
      <c r="I93" s="184">
        <v>-1.7</v>
      </c>
      <c r="J93" s="184">
        <v>-0.8</v>
      </c>
      <c r="K93" s="184">
        <v>1.5</v>
      </c>
      <c r="L93" s="184">
        <v>0.9</v>
      </c>
      <c r="N93" s="182">
        <v>119.17</v>
      </c>
      <c r="O93" s="182">
        <v>120</v>
      </c>
      <c r="P93" s="182">
        <v>120.64</v>
      </c>
      <c r="Q93" s="182">
        <v>119.92999999999999</v>
      </c>
      <c r="R93" s="182">
        <v>120.07</v>
      </c>
      <c r="S93" s="182">
        <v>116.25</v>
      </c>
      <c r="U93" s="184">
        <v>3.6291225173168384</v>
      </c>
      <c r="V93" s="184">
        <v>5.2877885863472454</v>
      </c>
      <c r="W93" s="184">
        <v>6.3096550187582361</v>
      </c>
      <c r="X93" s="184">
        <v>3.7593987591365607</v>
      </c>
      <c r="Y93" s="184">
        <v>4.0645536466657077</v>
      </c>
      <c r="Z93" s="184">
        <v>1.6597565368610541</v>
      </c>
      <c r="AA93" s="184">
        <v>6.236305994987128</v>
      </c>
      <c r="AB93" s="184">
        <v>7.8962797144540273</v>
      </c>
      <c r="AC93" s="184">
        <v>22.266404846130509</v>
      </c>
      <c r="AD93" s="184">
        <v>14.257557925146363</v>
      </c>
      <c r="BB93" s="175">
        <v>119.17</v>
      </c>
      <c r="BC93" s="175">
        <v>120</v>
      </c>
      <c r="BD93" s="175">
        <v>120.64</v>
      </c>
      <c r="BE93" s="175">
        <v>119.92999999999999</v>
      </c>
      <c r="BF93" s="175">
        <v>120.07</v>
      </c>
      <c r="BG93" s="175">
        <v>116.25</v>
      </c>
      <c r="BH93" s="175">
        <v>119.43</v>
      </c>
      <c r="BI93" s="175">
        <v>120.26</v>
      </c>
      <c r="BJ93" s="175">
        <v>122.58</v>
      </c>
      <c r="BK93" s="175">
        <v>121.99</v>
      </c>
      <c r="BM93" s="184">
        <v>3.6291225173168384</v>
      </c>
      <c r="BN93" s="184">
        <v>5.2877885863472454</v>
      </c>
      <c r="BO93" s="184">
        <v>6.3096550187582361</v>
      </c>
      <c r="BP93" s="184">
        <v>3.7593987591365607</v>
      </c>
      <c r="BQ93" s="184">
        <v>4.0645536466657077</v>
      </c>
      <c r="BR93" s="184">
        <v>1.6597565368610541</v>
      </c>
      <c r="BS93" s="184">
        <v>6.236305994987128</v>
      </c>
      <c r="BT93" s="184">
        <v>7.8962797144540273</v>
      </c>
      <c r="BU93" s="184">
        <v>22.266404846130509</v>
      </c>
      <c r="BV93" s="184">
        <v>14.257557925146363</v>
      </c>
    </row>
    <row r="94" spans="1:74" x14ac:dyDescent="0.25">
      <c r="A94" s="180">
        <v>42844</v>
      </c>
      <c r="B94" s="181">
        <v>0.5913194444444444</v>
      </c>
      <c r="C94" s="182">
        <v>119.89</v>
      </c>
      <c r="D94" s="182">
        <v>120.56</v>
      </c>
      <c r="E94" s="182">
        <v>121.74</v>
      </c>
      <c r="F94" s="182">
        <v>122.19</v>
      </c>
      <c r="H94" s="183">
        <v>121.1</v>
      </c>
      <c r="I94" s="184">
        <v>-1.2</v>
      </c>
      <c r="J94" s="184">
        <v>-0.5</v>
      </c>
      <c r="K94" s="184">
        <v>0.6</v>
      </c>
      <c r="L94" s="184">
        <v>1.1000000000000001</v>
      </c>
      <c r="N94" s="182">
        <v>119.39</v>
      </c>
      <c r="O94" s="182">
        <v>120.19</v>
      </c>
      <c r="P94" s="182">
        <v>120.76</v>
      </c>
      <c r="Q94" s="182">
        <v>120.14</v>
      </c>
      <c r="R94" s="182">
        <v>120.23</v>
      </c>
      <c r="S94" s="182">
        <v>116.76</v>
      </c>
      <c r="U94" s="184">
        <v>3.9663865311657998</v>
      </c>
      <c r="V94" s="184">
        <v>5.6932691152741661</v>
      </c>
      <c r="W94" s="184">
        <v>6.7720041057273486</v>
      </c>
      <c r="X94" s="184">
        <v>4.1602377908304007</v>
      </c>
      <c r="Y94" s="184">
        <v>4.4737860407331036</v>
      </c>
      <c r="Z94" s="184">
        <v>1.8438210236823203</v>
      </c>
      <c r="AA94" s="184">
        <v>6.6147224424976159</v>
      </c>
      <c r="AB94" s="184">
        <v>8.3378196646633089</v>
      </c>
      <c r="AC94" s="184">
        <v>22.845793524208073</v>
      </c>
      <c r="AD94" s="184">
        <v>14.900201255118171</v>
      </c>
      <c r="BB94" s="175">
        <v>119.39</v>
      </c>
      <c r="BC94" s="175">
        <v>120.19</v>
      </c>
      <c r="BD94" s="175">
        <v>120.76</v>
      </c>
      <c r="BE94" s="175">
        <v>120.14</v>
      </c>
      <c r="BF94" s="175">
        <v>120.23</v>
      </c>
      <c r="BG94" s="175">
        <v>116.76</v>
      </c>
      <c r="BH94" s="175">
        <v>119.89</v>
      </c>
      <c r="BI94" s="175">
        <v>120.56</v>
      </c>
      <c r="BJ94" s="175">
        <v>121.74</v>
      </c>
      <c r="BK94" s="175">
        <v>122.19</v>
      </c>
      <c r="BM94" s="184">
        <v>3.9663865311657998</v>
      </c>
      <c r="BN94" s="184">
        <v>5.6932691152741661</v>
      </c>
      <c r="BO94" s="184">
        <v>6.7720041057273486</v>
      </c>
      <c r="BP94" s="184">
        <v>4.1602377908304007</v>
      </c>
      <c r="BQ94" s="184">
        <v>4.4737860407331036</v>
      </c>
      <c r="BR94" s="184">
        <v>1.8438210236823203</v>
      </c>
      <c r="BS94" s="184">
        <v>6.6147224424976159</v>
      </c>
      <c r="BT94" s="184">
        <v>8.3378196646633089</v>
      </c>
      <c r="BU94" s="184">
        <v>22.845793524208073</v>
      </c>
      <c r="BV94" s="184">
        <v>14.900201255118171</v>
      </c>
    </row>
    <row r="95" spans="1:74" x14ac:dyDescent="0.25">
      <c r="A95" s="180">
        <v>42844</v>
      </c>
      <c r="B95" s="181">
        <v>0.59166666666666667</v>
      </c>
      <c r="C95" s="182">
        <v>120.06</v>
      </c>
      <c r="D95" s="182">
        <v>120.43</v>
      </c>
      <c r="E95" s="182">
        <v>122.98</v>
      </c>
      <c r="F95" s="182">
        <v>122.11</v>
      </c>
      <c r="H95" s="183">
        <v>121.4</v>
      </c>
      <c r="I95" s="184">
        <v>-1.3</v>
      </c>
      <c r="J95" s="184">
        <v>-1</v>
      </c>
      <c r="K95" s="184">
        <v>1.6</v>
      </c>
      <c r="L95" s="184">
        <v>0.7</v>
      </c>
      <c r="N95" s="182">
        <v>119.54</v>
      </c>
      <c r="O95" s="182">
        <v>120.3</v>
      </c>
      <c r="P95" s="182">
        <v>120.79</v>
      </c>
      <c r="Q95" s="182">
        <v>120.25</v>
      </c>
      <c r="R95" s="182">
        <v>120.32</v>
      </c>
      <c r="S95" s="182">
        <v>117.05</v>
      </c>
      <c r="U95" s="184">
        <v>4.3155027332043865</v>
      </c>
      <c r="V95" s="184">
        <v>6.1091510008255021</v>
      </c>
      <c r="W95" s="184">
        <v>7.2375580434612647</v>
      </c>
      <c r="X95" s="184">
        <v>4.5713591158039364</v>
      </c>
      <c r="Y95" s="184">
        <v>4.8915875498487278</v>
      </c>
      <c r="Z95" s="184">
        <v>2.0405960614102092</v>
      </c>
      <c r="AA95" s="184">
        <v>7.0082453373451656</v>
      </c>
      <c r="AB95" s="184">
        <v>8.7663385872784954</v>
      </c>
      <c r="AC95" s="184">
        <v>23.616643750682854</v>
      </c>
      <c r="AD95" s="184">
        <v>15.531115022413507</v>
      </c>
      <c r="BB95" s="175">
        <v>119.54</v>
      </c>
      <c r="BC95" s="175">
        <v>120.3</v>
      </c>
      <c r="BD95" s="175">
        <v>120.79</v>
      </c>
      <c r="BE95" s="175">
        <v>120.25</v>
      </c>
      <c r="BF95" s="175">
        <v>120.32</v>
      </c>
      <c r="BG95" s="175">
        <v>117.05</v>
      </c>
      <c r="BH95" s="175">
        <v>120.06</v>
      </c>
      <c r="BI95" s="175">
        <v>120.43</v>
      </c>
      <c r="BJ95" s="175">
        <v>122.98</v>
      </c>
      <c r="BK95" s="175">
        <v>122.11</v>
      </c>
      <c r="BM95" s="184">
        <v>4.3155027332043865</v>
      </c>
      <c r="BN95" s="184">
        <v>6.1091510008255021</v>
      </c>
      <c r="BO95" s="184">
        <v>7.2375580434612647</v>
      </c>
      <c r="BP95" s="184">
        <v>4.5713591158039364</v>
      </c>
      <c r="BQ95" s="184">
        <v>4.8915875498487278</v>
      </c>
      <c r="BR95" s="184">
        <v>2.0405960614102092</v>
      </c>
      <c r="BS95" s="184">
        <v>7.0082453373451656</v>
      </c>
      <c r="BT95" s="184">
        <v>8.7663385872784954</v>
      </c>
      <c r="BU95" s="184">
        <v>23.616643750682854</v>
      </c>
      <c r="BV95" s="184">
        <v>15.531115022413507</v>
      </c>
    </row>
    <row r="96" spans="1:74" x14ac:dyDescent="0.25">
      <c r="A96" s="180">
        <v>42844</v>
      </c>
      <c r="B96" s="181">
        <v>0.59201388888888895</v>
      </c>
      <c r="C96" s="182">
        <v>119.75</v>
      </c>
      <c r="D96" s="182">
        <v>120.62</v>
      </c>
      <c r="E96" s="182">
        <v>121.19</v>
      </c>
      <c r="F96" s="182">
        <v>122.05</v>
      </c>
      <c r="H96" s="183">
        <v>120.9</v>
      </c>
      <c r="I96" s="184">
        <v>-1.2</v>
      </c>
      <c r="J96" s="184">
        <v>-0.3</v>
      </c>
      <c r="K96" s="184">
        <v>0.3</v>
      </c>
      <c r="L96" s="184">
        <v>1.1000000000000001</v>
      </c>
      <c r="N96" s="182">
        <v>119.68</v>
      </c>
      <c r="O96" s="182">
        <v>120.39</v>
      </c>
      <c r="P96" s="182">
        <v>120.84</v>
      </c>
      <c r="Q96" s="182">
        <v>120.36</v>
      </c>
      <c r="R96" s="182">
        <v>120.43</v>
      </c>
      <c r="S96" s="182">
        <v>117.16</v>
      </c>
      <c r="U96" s="184">
        <v>4.6760564727958371</v>
      </c>
      <c r="V96" s="184">
        <v>6.5337412383436595</v>
      </c>
      <c r="W96" s="184">
        <v>7.7085028417226864</v>
      </c>
      <c r="X96" s="184">
        <v>4.9930264946860747</v>
      </c>
      <c r="Y96" s="184">
        <v>5.3201064724639142</v>
      </c>
      <c r="Z96" s="184">
        <v>2.2424187578940118</v>
      </c>
      <c r="AA96" s="184">
        <v>7.3746576039146179</v>
      </c>
      <c r="AB96" s="184">
        <v>9.2140209700532942</v>
      </c>
      <c r="AC96" s="184">
        <v>24.127113492536694</v>
      </c>
      <c r="AD96" s="184">
        <v>16.153372328299199</v>
      </c>
      <c r="BB96" s="175">
        <v>119.68</v>
      </c>
      <c r="BC96" s="175">
        <v>120.39</v>
      </c>
      <c r="BD96" s="175">
        <v>120.84</v>
      </c>
      <c r="BE96" s="175">
        <v>120.36</v>
      </c>
      <c r="BF96" s="175">
        <v>120.43</v>
      </c>
      <c r="BG96" s="175">
        <v>117.16</v>
      </c>
      <c r="BH96" s="175">
        <v>119.75</v>
      </c>
      <c r="BI96" s="175">
        <v>120.62</v>
      </c>
      <c r="BJ96" s="175">
        <v>121.19</v>
      </c>
      <c r="BK96" s="175">
        <v>122.05</v>
      </c>
      <c r="BM96" s="184">
        <v>4.6760564727958371</v>
      </c>
      <c r="BN96" s="184">
        <v>6.5337412383436595</v>
      </c>
      <c r="BO96" s="184">
        <v>7.7085028417226864</v>
      </c>
      <c r="BP96" s="184">
        <v>4.9930264946860747</v>
      </c>
      <c r="BQ96" s="184">
        <v>5.3201064724639142</v>
      </c>
      <c r="BR96" s="184">
        <v>2.2424187578940118</v>
      </c>
      <c r="BS96" s="184">
        <v>7.3746576039146179</v>
      </c>
      <c r="BT96" s="184">
        <v>9.2140209700532942</v>
      </c>
      <c r="BU96" s="184">
        <v>24.127113492536694</v>
      </c>
      <c r="BV96" s="184">
        <v>16.153372328299199</v>
      </c>
    </row>
    <row r="97" spans="1:74" x14ac:dyDescent="0.25">
      <c r="A97" s="180">
        <v>42844</v>
      </c>
      <c r="B97" s="181">
        <v>0.59236111111111112</v>
      </c>
      <c r="C97" s="182">
        <v>120.34</v>
      </c>
      <c r="D97" s="182">
        <v>120.74</v>
      </c>
      <c r="E97" s="182">
        <v>122.44</v>
      </c>
      <c r="F97" s="182">
        <v>122.23</v>
      </c>
      <c r="H97" s="183">
        <v>121.4</v>
      </c>
      <c r="I97" s="184">
        <v>-1.1000000000000001</v>
      </c>
      <c r="J97" s="184">
        <v>-0.7</v>
      </c>
      <c r="K97" s="184">
        <v>1</v>
      </c>
      <c r="L97" s="184">
        <v>0.8</v>
      </c>
      <c r="N97" s="182">
        <v>119.87</v>
      </c>
      <c r="O97" s="182">
        <v>120.54</v>
      </c>
      <c r="P97" s="182">
        <v>120.92</v>
      </c>
      <c r="Q97" s="182">
        <v>120.50999999999999</v>
      </c>
      <c r="R97" s="182">
        <v>120.53</v>
      </c>
      <c r="S97" s="182">
        <v>117.63</v>
      </c>
      <c r="U97" s="184">
        <v>5.0527342546626963</v>
      </c>
      <c r="V97" s="184">
        <v>6.9732524967591027</v>
      </c>
      <c r="W97" s="184">
        <v>8.188203157480654</v>
      </c>
      <c r="X97" s="184">
        <v>5.4295121788801302</v>
      </c>
      <c r="Y97" s="184">
        <v>5.758606883035732</v>
      </c>
      <c r="Z97" s="184">
        <v>2.4673086853406558</v>
      </c>
      <c r="AA97" s="184">
        <v>7.7943875971743175</v>
      </c>
      <c r="AB97" s="184">
        <v>9.6742457559298796</v>
      </c>
      <c r="AC97" s="184">
        <v>24.807835833769669</v>
      </c>
      <c r="AD97" s="184">
        <v>16.801961963791179</v>
      </c>
      <c r="BB97" s="175">
        <v>119.87</v>
      </c>
      <c r="BC97" s="175">
        <v>120.54</v>
      </c>
      <c r="BD97" s="175">
        <v>120.92</v>
      </c>
      <c r="BE97" s="175">
        <v>120.50999999999999</v>
      </c>
      <c r="BF97" s="175">
        <v>120.53</v>
      </c>
      <c r="BG97" s="175">
        <v>117.63</v>
      </c>
      <c r="BH97" s="175">
        <v>120.34</v>
      </c>
      <c r="BI97" s="175">
        <v>120.74</v>
      </c>
      <c r="BJ97" s="175">
        <v>122.44</v>
      </c>
      <c r="BK97" s="175">
        <v>122.23</v>
      </c>
      <c r="BM97" s="184">
        <v>5.0527342546626963</v>
      </c>
      <c r="BN97" s="184">
        <v>6.9732524967591027</v>
      </c>
      <c r="BO97" s="184">
        <v>8.188203157480654</v>
      </c>
      <c r="BP97" s="184">
        <v>5.4295121788801302</v>
      </c>
      <c r="BQ97" s="184">
        <v>5.758606883035732</v>
      </c>
      <c r="BR97" s="184">
        <v>2.4673086853406558</v>
      </c>
      <c r="BS97" s="184">
        <v>7.7943875971743175</v>
      </c>
      <c r="BT97" s="184">
        <v>9.6742457559298796</v>
      </c>
      <c r="BU97" s="184">
        <v>24.807835833769669</v>
      </c>
      <c r="BV97" s="184">
        <v>16.801961963791179</v>
      </c>
    </row>
    <row r="98" spans="1:74" x14ac:dyDescent="0.25">
      <c r="A98" s="180">
        <v>42844</v>
      </c>
      <c r="B98" s="181">
        <v>0.59270833333333328</v>
      </c>
      <c r="C98" s="182">
        <v>120.05</v>
      </c>
      <c r="D98" s="182">
        <v>120.7</v>
      </c>
      <c r="E98" s="182">
        <v>123.05</v>
      </c>
      <c r="F98" s="182">
        <v>122.04</v>
      </c>
      <c r="H98" s="183">
        <v>121.5</v>
      </c>
      <c r="I98" s="184">
        <v>-1.5</v>
      </c>
      <c r="J98" s="184">
        <v>-0.8</v>
      </c>
      <c r="K98" s="184">
        <v>1.6</v>
      </c>
      <c r="L98" s="184">
        <v>0.5</v>
      </c>
      <c r="N98" s="182">
        <v>119.97</v>
      </c>
      <c r="O98" s="182">
        <v>120.58</v>
      </c>
      <c r="P98" s="182">
        <v>120.92</v>
      </c>
      <c r="Q98" s="182">
        <v>120.56</v>
      </c>
      <c r="R98" s="182">
        <v>120.57</v>
      </c>
      <c r="S98" s="182">
        <v>117.63</v>
      </c>
      <c r="U98" s="184">
        <v>5.4381859891949116</v>
      </c>
      <c r="V98" s="184">
        <v>7.4168305027780832</v>
      </c>
      <c r="W98" s="184">
        <v>8.6679034732386206</v>
      </c>
      <c r="X98" s="184">
        <v>5.8710521290894127</v>
      </c>
      <c r="Y98" s="184">
        <v>6.2011646879511497</v>
      </c>
      <c r="Z98" s="184">
        <v>2.6921986127872999</v>
      </c>
      <c r="AA98" s="184">
        <v>8.1870054144793531</v>
      </c>
      <c r="AB98" s="184">
        <v>10.130251175607835</v>
      </c>
      <c r="AC98" s="184">
        <v>25.591211368823743</v>
      </c>
      <c r="AD98" s="184">
        <v>17.422788117587388</v>
      </c>
      <c r="BB98" s="175">
        <v>119.97</v>
      </c>
      <c r="BC98" s="175">
        <v>120.58</v>
      </c>
      <c r="BD98" s="175">
        <v>120.92</v>
      </c>
      <c r="BE98" s="175">
        <v>120.56</v>
      </c>
      <c r="BF98" s="175">
        <v>120.57</v>
      </c>
      <c r="BG98" s="175">
        <v>117.63</v>
      </c>
      <c r="BH98" s="175">
        <v>120.05</v>
      </c>
      <c r="BI98" s="175">
        <v>120.7</v>
      </c>
      <c r="BJ98" s="175">
        <v>123.05</v>
      </c>
      <c r="BK98" s="175">
        <v>122.04</v>
      </c>
      <c r="BM98" s="184">
        <v>5.4381859891949116</v>
      </c>
      <c r="BN98" s="184">
        <v>7.4168305027780832</v>
      </c>
      <c r="BO98" s="184">
        <v>8.6679034732386206</v>
      </c>
      <c r="BP98" s="184">
        <v>5.8710521290894127</v>
      </c>
      <c r="BQ98" s="184">
        <v>6.2011646879511497</v>
      </c>
      <c r="BR98" s="184">
        <v>2.6921986127872999</v>
      </c>
      <c r="BS98" s="184">
        <v>8.1870054144793531</v>
      </c>
      <c r="BT98" s="184">
        <v>10.130251175607835</v>
      </c>
      <c r="BU98" s="184">
        <v>25.591211368823743</v>
      </c>
      <c r="BV98" s="184">
        <v>17.422788117587388</v>
      </c>
    </row>
    <row r="99" spans="1:74" x14ac:dyDescent="0.25">
      <c r="A99" s="180">
        <v>42844</v>
      </c>
      <c r="B99" s="181">
        <v>0.59305555555555556</v>
      </c>
      <c r="C99" s="182">
        <v>120.31</v>
      </c>
      <c r="D99" s="182">
        <v>120.94</v>
      </c>
      <c r="E99" s="182">
        <v>121.49</v>
      </c>
      <c r="F99" s="182">
        <v>122.18</v>
      </c>
      <c r="H99" s="183">
        <v>121.2</v>
      </c>
      <c r="I99" s="184">
        <v>-0.9</v>
      </c>
      <c r="J99" s="184">
        <v>-0.3</v>
      </c>
      <c r="K99" s="184">
        <v>0.3</v>
      </c>
      <c r="L99" s="184">
        <v>1</v>
      </c>
      <c r="N99" s="182">
        <v>120.13</v>
      </c>
      <c r="O99" s="182">
        <v>120.69</v>
      </c>
      <c r="P99" s="182">
        <v>121</v>
      </c>
      <c r="Q99" s="182">
        <v>120.69</v>
      </c>
      <c r="R99" s="182">
        <v>120.68</v>
      </c>
      <c r="S99" s="182">
        <v>118</v>
      </c>
      <c r="U99" s="184">
        <v>5.8381031166984254</v>
      </c>
      <c r="V99" s="184">
        <v>7.8717871390942094</v>
      </c>
      <c r="W99" s="184">
        <v>9.156522083716526</v>
      </c>
      <c r="X99" s="184">
        <v>6.3260087654055388</v>
      </c>
      <c r="Y99" s="184">
        <v>6.655074953040244</v>
      </c>
      <c r="Z99" s="184">
        <v>2.9370880224715235</v>
      </c>
      <c r="AA99" s="184">
        <v>8.6038460067891709</v>
      </c>
      <c r="AB99" s="184">
        <v>10.612165687419822</v>
      </c>
      <c r="AC99" s="184">
        <v>26.13818955195979</v>
      </c>
      <c r="AD99" s="184">
        <v>18.063953408915399</v>
      </c>
      <c r="BB99" s="175">
        <v>120.13</v>
      </c>
      <c r="BC99" s="175">
        <v>120.69</v>
      </c>
      <c r="BD99" s="175">
        <v>121</v>
      </c>
      <c r="BE99" s="175">
        <v>120.69</v>
      </c>
      <c r="BF99" s="175">
        <v>120.68</v>
      </c>
      <c r="BG99" s="175">
        <v>118</v>
      </c>
      <c r="BH99" s="175">
        <v>120.31</v>
      </c>
      <c r="BI99" s="175">
        <v>120.94</v>
      </c>
      <c r="BJ99" s="175">
        <v>121.49</v>
      </c>
      <c r="BK99" s="175">
        <v>122.18</v>
      </c>
      <c r="BM99" s="184">
        <v>5.8381031166984254</v>
      </c>
      <c r="BN99" s="184">
        <v>7.8717871390942094</v>
      </c>
      <c r="BO99" s="184">
        <v>9.156522083716526</v>
      </c>
      <c r="BP99" s="184">
        <v>6.3260087654055388</v>
      </c>
      <c r="BQ99" s="184">
        <v>6.655074953040244</v>
      </c>
      <c r="BR99" s="184">
        <v>2.9370880224715235</v>
      </c>
      <c r="BS99" s="184">
        <v>8.6038460067891709</v>
      </c>
      <c r="BT99" s="184">
        <v>10.612165687419822</v>
      </c>
      <c r="BU99" s="184">
        <v>26.13818955195979</v>
      </c>
      <c r="BV99" s="184">
        <v>18.063953408915399</v>
      </c>
    </row>
    <row r="100" spans="1:74" x14ac:dyDescent="0.25">
      <c r="A100" s="180">
        <v>42844</v>
      </c>
      <c r="B100" s="181">
        <v>0.59340277777777783</v>
      </c>
      <c r="C100" s="182">
        <v>120.55</v>
      </c>
      <c r="D100" s="182">
        <v>120.87</v>
      </c>
      <c r="E100" s="182">
        <v>123.09</v>
      </c>
      <c r="F100" s="182">
        <v>122.15</v>
      </c>
      <c r="H100" s="183">
        <v>121.7</v>
      </c>
      <c r="I100" s="184">
        <v>-1.2</v>
      </c>
      <c r="J100" s="184">
        <v>-0.8</v>
      </c>
      <c r="K100" s="184">
        <v>1.4</v>
      </c>
      <c r="L100" s="184">
        <v>0.5</v>
      </c>
      <c r="N100" s="182">
        <v>120.24</v>
      </c>
      <c r="O100" s="182">
        <v>120.75</v>
      </c>
      <c r="P100" s="182">
        <v>121.01</v>
      </c>
      <c r="Q100" s="182">
        <v>120.74</v>
      </c>
      <c r="R100" s="182">
        <v>120.72</v>
      </c>
      <c r="S100" s="182">
        <v>118.26</v>
      </c>
      <c r="U100" s="184">
        <v>6.2482788888633349</v>
      </c>
      <c r="V100" s="184">
        <v>8.3330728526715916</v>
      </c>
      <c r="W100" s="184">
        <v>9.6462670764208767</v>
      </c>
      <c r="X100" s="184">
        <v>6.7862335512821241</v>
      </c>
      <c r="Y100" s="184">
        <v>7.1131851981012444</v>
      </c>
      <c r="Z100" s="184">
        <v>3.1970860207382819</v>
      </c>
      <c r="AA100" s="184">
        <v>9.0443704432931789</v>
      </c>
      <c r="AB100" s="184">
        <v>11.086374919070272</v>
      </c>
      <c r="AC100" s="184">
        <v>26.928813571594983</v>
      </c>
      <c r="AD100" s="184">
        <v>18.700704949423731</v>
      </c>
      <c r="BB100" s="175">
        <v>120.24</v>
      </c>
      <c r="BC100" s="175">
        <v>120.75</v>
      </c>
      <c r="BD100" s="175">
        <v>121.01</v>
      </c>
      <c r="BE100" s="175">
        <v>120.74</v>
      </c>
      <c r="BF100" s="175">
        <v>120.72</v>
      </c>
      <c r="BG100" s="175">
        <v>118.26</v>
      </c>
      <c r="BH100" s="175">
        <v>120.55</v>
      </c>
      <c r="BI100" s="175">
        <v>120.87</v>
      </c>
      <c r="BJ100" s="175">
        <v>123.09</v>
      </c>
      <c r="BK100" s="175">
        <v>122.15</v>
      </c>
      <c r="BM100" s="184">
        <v>6.2482788888633349</v>
      </c>
      <c r="BN100" s="184">
        <v>8.3330728526715916</v>
      </c>
      <c r="BO100" s="184">
        <v>9.6462670764208767</v>
      </c>
      <c r="BP100" s="184">
        <v>6.7862335512821241</v>
      </c>
      <c r="BQ100" s="184">
        <v>7.1131851981012444</v>
      </c>
      <c r="BR100" s="184">
        <v>3.1970860207382819</v>
      </c>
      <c r="BS100" s="184">
        <v>9.0443704432931789</v>
      </c>
      <c r="BT100" s="184">
        <v>11.086374919070272</v>
      </c>
      <c r="BU100" s="184">
        <v>26.928813571594983</v>
      </c>
      <c r="BV100" s="184">
        <v>18.700704949423731</v>
      </c>
    </row>
    <row r="101" spans="1:74" x14ac:dyDescent="0.25">
      <c r="A101" s="180">
        <v>42844</v>
      </c>
      <c r="B101" s="181">
        <v>0.59375</v>
      </c>
      <c r="C101" s="182">
        <v>120.23</v>
      </c>
      <c r="D101" s="182">
        <v>121</v>
      </c>
      <c r="E101" s="182">
        <v>120.91</v>
      </c>
      <c r="F101" s="182">
        <v>122.09</v>
      </c>
      <c r="H101" s="183">
        <v>121.1</v>
      </c>
      <c r="I101" s="184">
        <v>-0.9</v>
      </c>
      <c r="J101" s="184">
        <v>-0.1</v>
      </c>
      <c r="K101" s="184">
        <v>-0.2</v>
      </c>
      <c r="L101" s="184">
        <v>1</v>
      </c>
      <c r="N101" s="182">
        <v>120.33</v>
      </c>
      <c r="O101" s="182">
        <v>120.78</v>
      </c>
      <c r="P101" s="182">
        <v>121.05</v>
      </c>
      <c r="Q101" s="182">
        <v>120.8</v>
      </c>
      <c r="R101" s="182">
        <v>120.79</v>
      </c>
      <c r="S101" s="182">
        <v>118.31</v>
      </c>
      <c r="U101" s="184">
        <v>6.6670435299267767</v>
      </c>
      <c r="V101" s="184">
        <v>8.7975560460615601</v>
      </c>
      <c r="W101" s="184">
        <v>10.140543623749346</v>
      </c>
      <c r="X101" s="184">
        <v>7.2528607016806204</v>
      </c>
      <c r="Y101" s="184">
        <v>7.5787391358351606</v>
      </c>
      <c r="Z101" s="184">
        <v>3.4600946539336355</v>
      </c>
      <c r="AA101" s="184">
        <v>9.4536028373605738</v>
      </c>
      <c r="AB101" s="184">
        <v>11.574993529548177</v>
      </c>
      <c r="AC101" s="184">
        <v>27.407410607242404</v>
      </c>
      <c r="AD101" s="184">
        <v>19.32871993127117</v>
      </c>
      <c r="BB101" s="175">
        <v>120.33</v>
      </c>
      <c r="BC101" s="175">
        <v>120.78</v>
      </c>
      <c r="BD101" s="175">
        <v>121.05</v>
      </c>
      <c r="BE101" s="175">
        <v>120.8</v>
      </c>
      <c r="BF101" s="175">
        <v>120.79</v>
      </c>
      <c r="BG101" s="175">
        <v>118.31</v>
      </c>
      <c r="BH101" s="175">
        <v>120.23</v>
      </c>
      <c r="BI101" s="175">
        <v>121</v>
      </c>
      <c r="BJ101" s="175">
        <v>120.91</v>
      </c>
      <c r="BK101" s="175">
        <v>122.09</v>
      </c>
      <c r="BM101" s="184">
        <v>6.6670435299267767</v>
      </c>
      <c r="BN101" s="184">
        <v>8.7975560460615601</v>
      </c>
      <c r="BO101" s="184">
        <v>10.140543623749346</v>
      </c>
      <c r="BP101" s="184">
        <v>7.2528607016806204</v>
      </c>
      <c r="BQ101" s="184">
        <v>7.5787391358351606</v>
      </c>
      <c r="BR101" s="184">
        <v>3.4600946539336355</v>
      </c>
      <c r="BS101" s="184">
        <v>9.4536028373605738</v>
      </c>
      <c r="BT101" s="184">
        <v>11.574993529548177</v>
      </c>
      <c r="BU101" s="184">
        <v>27.407410607242404</v>
      </c>
      <c r="BV101" s="184">
        <v>19.32871993127117</v>
      </c>
    </row>
    <row r="102" spans="1:74" x14ac:dyDescent="0.25">
      <c r="A102" s="180">
        <v>42844</v>
      </c>
      <c r="B102" s="181">
        <v>0.59409722222222217</v>
      </c>
      <c r="C102" s="182">
        <v>120.67</v>
      </c>
      <c r="D102" s="182">
        <v>121.06</v>
      </c>
      <c r="E102" s="182">
        <v>123.23</v>
      </c>
      <c r="F102" s="182">
        <v>122.15</v>
      </c>
      <c r="H102" s="183">
        <v>121.8</v>
      </c>
      <c r="I102" s="184">
        <v>-1.1000000000000001</v>
      </c>
      <c r="J102" s="184">
        <v>-0.7</v>
      </c>
      <c r="K102" s="184">
        <v>1.4</v>
      </c>
      <c r="L102" s="184">
        <v>0.4</v>
      </c>
      <c r="N102" s="182">
        <v>120.44</v>
      </c>
      <c r="O102" s="182">
        <v>120.85</v>
      </c>
      <c r="P102" s="182">
        <v>121.07</v>
      </c>
      <c r="Q102" s="182">
        <v>120.86999999999999</v>
      </c>
      <c r="R102" s="182">
        <v>120.83</v>
      </c>
      <c r="S102" s="182">
        <v>118.62</v>
      </c>
      <c r="U102" s="184">
        <v>7.0965502906794748</v>
      </c>
      <c r="V102" s="184">
        <v>9.2695864842045221</v>
      </c>
      <c r="W102" s="184">
        <v>10.637101647959813</v>
      </c>
      <c r="X102" s="184">
        <v>7.7270699333310686</v>
      </c>
      <c r="Y102" s="184">
        <v>8.0486007911174795</v>
      </c>
      <c r="Z102" s="184">
        <v>3.7425631413397875</v>
      </c>
      <c r="AA102" s="184">
        <v>9.9064691378096743</v>
      </c>
      <c r="AB102" s="184">
        <v>12.070409501994561</v>
      </c>
      <c r="AC102" s="184">
        <v>28.223936581189573</v>
      </c>
      <c r="AD102" s="184">
        <v>19.965471471779502</v>
      </c>
      <c r="BB102" s="175">
        <v>120.44</v>
      </c>
      <c r="BC102" s="175">
        <v>120.85</v>
      </c>
      <c r="BD102" s="175">
        <v>121.07</v>
      </c>
      <c r="BE102" s="175">
        <v>120.86999999999999</v>
      </c>
      <c r="BF102" s="175">
        <v>120.83</v>
      </c>
      <c r="BG102" s="175">
        <v>118.62</v>
      </c>
      <c r="BH102" s="175">
        <v>120.67</v>
      </c>
      <c r="BI102" s="175">
        <v>121.06</v>
      </c>
      <c r="BJ102" s="175">
        <v>123.23</v>
      </c>
      <c r="BK102" s="175">
        <v>122.15</v>
      </c>
      <c r="BM102" s="184">
        <v>7.0965502906794748</v>
      </c>
      <c r="BN102" s="184">
        <v>9.2695864842045221</v>
      </c>
      <c r="BO102" s="184">
        <v>10.637101647959813</v>
      </c>
      <c r="BP102" s="184">
        <v>7.7270699333310686</v>
      </c>
      <c r="BQ102" s="184">
        <v>8.0486007911174795</v>
      </c>
      <c r="BR102" s="184">
        <v>3.7425631413397875</v>
      </c>
      <c r="BS102" s="184">
        <v>9.9064691378096743</v>
      </c>
      <c r="BT102" s="184">
        <v>12.070409501994561</v>
      </c>
      <c r="BU102" s="184">
        <v>28.223936581189573</v>
      </c>
      <c r="BV102" s="184">
        <v>19.965471471779502</v>
      </c>
    </row>
    <row r="103" spans="1:74" x14ac:dyDescent="0.25">
      <c r="A103" s="180">
        <v>42844</v>
      </c>
      <c r="B103" s="181">
        <v>0.59444444444444444</v>
      </c>
      <c r="C103" s="182">
        <v>120.37</v>
      </c>
      <c r="D103" s="182">
        <v>121.14</v>
      </c>
      <c r="E103" s="182">
        <v>121.06</v>
      </c>
      <c r="F103" s="182">
        <v>122.07</v>
      </c>
      <c r="H103" s="183">
        <v>121.2</v>
      </c>
      <c r="I103" s="184">
        <v>-0.8</v>
      </c>
      <c r="J103" s="184">
        <v>-0.1</v>
      </c>
      <c r="K103" s="184">
        <v>-0.1</v>
      </c>
      <c r="L103" s="184">
        <v>0.9</v>
      </c>
      <c r="N103" s="182">
        <v>120.52</v>
      </c>
      <c r="O103" s="182">
        <v>120.89</v>
      </c>
      <c r="P103" s="182">
        <v>121.12</v>
      </c>
      <c r="Q103" s="182">
        <v>120.92</v>
      </c>
      <c r="R103" s="182">
        <v>120.9</v>
      </c>
      <c r="S103" s="182">
        <v>118.67</v>
      </c>
      <c r="U103" s="184">
        <v>7.534042178293193</v>
      </c>
      <c r="V103" s="184">
        <v>9.7459845662163485</v>
      </c>
      <c r="W103" s="184">
        <v>11.139409543099012</v>
      </c>
      <c r="X103" s="184">
        <v>8.2067702490890362</v>
      </c>
      <c r="Y103" s="184">
        <v>8.5260970841281996</v>
      </c>
      <c r="Z103" s="184">
        <v>4.0283024596757215</v>
      </c>
      <c r="AA103" s="184">
        <v>10.32910856038982</v>
      </c>
      <c r="AB103" s="184">
        <v>12.575035945032905</v>
      </c>
      <c r="AC103" s="184">
        <v>28.719352553635957</v>
      </c>
      <c r="AD103" s="184">
        <v>20.590600986888361</v>
      </c>
      <c r="BB103" s="175">
        <v>120.52</v>
      </c>
      <c r="BC103" s="175">
        <v>120.89</v>
      </c>
      <c r="BD103" s="175">
        <v>121.12</v>
      </c>
      <c r="BE103" s="175">
        <v>120.92</v>
      </c>
      <c r="BF103" s="175">
        <v>120.9</v>
      </c>
      <c r="BG103" s="175">
        <v>118.67</v>
      </c>
      <c r="BH103" s="175">
        <v>120.37</v>
      </c>
      <c r="BI103" s="175">
        <v>121.14</v>
      </c>
      <c r="BJ103" s="175">
        <v>121.06</v>
      </c>
      <c r="BK103" s="175">
        <v>122.07</v>
      </c>
      <c r="BM103" s="184">
        <v>7.534042178293193</v>
      </c>
      <c r="BN103" s="184">
        <v>9.7459845662163485</v>
      </c>
      <c r="BO103" s="184">
        <v>11.139409543099012</v>
      </c>
      <c r="BP103" s="184">
        <v>8.2067702490890362</v>
      </c>
      <c r="BQ103" s="184">
        <v>8.5260970841281996</v>
      </c>
      <c r="BR103" s="184">
        <v>4.0283024596757215</v>
      </c>
      <c r="BS103" s="184">
        <v>10.32910856038982</v>
      </c>
      <c r="BT103" s="184">
        <v>12.575035945032905</v>
      </c>
      <c r="BU103" s="184">
        <v>28.719352553635957</v>
      </c>
      <c r="BV103" s="184">
        <v>20.590600986888361</v>
      </c>
    </row>
    <row r="104" spans="1:74" x14ac:dyDescent="0.25">
      <c r="A104" s="180">
        <v>42844</v>
      </c>
      <c r="B104" s="181">
        <v>0.59479166666666672</v>
      </c>
      <c r="C104" s="182">
        <v>120.75</v>
      </c>
      <c r="D104" s="182">
        <v>121.14</v>
      </c>
      <c r="E104" s="182">
        <v>123.54</v>
      </c>
      <c r="F104" s="182">
        <v>122.1</v>
      </c>
      <c r="H104" s="183">
        <v>121.9</v>
      </c>
      <c r="I104" s="184">
        <v>-1.2</v>
      </c>
      <c r="J104" s="184">
        <v>-0.8</v>
      </c>
      <c r="K104" s="184">
        <v>1.6</v>
      </c>
      <c r="L104" s="184">
        <v>0.2</v>
      </c>
      <c r="N104" s="182">
        <v>120.61</v>
      </c>
      <c r="O104" s="182">
        <v>120.94</v>
      </c>
      <c r="P104" s="182">
        <v>121.13</v>
      </c>
      <c r="Q104" s="182">
        <v>120.97</v>
      </c>
      <c r="R104" s="182">
        <v>120.92</v>
      </c>
      <c r="S104" s="182">
        <v>118.94</v>
      </c>
      <c r="U104" s="184">
        <v>7.9806949201598414</v>
      </c>
      <c r="V104" s="184">
        <v>10.227899078028335</v>
      </c>
      <c r="W104" s="184">
        <v>11.642875377524915</v>
      </c>
      <c r="X104" s="184">
        <v>8.6920252327117815</v>
      </c>
      <c r="Y104" s="184">
        <v>9.0057973998861662</v>
      </c>
      <c r="Z104" s="184">
        <v>4.3323699603150807</v>
      </c>
      <c r="AA104" s="184">
        <v>10.790394273967202</v>
      </c>
      <c r="AB104" s="184">
        <v>13.079662388071249</v>
      </c>
      <c r="AC104" s="184">
        <v>29.596292804556839</v>
      </c>
      <c r="AD104" s="184">
        <v>21.220063692785445</v>
      </c>
      <c r="BB104" s="175">
        <v>120.61</v>
      </c>
      <c r="BC104" s="175">
        <v>120.94</v>
      </c>
      <c r="BD104" s="175">
        <v>121.13</v>
      </c>
      <c r="BE104" s="175">
        <v>120.97</v>
      </c>
      <c r="BF104" s="175">
        <v>120.92</v>
      </c>
      <c r="BG104" s="175">
        <v>118.94</v>
      </c>
      <c r="BH104" s="175">
        <v>120.75</v>
      </c>
      <c r="BI104" s="175">
        <v>121.14</v>
      </c>
      <c r="BJ104" s="175">
        <v>123.54</v>
      </c>
      <c r="BK104" s="175">
        <v>122.1</v>
      </c>
      <c r="BM104" s="184">
        <v>7.9806949201598414</v>
      </c>
      <c r="BN104" s="184">
        <v>10.227899078028335</v>
      </c>
      <c r="BO104" s="184">
        <v>11.642875377524915</v>
      </c>
      <c r="BP104" s="184">
        <v>8.6920252327117815</v>
      </c>
      <c r="BQ104" s="184">
        <v>9.0057973998861662</v>
      </c>
      <c r="BR104" s="184">
        <v>4.3323699603150807</v>
      </c>
      <c r="BS104" s="184">
        <v>10.790394273967202</v>
      </c>
      <c r="BT104" s="184">
        <v>13.079662388071249</v>
      </c>
      <c r="BU104" s="184">
        <v>29.596292804556839</v>
      </c>
      <c r="BV104" s="184">
        <v>21.220063692785445</v>
      </c>
    </row>
    <row r="105" spans="1:74" x14ac:dyDescent="0.25">
      <c r="A105" s="180">
        <v>42844</v>
      </c>
      <c r="B105" s="181">
        <v>0.59513888888888888</v>
      </c>
      <c r="C105" s="182">
        <v>120.59</v>
      </c>
      <c r="D105" s="182">
        <v>121.27</v>
      </c>
      <c r="E105" s="182">
        <v>121.37</v>
      </c>
      <c r="F105" s="182">
        <v>122.09</v>
      </c>
      <c r="H105" s="183">
        <v>121.3</v>
      </c>
      <c r="I105" s="184">
        <v>-0.7</v>
      </c>
      <c r="J105" s="184">
        <v>0</v>
      </c>
      <c r="K105" s="184">
        <v>0.1</v>
      </c>
      <c r="L105" s="184">
        <v>0.8</v>
      </c>
      <c r="N105" s="182">
        <v>120.69</v>
      </c>
      <c r="O105" s="182">
        <v>120.97</v>
      </c>
      <c r="P105" s="182">
        <v>121.18</v>
      </c>
      <c r="Q105" s="182">
        <v>121.02</v>
      </c>
      <c r="R105" s="182">
        <v>121</v>
      </c>
      <c r="S105" s="182">
        <v>119.03</v>
      </c>
      <c r="U105" s="184">
        <v>8.4356515564759675</v>
      </c>
      <c r="V105" s="184">
        <v>10.71315406165108</v>
      </c>
      <c r="W105" s="184">
        <v>12.152171071551974</v>
      </c>
      <c r="X105" s="184">
        <v>9.1828992042217745</v>
      </c>
      <c r="Y105" s="184">
        <v>9.4944160103640716</v>
      </c>
      <c r="Z105" s="184">
        <v>4.6428044774301132</v>
      </c>
      <c r="AA105" s="184">
        <v>11.234994832896177</v>
      </c>
      <c r="AB105" s="184">
        <v>13.599622470985778</v>
      </c>
      <c r="AC105" s="184">
        <v>30.128364313669</v>
      </c>
      <c r="AD105" s="184">
        <v>21.848078674632884</v>
      </c>
      <c r="BB105" s="175">
        <v>120.69</v>
      </c>
      <c r="BC105" s="175">
        <v>120.97</v>
      </c>
      <c r="BD105" s="175">
        <v>121.18</v>
      </c>
      <c r="BE105" s="175">
        <v>121.02</v>
      </c>
      <c r="BF105" s="175">
        <v>121</v>
      </c>
      <c r="BG105" s="175">
        <v>119.03</v>
      </c>
      <c r="BH105" s="175">
        <v>120.59</v>
      </c>
      <c r="BI105" s="175">
        <v>121.27</v>
      </c>
      <c r="BJ105" s="175">
        <v>121.37</v>
      </c>
      <c r="BK105" s="175">
        <v>122.09</v>
      </c>
      <c r="BM105" s="184">
        <v>8.4356515564759675</v>
      </c>
      <c r="BN105" s="184">
        <v>10.71315406165108</v>
      </c>
      <c r="BO105" s="184">
        <v>12.152171071551974</v>
      </c>
      <c r="BP105" s="184">
        <v>9.1828992042217745</v>
      </c>
      <c r="BQ105" s="184">
        <v>9.4944160103640716</v>
      </c>
      <c r="BR105" s="184">
        <v>4.6428044774301132</v>
      </c>
      <c r="BS105" s="184">
        <v>11.234994832896177</v>
      </c>
      <c r="BT105" s="184">
        <v>13.599622470985778</v>
      </c>
      <c r="BU105" s="184">
        <v>30.128364313669</v>
      </c>
      <c r="BV105" s="184">
        <v>21.848078674632884</v>
      </c>
    </row>
    <row r="106" spans="1:74" x14ac:dyDescent="0.25">
      <c r="A106" s="180">
        <v>42844</v>
      </c>
      <c r="B106" s="181">
        <v>0.59548611111111105</v>
      </c>
      <c r="C106" s="182">
        <v>120.67</v>
      </c>
      <c r="D106" s="182">
        <v>121.03</v>
      </c>
      <c r="E106" s="182">
        <v>122.92</v>
      </c>
      <c r="F106" s="182">
        <v>121.98</v>
      </c>
      <c r="H106" s="183">
        <v>121.7</v>
      </c>
      <c r="I106" s="184">
        <v>-1</v>
      </c>
      <c r="J106" s="184">
        <v>-0.7</v>
      </c>
      <c r="K106" s="184">
        <v>1.2</v>
      </c>
      <c r="L106" s="184">
        <v>0.3</v>
      </c>
      <c r="N106" s="182">
        <v>120.73</v>
      </c>
      <c r="O106" s="182">
        <v>120.98</v>
      </c>
      <c r="P106" s="182">
        <v>121.17</v>
      </c>
      <c r="Q106" s="182">
        <v>121.03999999999999</v>
      </c>
      <c r="R106" s="182">
        <v>121</v>
      </c>
      <c r="S106" s="182">
        <v>119.16</v>
      </c>
      <c r="U106" s="184">
        <v>8.8948178547177594</v>
      </c>
      <c r="V106" s="184">
        <v>11.199527673539563</v>
      </c>
      <c r="W106" s="184">
        <v>12.660295417987323</v>
      </c>
      <c r="X106" s="184">
        <v>9.6760389470373802</v>
      </c>
      <c r="Y106" s="184">
        <v>9.9830346208419769</v>
      </c>
      <c r="Z106" s="184">
        <v>4.9626718951714377</v>
      </c>
      <c r="AA106" s="184">
        <v>11.687861133345278</v>
      </c>
      <c r="AB106" s="184">
        <v>14.091628023866345</v>
      </c>
      <c r="AC106" s="184">
        <v>30.888638078535248</v>
      </c>
      <c r="AD106" s="184">
        <v>22.460386774265409</v>
      </c>
      <c r="BB106" s="175">
        <v>120.73</v>
      </c>
      <c r="BC106" s="175">
        <v>120.98</v>
      </c>
      <c r="BD106" s="175">
        <v>121.17</v>
      </c>
      <c r="BE106" s="175">
        <v>121.03999999999999</v>
      </c>
      <c r="BF106" s="175">
        <v>121</v>
      </c>
      <c r="BG106" s="175">
        <v>119.16</v>
      </c>
      <c r="BH106" s="175">
        <v>120.67</v>
      </c>
      <c r="BI106" s="175">
        <v>121.03</v>
      </c>
      <c r="BJ106" s="175">
        <v>122.92</v>
      </c>
      <c r="BK106" s="175">
        <v>121.98</v>
      </c>
      <c r="BM106" s="184">
        <v>8.8948178547177594</v>
      </c>
      <c r="BN106" s="184">
        <v>11.199527673539563</v>
      </c>
      <c r="BO106" s="184">
        <v>12.660295417987323</v>
      </c>
      <c r="BP106" s="184">
        <v>9.6760389470373802</v>
      </c>
      <c r="BQ106" s="184">
        <v>9.9830346208419769</v>
      </c>
      <c r="BR106" s="184">
        <v>4.9626718951714377</v>
      </c>
      <c r="BS106" s="184">
        <v>11.687861133345278</v>
      </c>
      <c r="BT106" s="184">
        <v>14.091628023866345</v>
      </c>
      <c r="BU106" s="184">
        <v>30.888638078535248</v>
      </c>
      <c r="BV106" s="184">
        <v>22.460386774265409</v>
      </c>
    </row>
    <row r="107" spans="1:74" x14ac:dyDescent="0.25">
      <c r="A107" s="180">
        <v>42844</v>
      </c>
      <c r="B107" s="181">
        <v>0.59583333333333333</v>
      </c>
      <c r="C107" s="182">
        <v>120.98</v>
      </c>
      <c r="D107" s="182">
        <v>121.46</v>
      </c>
      <c r="E107" s="182">
        <v>122.25</v>
      </c>
      <c r="F107" s="182">
        <v>122.2</v>
      </c>
      <c r="H107" s="183">
        <v>121.7</v>
      </c>
      <c r="I107" s="184">
        <v>-0.7</v>
      </c>
      <c r="J107" s="184">
        <v>-0.2</v>
      </c>
      <c r="K107" s="184">
        <v>0.5</v>
      </c>
      <c r="L107" s="184">
        <v>0.5</v>
      </c>
      <c r="N107" s="182">
        <v>120.85</v>
      </c>
      <c r="O107" s="182">
        <v>121.06</v>
      </c>
      <c r="P107" s="182">
        <v>121.25</v>
      </c>
      <c r="Q107" s="182">
        <v>121.11999999999999</v>
      </c>
      <c r="R107" s="182">
        <v>121.09</v>
      </c>
      <c r="S107" s="182">
        <v>119.43</v>
      </c>
      <c r="U107" s="184">
        <v>9.3668482928607215</v>
      </c>
      <c r="V107" s="184">
        <v>11.694943645985948</v>
      </c>
      <c r="W107" s="184">
        <v>13.177866501326996</v>
      </c>
      <c r="X107" s="184">
        <v>10.178346842176577</v>
      </c>
      <c r="Y107" s="184">
        <v>10.481884652753255</v>
      </c>
      <c r="Z107" s="184">
        <v>5.3030565745183091</v>
      </c>
      <c r="AA107" s="184">
        <v>12.174234745233761</v>
      </c>
      <c r="AB107" s="184">
        <v>14.634840835674877</v>
      </c>
      <c r="AC107" s="184">
        <v>31.540221467761398</v>
      </c>
      <c r="AD107" s="184">
        <v>23.104511550111976</v>
      </c>
      <c r="BB107" s="175">
        <v>120.85</v>
      </c>
      <c r="BC107" s="175">
        <v>121.06</v>
      </c>
      <c r="BD107" s="175">
        <v>121.25</v>
      </c>
      <c r="BE107" s="175">
        <v>121.11999999999999</v>
      </c>
      <c r="BF107" s="175">
        <v>121.09</v>
      </c>
      <c r="BG107" s="175">
        <v>119.43</v>
      </c>
      <c r="BH107" s="175">
        <v>120.98</v>
      </c>
      <c r="BI107" s="175">
        <v>121.46</v>
      </c>
      <c r="BJ107" s="175">
        <v>122.25</v>
      </c>
      <c r="BK107" s="175">
        <v>122.2</v>
      </c>
      <c r="BM107" s="184">
        <v>9.3668482928607215</v>
      </c>
      <c r="BN107" s="184">
        <v>11.694943645985948</v>
      </c>
      <c r="BO107" s="184">
        <v>13.177866501326996</v>
      </c>
      <c r="BP107" s="184">
        <v>10.178346842176577</v>
      </c>
      <c r="BQ107" s="184">
        <v>10.481884652753255</v>
      </c>
      <c r="BR107" s="184">
        <v>5.3030565745183091</v>
      </c>
      <c r="BS107" s="184">
        <v>12.174234745233761</v>
      </c>
      <c r="BT107" s="184">
        <v>14.634840835674877</v>
      </c>
      <c r="BU107" s="184">
        <v>31.540221467761398</v>
      </c>
      <c r="BV107" s="184">
        <v>23.104511550111976</v>
      </c>
    </row>
    <row r="108" spans="1:74" x14ac:dyDescent="0.25">
      <c r="A108" s="180">
        <v>42844</v>
      </c>
      <c r="B108" s="181">
        <v>0.5961805555555556</v>
      </c>
      <c r="C108" s="182">
        <v>120.56</v>
      </c>
      <c r="D108" s="182">
        <v>121.09</v>
      </c>
      <c r="E108" s="182">
        <v>122.08</v>
      </c>
      <c r="F108" s="182">
        <v>121.91</v>
      </c>
      <c r="H108" s="183">
        <v>121.4</v>
      </c>
      <c r="I108" s="184">
        <v>-0.8</v>
      </c>
      <c r="J108" s="184">
        <v>-0.3</v>
      </c>
      <c r="K108" s="184">
        <v>0.7</v>
      </c>
      <c r="L108" s="184">
        <v>0.5</v>
      </c>
      <c r="N108" s="182">
        <v>120.86</v>
      </c>
      <c r="O108" s="182">
        <v>121.02</v>
      </c>
      <c r="P108" s="182">
        <v>121.21</v>
      </c>
      <c r="Q108" s="182">
        <v>121.09</v>
      </c>
      <c r="R108" s="182">
        <v>121.07</v>
      </c>
      <c r="S108" s="182">
        <v>119.35</v>
      </c>
      <c r="U108" s="184">
        <v>9.8399668735436183</v>
      </c>
      <c r="V108" s="184">
        <v>12.185817617495941</v>
      </c>
      <c r="W108" s="184">
        <v>13.690692464452699</v>
      </c>
      <c r="X108" s="184">
        <v>10.677196874087855</v>
      </c>
      <c r="Y108" s="184">
        <v>10.978442676963722</v>
      </c>
      <c r="Z108" s="184">
        <v>5.6372285333026166</v>
      </c>
      <c r="AA108" s="184">
        <v>12.615774695443044</v>
      </c>
      <c r="AB108" s="184">
        <v>15.133690867586155</v>
      </c>
      <c r="AC108" s="184">
        <v>32.166792055232108</v>
      </c>
      <c r="AD108" s="184">
        <v>23.707029520297876</v>
      </c>
      <c r="BB108" s="175">
        <v>120.86</v>
      </c>
      <c r="BC108" s="175">
        <v>121.02</v>
      </c>
      <c r="BD108" s="175">
        <v>121.21</v>
      </c>
      <c r="BE108" s="175">
        <v>121.09</v>
      </c>
      <c r="BF108" s="175">
        <v>121.07</v>
      </c>
      <c r="BG108" s="175">
        <v>119.35</v>
      </c>
      <c r="BH108" s="175">
        <v>120.56</v>
      </c>
      <c r="BI108" s="175">
        <v>121.09</v>
      </c>
      <c r="BJ108" s="175">
        <v>122.08</v>
      </c>
      <c r="BK108" s="175">
        <v>121.91</v>
      </c>
      <c r="BM108" s="184">
        <v>9.8399668735436183</v>
      </c>
      <c r="BN108" s="184">
        <v>12.185817617495941</v>
      </c>
      <c r="BO108" s="184">
        <v>13.690692464452699</v>
      </c>
      <c r="BP108" s="184">
        <v>10.677196874087855</v>
      </c>
      <c r="BQ108" s="184">
        <v>10.978442676963722</v>
      </c>
      <c r="BR108" s="184">
        <v>5.6372285333026166</v>
      </c>
      <c r="BS108" s="184">
        <v>12.615774695443044</v>
      </c>
      <c r="BT108" s="184">
        <v>15.133690867586155</v>
      </c>
      <c r="BU108" s="184">
        <v>32.166792055232108</v>
      </c>
      <c r="BV108" s="184">
        <v>23.707029520297876</v>
      </c>
    </row>
    <row r="109" spans="1:74" x14ac:dyDescent="0.25">
      <c r="A109" s="180">
        <v>42844</v>
      </c>
      <c r="B109" s="181">
        <v>0.59652777777777777</v>
      </c>
      <c r="C109" s="182">
        <v>121.13</v>
      </c>
      <c r="D109" s="182">
        <v>121.29</v>
      </c>
      <c r="E109" s="182">
        <v>122.96</v>
      </c>
      <c r="F109" s="182">
        <v>122.17</v>
      </c>
      <c r="H109" s="183">
        <v>121.9</v>
      </c>
      <c r="I109" s="184">
        <v>-0.8</v>
      </c>
      <c r="J109" s="184">
        <v>-0.6</v>
      </c>
      <c r="K109" s="184">
        <v>1.1000000000000001</v>
      </c>
      <c r="L109" s="184">
        <v>0.3</v>
      </c>
      <c r="N109" s="182">
        <v>120.95</v>
      </c>
      <c r="O109" s="182">
        <v>121.1</v>
      </c>
      <c r="P109" s="182">
        <v>121.28</v>
      </c>
      <c r="Q109" s="182">
        <v>121.17</v>
      </c>
      <c r="R109" s="182">
        <v>121.13</v>
      </c>
      <c r="S109" s="182">
        <v>119.72</v>
      </c>
      <c r="U109" s="184">
        <v>10.322992313038526</v>
      </c>
      <c r="V109" s="184">
        <v>12.685817617495941</v>
      </c>
      <c r="W109" s="184">
        <v>14.211851179149352</v>
      </c>
      <c r="X109" s="184">
        <v>11.185321220523203</v>
      </c>
      <c r="Y109" s="184">
        <v>11.481908511389625</v>
      </c>
      <c r="Z109" s="184">
        <v>6.001118435571029</v>
      </c>
      <c r="AA109" s="184">
        <v>13.119240529868947</v>
      </c>
      <c r="AB109" s="184">
        <v>15.656050977196557</v>
      </c>
      <c r="AC109" s="184">
        <v>32.934100546631754</v>
      </c>
      <c r="AD109" s="184">
        <v>24.346720172376639</v>
      </c>
      <c r="BB109" s="175">
        <v>120.95</v>
      </c>
      <c r="BC109" s="175">
        <v>121.1</v>
      </c>
      <c r="BD109" s="175">
        <v>121.28</v>
      </c>
      <c r="BE109" s="175">
        <v>121.17</v>
      </c>
      <c r="BF109" s="175">
        <v>121.13</v>
      </c>
      <c r="BG109" s="175">
        <v>119.72</v>
      </c>
      <c r="BH109" s="175">
        <v>121.13</v>
      </c>
      <c r="BI109" s="175">
        <v>121.29</v>
      </c>
      <c r="BJ109" s="175">
        <v>122.96</v>
      </c>
      <c r="BK109" s="175">
        <v>122.17</v>
      </c>
      <c r="BM109" s="184">
        <v>10.322992313038526</v>
      </c>
      <c r="BN109" s="184">
        <v>12.685817617495941</v>
      </c>
      <c r="BO109" s="184">
        <v>14.211851179149352</v>
      </c>
      <c r="BP109" s="184">
        <v>11.185321220523203</v>
      </c>
      <c r="BQ109" s="184">
        <v>11.481908511389625</v>
      </c>
      <c r="BR109" s="184">
        <v>6.001118435571029</v>
      </c>
      <c r="BS109" s="184">
        <v>13.119240529868947</v>
      </c>
      <c r="BT109" s="184">
        <v>15.656050977196557</v>
      </c>
      <c r="BU109" s="184">
        <v>32.934100546631754</v>
      </c>
      <c r="BV109" s="184">
        <v>24.346720172376639</v>
      </c>
    </row>
    <row r="110" spans="1:74" x14ac:dyDescent="0.25">
      <c r="A110" s="180">
        <v>42844</v>
      </c>
      <c r="B110" s="181">
        <v>0.59687499999999993</v>
      </c>
      <c r="C110" s="182">
        <v>120.69</v>
      </c>
      <c r="D110" s="182">
        <v>121.24</v>
      </c>
      <c r="E110" s="182">
        <v>122.08</v>
      </c>
      <c r="F110" s="182">
        <v>121.93</v>
      </c>
      <c r="H110" s="183">
        <v>121.5</v>
      </c>
      <c r="I110" s="184">
        <v>-0.8</v>
      </c>
      <c r="J110" s="184">
        <v>-0.3</v>
      </c>
      <c r="K110" s="184">
        <v>0.6</v>
      </c>
      <c r="L110" s="184">
        <v>0.4</v>
      </c>
      <c r="N110" s="182">
        <v>120.96</v>
      </c>
      <c r="O110" s="182">
        <v>121.06</v>
      </c>
      <c r="P110" s="182">
        <v>121.25</v>
      </c>
      <c r="Q110" s="182">
        <v>121.14</v>
      </c>
      <c r="R110" s="182">
        <v>121.12</v>
      </c>
      <c r="S110" s="182">
        <v>119.61</v>
      </c>
      <c r="U110" s="184">
        <v>10.80713124116915</v>
      </c>
      <c r="V110" s="184">
        <v>13.181233589942325</v>
      </c>
      <c r="W110" s="184">
        <v>14.729422262489026</v>
      </c>
      <c r="X110" s="184">
        <v>11.689947663561547</v>
      </c>
      <c r="Y110" s="184">
        <v>11.984216406528823</v>
      </c>
      <c r="Z110" s="184">
        <v>6.355907319552724</v>
      </c>
      <c r="AA110" s="184">
        <v>13.574197166185073</v>
      </c>
      <c r="AB110" s="184">
        <v>16.172431680077256</v>
      </c>
      <c r="AC110" s="184">
        <v>33.560671134102463</v>
      </c>
      <c r="AD110" s="184">
        <v>24.95201923915188</v>
      </c>
      <c r="BB110" s="175">
        <v>120.96</v>
      </c>
      <c r="BC110" s="175">
        <v>121.06</v>
      </c>
      <c r="BD110" s="175">
        <v>121.25</v>
      </c>
      <c r="BE110" s="175">
        <v>121.14</v>
      </c>
      <c r="BF110" s="175">
        <v>121.12</v>
      </c>
      <c r="BG110" s="175">
        <v>119.61</v>
      </c>
      <c r="BH110" s="175">
        <v>120.69</v>
      </c>
      <c r="BI110" s="175">
        <v>121.24</v>
      </c>
      <c r="BJ110" s="175">
        <v>122.08</v>
      </c>
      <c r="BK110" s="175">
        <v>121.93</v>
      </c>
      <c r="BM110" s="184">
        <v>10.80713124116915</v>
      </c>
      <c r="BN110" s="184">
        <v>13.181233589942325</v>
      </c>
      <c r="BO110" s="184">
        <v>14.729422262489026</v>
      </c>
      <c r="BP110" s="184">
        <v>11.689947663561547</v>
      </c>
      <c r="BQ110" s="184">
        <v>11.984216406528823</v>
      </c>
      <c r="BR110" s="184">
        <v>6.355907319552724</v>
      </c>
      <c r="BS110" s="184">
        <v>13.574197166185073</v>
      </c>
      <c r="BT110" s="184">
        <v>16.172431680077256</v>
      </c>
      <c r="BU110" s="184">
        <v>33.560671134102463</v>
      </c>
      <c r="BV110" s="184">
        <v>24.95201923915188</v>
      </c>
    </row>
    <row r="111" spans="1:74" x14ac:dyDescent="0.25">
      <c r="A111" s="180">
        <v>42844</v>
      </c>
      <c r="B111" s="181">
        <v>0.59722222222222221</v>
      </c>
      <c r="C111" s="182">
        <v>121.24</v>
      </c>
      <c r="D111" s="182">
        <v>121.33</v>
      </c>
      <c r="E111" s="182">
        <v>122.44</v>
      </c>
      <c r="F111" s="182">
        <v>122.18</v>
      </c>
      <c r="H111" s="183">
        <v>121.8</v>
      </c>
      <c r="I111" s="184">
        <v>-0.6</v>
      </c>
      <c r="J111" s="184">
        <v>-0.5</v>
      </c>
      <c r="K111" s="184">
        <v>0.6</v>
      </c>
      <c r="L111" s="184">
        <v>0.4</v>
      </c>
      <c r="N111" s="182">
        <v>121.05</v>
      </c>
      <c r="O111" s="182">
        <v>121.13</v>
      </c>
      <c r="P111" s="182">
        <v>121.32</v>
      </c>
      <c r="Q111" s="182">
        <v>121.23</v>
      </c>
      <c r="R111" s="182">
        <v>121.18</v>
      </c>
      <c r="S111" s="182">
        <v>119.97</v>
      </c>
      <c r="U111" s="184">
        <v>11.30140778849762</v>
      </c>
      <c r="V111" s="184">
        <v>13.684699424368228</v>
      </c>
      <c r="W111" s="184">
        <v>15.255403199400638</v>
      </c>
      <c r="X111" s="184">
        <v>12.205140723782357</v>
      </c>
      <c r="Y111" s="184">
        <v>12.493512100555883</v>
      </c>
      <c r="Z111" s="184">
        <v>6.7413590540849393</v>
      </c>
      <c r="AA111" s="184">
        <v>14.090577869065772</v>
      </c>
      <c r="AB111" s="184">
        <v>16.699625128272885</v>
      </c>
      <c r="AC111" s="184">
        <v>34.241393475335443</v>
      </c>
      <c r="AD111" s="184">
        <v>25.593184530479892</v>
      </c>
      <c r="BB111" s="175">
        <v>121.05</v>
      </c>
      <c r="BC111" s="175">
        <v>121.13</v>
      </c>
      <c r="BD111" s="175">
        <v>121.32</v>
      </c>
      <c r="BE111" s="175">
        <v>121.23</v>
      </c>
      <c r="BF111" s="175">
        <v>121.18</v>
      </c>
      <c r="BG111" s="175">
        <v>119.97</v>
      </c>
      <c r="BH111" s="175">
        <v>121.24</v>
      </c>
      <c r="BI111" s="175">
        <v>121.33</v>
      </c>
      <c r="BJ111" s="175">
        <v>122.44</v>
      </c>
      <c r="BK111" s="175">
        <v>122.18</v>
      </c>
      <c r="BM111" s="184">
        <v>11.30140778849762</v>
      </c>
      <c r="BN111" s="184">
        <v>13.684699424368228</v>
      </c>
      <c r="BO111" s="184">
        <v>15.255403199400638</v>
      </c>
      <c r="BP111" s="184">
        <v>12.205140723782357</v>
      </c>
      <c r="BQ111" s="184">
        <v>12.493512100555883</v>
      </c>
      <c r="BR111" s="184">
        <v>6.7413590540849393</v>
      </c>
      <c r="BS111" s="184">
        <v>14.090577869065772</v>
      </c>
      <c r="BT111" s="184">
        <v>16.699625128272885</v>
      </c>
      <c r="BU111" s="184">
        <v>34.241393475335443</v>
      </c>
      <c r="BV111" s="184">
        <v>25.593184530479892</v>
      </c>
    </row>
    <row r="112" spans="1:74" x14ac:dyDescent="0.25">
      <c r="A112" s="180">
        <v>42844</v>
      </c>
      <c r="B112" s="181">
        <v>0.59756944444444449</v>
      </c>
      <c r="C112" s="182">
        <v>120.84</v>
      </c>
      <c r="D112" s="182">
        <v>121.31</v>
      </c>
      <c r="E112" s="182">
        <v>122.33</v>
      </c>
      <c r="F112" s="182">
        <v>121.94</v>
      </c>
      <c r="H112" s="183">
        <v>121.6</v>
      </c>
      <c r="I112" s="184">
        <v>-0.8</v>
      </c>
      <c r="J112" s="184">
        <v>-0.3</v>
      </c>
      <c r="K112" s="184">
        <v>0.7</v>
      </c>
      <c r="L112" s="184">
        <v>0.3</v>
      </c>
      <c r="N112" s="182">
        <v>121.05</v>
      </c>
      <c r="O112" s="182">
        <v>121.09</v>
      </c>
      <c r="P112" s="182">
        <v>121.28</v>
      </c>
      <c r="Q112" s="182">
        <v>121.19</v>
      </c>
      <c r="R112" s="182">
        <v>121.17</v>
      </c>
      <c r="S112" s="182">
        <v>119.87</v>
      </c>
      <c r="U112" s="184">
        <v>11.79568433582609</v>
      </c>
      <c r="V112" s="184">
        <v>14.183549456279506</v>
      </c>
      <c r="W112" s="184">
        <v>15.776561914097291</v>
      </c>
      <c r="X112" s="184">
        <v>12.715610465636198</v>
      </c>
      <c r="Y112" s="184">
        <v>13.001636446991231</v>
      </c>
      <c r="Z112" s="184">
        <v>7.1180368359517985</v>
      </c>
      <c r="AA112" s="184">
        <v>14.561522667327194</v>
      </c>
      <c r="AB112" s="184">
        <v>17.224396342599047</v>
      </c>
      <c r="AC112" s="184">
        <v>34.905090704200312</v>
      </c>
      <c r="AD112" s="184">
        <v>26.199878955712382</v>
      </c>
      <c r="BB112" s="175">
        <v>121.05</v>
      </c>
      <c r="BC112" s="175">
        <v>121.09</v>
      </c>
      <c r="BD112" s="175">
        <v>121.28</v>
      </c>
      <c r="BE112" s="175">
        <v>121.19</v>
      </c>
      <c r="BF112" s="175">
        <v>121.17</v>
      </c>
      <c r="BG112" s="175">
        <v>119.87</v>
      </c>
      <c r="BH112" s="175">
        <v>120.84</v>
      </c>
      <c r="BI112" s="175">
        <v>121.31</v>
      </c>
      <c r="BJ112" s="175">
        <v>122.33</v>
      </c>
      <c r="BK112" s="175">
        <v>121.94</v>
      </c>
      <c r="BM112" s="184">
        <v>11.79568433582609</v>
      </c>
      <c r="BN112" s="184">
        <v>14.183549456279506</v>
      </c>
      <c r="BO112" s="184">
        <v>15.776561914097291</v>
      </c>
      <c r="BP112" s="184">
        <v>12.715610465636198</v>
      </c>
      <c r="BQ112" s="184">
        <v>13.001636446991231</v>
      </c>
      <c r="BR112" s="184">
        <v>7.1180368359517985</v>
      </c>
      <c r="BS112" s="184">
        <v>14.561522667327194</v>
      </c>
      <c r="BT112" s="184">
        <v>17.224396342599047</v>
      </c>
      <c r="BU112" s="184">
        <v>34.905090704200312</v>
      </c>
      <c r="BV112" s="184">
        <v>26.199878955712382</v>
      </c>
    </row>
    <row r="113" spans="1:74" x14ac:dyDescent="0.25">
      <c r="A113" s="180">
        <v>42844</v>
      </c>
      <c r="B113" s="181">
        <v>0.59791666666666665</v>
      </c>
      <c r="C113" s="182">
        <v>121.38</v>
      </c>
      <c r="D113" s="182">
        <v>121.35</v>
      </c>
      <c r="E113" s="182">
        <v>122.67</v>
      </c>
      <c r="F113" s="182">
        <v>122.2</v>
      </c>
      <c r="H113" s="183">
        <v>121.9</v>
      </c>
      <c r="I113" s="184">
        <v>-0.5</v>
      </c>
      <c r="J113" s="184">
        <v>-0.6</v>
      </c>
      <c r="K113" s="184">
        <v>0.8</v>
      </c>
      <c r="L113" s="184">
        <v>0.3</v>
      </c>
      <c r="N113" s="182">
        <v>121.14</v>
      </c>
      <c r="O113" s="182">
        <v>121.16</v>
      </c>
      <c r="P113" s="182">
        <v>121.34</v>
      </c>
      <c r="Q113" s="182">
        <v>121.28</v>
      </c>
      <c r="R113" s="182">
        <v>121.23</v>
      </c>
      <c r="S113" s="182">
        <v>120.21</v>
      </c>
      <c r="U113" s="184">
        <v>12.300310778864432</v>
      </c>
      <c r="V113" s="184">
        <v>14.690505149147846</v>
      </c>
      <c r="W113" s="184">
        <v>16.304970668704122</v>
      </c>
      <c r="X113" s="184">
        <v>13.236769180332852</v>
      </c>
      <c r="Y113" s="184">
        <v>13.516829507212041</v>
      </c>
      <c r="Z113" s="184">
        <v>7.5253889779622183</v>
      </c>
      <c r="AA113" s="184">
        <v>15.094820727942324</v>
      </c>
      <c r="AB113" s="184">
        <v>17.754023205187693</v>
      </c>
      <c r="AC113" s="184">
        <v>35.622835420877138</v>
      </c>
      <c r="AD113" s="184">
        <v>26.844003731558949</v>
      </c>
      <c r="BB113" s="175">
        <v>121.14</v>
      </c>
      <c r="BC113" s="175">
        <v>121.16</v>
      </c>
      <c r="BD113" s="175">
        <v>121.34</v>
      </c>
      <c r="BE113" s="175">
        <v>121.28</v>
      </c>
      <c r="BF113" s="175">
        <v>121.23</v>
      </c>
      <c r="BG113" s="175">
        <v>120.21</v>
      </c>
      <c r="BH113" s="175">
        <v>121.38</v>
      </c>
      <c r="BI113" s="175">
        <v>121.35</v>
      </c>
      <c r="BJ113" s="175">
        <v>122.67</v>
      </c>
      <c r="BK113" s="175">
        <v>122.2</v>
      </c>
      <c r="BM113" s="184">
        <v>12.300310778864432</v>
      </c>
      <c r="BN113" s="184">
        <v>14.690505149147846</v>
      </c>
      <c r="BO113" s="184">
        <v>16.304970668704122</v>
      </c>
      <c r="BP113" s="184">
        <v>13.236769180332852</v>
      </c>
      <c r="BQ113" s="184">
        <v>13.516829507212041</v>
      </c>
      <c r="BR113" s="184">
        <v>7.5253889779622183</v>
      </c>
      <c r="BS113" s="184">
        <v>15.094820727942324</v>
      </c>
      <c r="BT113" s="184">
        <v>17.754023205187693</v>
      </c>
      <c r="BU113" s="184">
        <v>35.622835420877138</v>
      </c>
      <c r="BV113" s="184">
        <v>26.844003731558949</v>
      </c>
    </row>
    <row r="114" spans="1:74" x14ac:dyDescent="0.25">
      <c r="A114" s="180">
        <v>42844</v>
      </c>
      <c r="B114" s="181">
        <v>0.59826388888888882</v>
      </c>
      <c r="C114" s="182">
        <v>120.95</v>
      </c>
      <c r="D114" s="182">
        <v>121.4</v>
      </c>
      <c r="E114" s="182">
        <v>122.35</v>
      </c>
      <c r="F114" s="182">
        <v>121.95</v>
      </c>
      <c r="H114" s="183">
        <v>121.7</v>
      </c>
      <c r="I114" s="184">
        <v>-0.8</v>
      </c>
      <c r="J114" s="184">
        <v>-0.3</v>
      </c>
      <c r="K114" s="184">
        <v>0.6</v>
      </c>
      <c r="L114" s="184">
        <v>0.3</v>
      </c>
      <c r="N114" s="182">
        <v>121.14</v>
      </c>
      <c r="O114" s="182">
        <v>121.12</v>
      </c>
      <c r="P114" s="182">
        <v>121.31</v>
      </c>
      <c r="Q114" s="182">
        <v>121.25999999999999</v>
      </c>
      <c r="R114" s="182">
        <v>121.22</v>
      </c>
      <c r="S114" s="182">
        <v>120.1</v>
      </c>
      <c r="U114" s="184">
        <v>12.804937221902776</v>
      </c>
      <c r="V114" s="184">
        <v>15.192813044287044</v>
      </c>
      <c r="W114" s="184">
        <v>16.829741883030284</v>
      </c>
      <c r="X114" s="184">
        <v>13.755533388241858</v>
      </c>
      <c r="Y114" s="184">
        <v>14.030837656275278</v>
      </c>
      <c r="Z114" s="184">
        <v>7.9225530953243588</v>
      </c>
      <c r="AA114" s="184">
        <v>15.577846167437231</v>
      </c>
      <c r="AB114" s="184">
        <v>18.289782857806497</v>
      </c>
      <c r="AC114" s="184">
        <v>36.289596136958799</v>
      </c>
      <c r="AD114" s="184">
        <v>27.452096731882136</v>
      </c>
      <c r="BB114" s="175">
        <v>121.14</v>
      </c>
      <c r="BC114" s="175">
        <v>121.12</v>
      </c>
      <c r="BD114" s="175">
        <v>121.31</v>
      </c>
      <c r="BE114" s="175">
        <v>121.25999999999999</v>
      </c>
      <c r="BF114" s="175">
        <v>121.22</v>
      </c>
      <c r="BG114" s="175">
        <v>120.1</v>
      </c>
      <c r="BH114" s="175">
        <v>120.95</v>
      </c>
      <c r="BI114" s="175">
        <v>121.4</v>
      </c>
      <c r="BJ114" s="175">
        <v>122.35</v>
      </c>
      <c r="BK114" s="175">
        <v>121.95</v>
      </c>
      <c r="BM114" s="184">
        <v>12.804937221902776</v>
      </c>
      <c r="BN114" s="184">
        <v>15.192813044287044</v>
      </c>
      <c r="BO114" s="184">
        <v>16.829741883030284</v>
      </c>
      <c r="BP114" s="184">
        <v>13.755533388241858</v>
      </c>
      <c r="BQ114" s="184">
        <v>14.030837656275278</v>
      </c>
      <c r="BR114" s="184">
        <v>7.9225530953243588</v>
      </c>
      <c r="BS114" s="184">
        <v>15.577846167437231</v>
      </c>
      <c r="BT114" s="184">
        <v>18.289782857806497</v>
      </c>
      <c r="BU114" s="184">
        <v>36.289596136958799</v>
      </c>
      <c r="BV114" s="184">
        <v>27.452096731882136</v>
      </c>
    </row>
    <row r="115" spans="1:74" x14ac:dyDescent="0.25">
      <c r="A115" s="180">
        <v>42844</v>
      </c>
      <c r="B115" s="181">
        <v>0.59861111111111109</v>
      </c>
      <c r="C115" s="182">
        <v>121.47</v>
      </c>
      <c r="D115" s="182">
        <v>121.35</v>
      </c>
      <c r="E115" s="182">
        <v>122.27</v>
      </c>
      <c r="F115" s="182">
        <v>122.2</v>
      </c>
      <c r="H115" s="183">
        <v>121.8</v>
      </c>
      <c r="I115" s="184">
        <v>-0.3</v>
      </c>
      <c r="J115" s="184">
        <v>-0.5</v>
      </c>
      <c r="K115" s="184">
        <v>0.5</v>
      </c>
      <c r="L115" s="184">
        <v>0.4</v>
      </c>
      <c r="N115" s="182">
        <v>121.21</v>
      </c>
      <c r="O115" s="182">
        <v>121.19</v>
      </c>
      <c r="P115" s="182">
        <v>121.35</v>
      </c>
      <c r="Q115" s="182">
        <v>121.34</v>
      </c>
      <c r="R115" s="182">
        <v>121.28</v>
      </c>
      <c r="S115" s="182">
        <v>120.42</v>
      </c>
      <c r="U115" s="184">
        <v>13.317763185028479</v>
      </c>
      <c r="V115" s="184">
        <v>15.703282786140885</v>
      </c>
      <c r="W115" s="184">
        <v>17.35936874561893</v>
      </c>
      <c r="X115" s="184">
        <v>14.283942142848689</v>
      </c>
      <c r="Y115" s="184">
        <v>14.551996370971931</v>
      </c>
      <c r="Z115" s="184">
        <v>8.3500864517667015</v>
      </c>
      <c r="AA115" s="184">
        <v>16.122311214103949</v>
      </c>
      <c r="AB115" s="184">
        <v>18.819409720395143</v>
      </c>
      <c r="AC115" s="184">
        <v>36.944187098458507</v>
      </c>
      <c r="AD115" s="184">
        <v>28.096221507728703</v>
      </c>
      <c r="BB115" s="175">
        <v>121.21</v>
      </c>
      <c r="BC115" s="175">
        <v>121.19</v>
      </c>
      <c r="BD115" s="175">
        <v>121.35</v>
      </c>
      <c r="BE115" s="175">
        <v>121.34</v>
      </c>
      <c r="BF115" s="175">
        <v>121.28</v>
      </c>
      <c r="BG115" s="175">
        <v>120.42</v>
      </c>
      <c r="BH115" s="175">
        <v>121.47</v>
      </c>
      <c r="BI115" s="175">
        <v>121.35</v>
      </c>
      <c r="BJ115" s="175">
        <v>122.27</v>
      </c>
      <c r="BK115" s="175">
        <v>122.2</v>
      </c>
      <c r="BM115" s="184">
        <v>13.317763185028479</v>
      </c>
      <c r="BN115" s="184">
        <v>15.703282786140885</v>
      </c>
      <c r="BO115" s="184">
        <v>17.35936874561893</v>
      </c>
      <c r="BP115" s="184">
        <v>14.283942142848689</v>
      </c>
      <c r="BQ115" s="184">
        <v>14.551996370971931</v>
      </c>
      <c r="BR115" s="184">
        <v>8.3500864517667015</v>
      </c>
      <c r="BS115" s="184">
        <v>16.122311214103949</v>
      </c>
      <c r="BT115" s="184">
        <v>18.819409720395143</v>
      </c>
      <c r="BU115" s="184">
        <v>36.944187098458507</v>
      </c>
      <c r="BV115" s="184">
        <v>28.096221507728703</v>
      </c>
    </row>
    <row r="116" spans="1:74" x14ac:dyDescent="0.25">
      <c r="A116" s="180">
        <v>42844</v>
      </c>
      <c r="B116" s="181">
        <v>0.59895833333333337</v>
      </c>
      <c r="C116" s="182">
        <v>121.05</v>
      </c>
      <c r="D116" s="182">
        <v>121.47</v>
      </c>
      <c r="E116" s="182">
        <v>122.46</v>
      </c>
      <c r="F116" s="182">
        <v>121.94</v>
      </c>
      <c r="H116" s="183">
        <v>121.7</v>
      </c>
      <c r="I116" s="184">
        <v>-0.7</v>
      </c>
      <c r="J116" s="184">
        <v>-0.2</v>
      </c>
      <c r="K116" s="184">
        <v>0.8</v>
      </c>
      <c r="L116" s="184">
        <v>0.2</v>
      </c>
      <c r="N116" s="182">
        <v>121.2</v>
      </c>
      <c r="O116" s="182">
        <v>121.15</v>
      </c>
      <c r="P116" s="182">
        <v>121.32</v>
      </c>
      <c r="Q116" s="182">
        <v>121.31</v>
      </c>
      <c r="R116" s="182">
        <v>121.26</v>
      </c>
      <c r="S116" s="182">
        <v>120.3</v>
      </c>
      <c r="U116" s="184">
        <v>13.829409681168856</v>
      </c>
      <c r="V116" s="184">
        <v>16.209072513270836</v>
      </c>
      <c r="W116" s="184">
        <v>17.885349682530542</v>
      </c>
      <c r="X116" s="184">
        <v>14.808713357174851</v>
      </c>
      <c r="Y116" s="184">
        <v>15.07076057888094</v>
      </c>
      <c r="Z116" s="184">
        <v>8.7659683373180375</v>
      </c>
      <c r="AA116" s="184">
        <v>16.616587761432417</v>
      </c>
      <c r="AB116" s="184">
        <v>19.363874767061859</v>
      </c>
      <c r="AC116" s="184">
        <v>37.62805151125643</v>
      </c>
      <c r="AD116" s="184">
        <v>28.702915932961194</v>
      </c>
      <c r="BB116" s="175">
        <v>121.2</v>
      </c>
      <c r="BC116" s="175">
        <v>121.15</v>
      </c>
      <c r="BD116" s="175">
        <v>121.32</v>
      </c>
      <c r="BE116" s="175">
        <v>121.31</v>
      </c>
      <c r="BF116" s="175">
        <v>121.26</v>
      </c>
      <c r="BG116" s="175">
        <v>120.3</v>
      </c>
      <c r="BH116" s="175">
        <v>121.05</v>
      </c>
      <c r="BI116" s="175">
        <v>121.47</v>
      </c>
      <c r="BJ116" s="175">
        <v>122.46</v>
      </c>
      <c r="BK116" s="175">
        <v>121.94</v>
      </c>
      <c r="BM116" s="184">
        <v>13.829409681168856</v>
      </c>
      <c r="BN116" s="184">
        <v>16.209072513270836</v>
      </c>
      <c r="BO116" s="184">
        <v>17.885349682530542</v>
      </c>
      <c r="BP116" s="184">
        <v>14.808713357174851</v>
      </c>
      <c r="BQ116" s="184">
        <v>15.07076057888094</v>
      </c>
      <c r="BR116" s="184">
        <v>8.7659683373180375</v>
      </c>
      <c r="BS116" s="184">
        <v>16.616587761432417</v>
      </c>
      <c r="BT116" s="184">
        <v>19.363874767061859</v>
      </c>
      <c r="BU116" s="184">
        <v>37.62805151125643</v>
      </c>
      <c r="BV116" s="184">
        <v>28.702915932961194</v>
      </c>
    </row>
    <row r="117" spans="1:74" x14ac:dyDescent="0.25">
      <c r="A117" s="180">
        <v>42844</v>
      </c>
      <c r="B117" s="181">
        <v>0.59930555555555554</v>
      </c>
      <c r="C117" s="182">
        <v>121.52</v>
      </c>
      <c r="D117" s="182">
        <v>121.34</v>
      </c>
      <c r="E117" s="182">
        <v>121.99</v>
      </c>
      <c r="F117" s="182">
        <v>122.18</v>
      </c>
      <c r="H117" s="183">
        <v>121.8</v>
      </c>
      <c r="I117" s="184">
        <v>-0.3</v>
      </c>
      <c r="J117" s="184">
        <v>-0.5</v>
      </c>
      <c r="K117" s="184">
        <v>0.2</v>
      </c>
      <c r="L117" s="184">
        <v>0.4</v>
      </c>
      <c r="N117" s="182">
        <v>121.27</v>
      </c>
      <c r="O117" s="182">
        <v>121.21</v>
      </c>
      <c r="P117" s="182">
        <v>121.36</v>
      </c>
      <c r="Q117" s="182">
        <v>121.38</v>
      </c>
      <c r="R117" s="182">
        <v>121.32</v>
      </c>
      <c r="S117" s="182">
        <v>120.6</v>
      </c>
      <c r="U117" s="184">
        <v>14.349369764083386</v>
      </c>
      <c r="V117" s="184">
        <v>16.721898476396539</v>
      </c>
      <c r="W117" s="184">
        <v>18.416197461129904</v>
      </c>
      <c r="X117" s="184">
        <v>15.34201141778998</v>
      </c>
      <c r="Y117" s="184">
        <v>15.596741515792552</v>
      </c>
      <c r="Z117" s="184">
        <v>9.2115938063849097</v>
      </c>
      <c r="AA117" s="184">
        <v>17.167357416203124</v>
      </c>
      <c r="AB117" s="184">
        <v>19.892283521668688</v>
      </c>
      <c r="AC117" s="184">
        <v>38.241771126835637</v>
      </c>
      <c r="AD117" s="184">
        <v>29.344081224289205</v>
      </c>
      <c r="BB117" s="175">
        <v>121.27</v>
      </c>
      <c r="BC117" s="175">
        <v>121.21</v>
      </c>
      <c r="BD117" s="175">
        <v>121.36</v>
      </c>
      <c r="BE117" s="175">
        <v>121.38</v>
      </c>
      <c r="BF117" s="175">
        <v>121.32</v>
      </c>
      <c r="BG117" s="175">
        <v>120.6</v>
      </c>
      <c r="BH117" s="175">
        <v>121.52</v>
      </c>
      <c r="BI117" s="175">
        <v>121.34</v>
      </c>
      <c r="BJ117" s="175">
        <v>121.99</v>
      </c>
      <c r="BK117" s="175">
        <v>122.18</v>
      </c>
      <c r="BM117" s="184">
        <v>14.349369764083386</v>
      </c>
      <c r="BN117" s="184">
        <v>16.721898476396539</v>
      </c>
      <c r="BO117" s="184">
        <v>18.416197461129904</v>
      </c>
      <c r="BP117" s="184">
        <v>15.34201141778998</v>
      </c>
      <c r="BQ117" s="184">
        <v>15.596741515792552</v>
      </c>
      <c r="BR117" s="184">
        <v>9.2115938063849097</v>
      </c>
      <c r="BS117" s="184">
        <v>17.167357416203124</v>
      </c>
      <c r="BT117" s="184">
        <v>19.892283521668688</v>
      </c>
      <c r="BU117" s="184">
        <v>38.241771126835637</v>
      </c>
      <c r="BV117" s="184">
        <v>29.344081224289205</v>
      </c>
    </row>
    <row r="118" spans="1:74" x14ac:dyDescent="0.25">
      <c r="A118" s="180">
        <v>42844</v>
      </c>
      <c r="B118" s="181">
        <v>0.59965277777777781</v>
      </c>
      <c r="C118" s="182">
        <v>121.27</v>
      </c>
      <c r="D118" s="182">
        <v>121.72</v>
      </c>
      <c r="E118" s="182">
        <v>122.94</v>
      </c>
      <c r="F118" s="182">
        <v>121.98</v>
      </c>
      <c r="H118" s="183">
        <v>122</v>
      </c>
      <c r="I118" s="184">
        <v>-0.7</v>
      </c>
      <c r="J118" s="184">
        <v>-0.3</v>
      </c>
      <c r="K118" s="184">
        <v>0.9</v>
      </c>
      <c r="L118" s="184">
        <v>0</v>
      </c>
      <c r="N118" s="182">
        <v>121.26</v>
      </c>
      <c r="O118" s="182">
        <v>121.18</v>
      </c>
      <c r="P118" s="182">
        <v>121.32</v>
      </c>
      <c r="Q118" s="182">
        <v>121.36</v>
      </c>
      <c r="R118" s="182">
        <v>121.3</v>
      </c>
      <c r="S118" s="182">
        <v>120.54</v>
      </c>
      <c r="U118" s="184">
        <v>14.868133971992394</v>
      </c>
      <c r="V118" s="184">
        <v>17.231194170423599</v>
      </c>
      <c r="W118" s="184">
        <v>18.942178398041516</v>
      </c>
      <c r="X118" s="184">
        <v>15.872859196389342</v>
      </c>
      <c r="Y118" s="184">
        <v>16.120305789818001</v>
      </c>
      <c r="Z118" s="184">
        <v>9.6511050648003529</v>
      </c>
      <c r="AA118" s="184">
        <v>17.687317499117654</v>
      </c>
      <c r="AB118" s="184">
        <v>20.469010150579233</v>
      </c>
      <c r="AC118" s="184">
        <v>39.005554155954677</v>
      </c>
      <c r="AD118" s="184">
        <v>29.95638932392173</v>
      </c>
      <c r="BB118" s="175">
        <v>121.26</v>
      </c>
      <c r="BC118" s="175">
        <v>121.18</v>
      </c>
      <c r="BD118" s="175">
        <v>121.32</v>
      </c>
      <c r="BE118" s="175">
        <v>121.36</v>
      </c>
      <c r="BF118" s="175">
        <v>121.3</v>
      </c>
      <c r="BG118" s="175">
        <v>120.54</v>
      </c>
      <c r="BH118" s="175">
        <v>121.27</v>
      </c>
      <c r="BI118" s="175">
        <v>121.72</v>
      </c>
      <c r="BJ118" s="175">
        <v>122.94</v>
      </c>
      <c r="BK118" s="175">
        <v>121.98</v>
      </c>
      <c r="BM118" s="184">
        <v>14.868133971992394</v>
      </c>
      <c r="BN118" s="184">
        <v>17.231194170423599</v>
      </c>
      <c r="BO118" s="184">
        <v>18.942178398041516</v>
      </c>
      <c r="BP118" s="184">
        <v>15.872859196389342</v>
      </c>
      <c r="BQ118" s="184">
        <v>16.120305789818001</v>
      </c>
      <c r="BR118" s="184">
        <v>9.6511050648003529</v>
      </c>
      <c r="BS118" s="184">
        <v>17.687317499117654</v>
      </c>
      <c r="BT118" s="184">
        <v>20.469010150579233</v>
      </c>
      <c r="BU118" s="184">
        <v>39.005554155954677</v>
      </c>
      <c r="BV118" s="184">
        <v>29.95638932392173</v>
      </c>
    </row>
    <row r="119" spans="1:74" x14ac:dyDescent="0.25">
      <c r="A119" s="180">
        <v>42844</v>
      </c>
      <c r="B119" s="181">
        <v>0.6</v>
      </c>
      <c r="C119" s="182">
        <v>121.51</v>
      </c>
      <c r="D119" s="182">
        <v>121.39</v>
      </c>
      <c r="E119" s="182">
        <v>121.61</v>
      </c>
      <c r="F119" s="182">
        <v>122.16</v>
      </c>
      <c r="H119" s="183">
        <v>121.7</v>
      </c>
      <c r="I119" s="184">
        <v>-0.2</v>
      </c>
      <c r="J119" s="184">
        <v>-0.3</v>
      </c>
      <c r="K119" s="184">
        <v>-0.1</v>
      </c>
      <c r="L119" s="184">
        <v>0.5</v>
      </c>
      <c r="N119" s="182">
        <v>121.31</v>
      </c>
      <c r="O119" s="182">
        <v>121.23</v>
      </c>
      <c r="P119" s="182">
        <v>121.36</v>
      </c>
      <c r="Q119" s="182">
        <v>121.42</v>
      </c>
      <c r="R119" s="182">
        <v>121.36</v>
      </c>
      <c r="S119" s="182">
        <v>120.73</v>
      </c>
      <c r="U119" s="184">
        <v>15.392905186318556</v>
      </c>
      <c r="V119" s="184">
        <v>17.746387230644409</v>
      </c>
      <c r="W119" s="184">
        <v>19.473026176640879</v>
      </c>
      <c r="X119" s="184">
        <v>16.411091803204261</v>
      </c>
      <c r="Y119" s="184">
        <v>16.651153568417364</v>
      </c>
      <c r="Z119" s="184">
        <v>10.110271363042145</v>
      </c>
      <c r="AA119" s="184">
        <v>18.236820418833915</v>
      </c>
      <c r="AB119" s="184">
        <v>21.003537590190565</v>
      </c>
      <c r="AC119" s="184">
        <v>39.567856642938139</v>
      </c>
      <c r="AD119" s="184">
        <v>30.594608728327401</v>
      </c>
      <c r="BB119" s="175">
        <v>121.31</v>
      </c>
      <c r="BC119" s="175">
        <v>121.23</v>
      </c>
      <c r="BD119" s="175">
        <v>121.36</v>
      </c>
      <c r="BE119" s="175">
        <v>121.42</v>
      </c>
      <c r="BF119" s="175">
        <v>121.36</v>
      </c>
      <c r="BG119" s="175">
        <v>120.73</v>
      </c>
      <c r="BH119" s="175">
        <v>121.51</v>
      </c>
      <c r="BI119" s="175">
        <v>121.39</v>
      </c>
      <c r="BJ119" s="175">
        <v>121.61</v>
      </c>
      <c r="BK119" s="175">
        <v>122.16</v>
      </c>
      <c r="BM119" s="184">
        <v>15.392905186318556</v>
      </c>
      <c r="BN119" s="184">
        <v>17.746387230644409</v>
      </c>
      <c r="BO119" s="184">
        <v>19.473026176640879</v>
      </c>
      <c r="BP119" s="184">
        <v>16.411091803204261</v>
      </c>
      <c r="BQ119" s="184">
        <v>16.651153568417364</v>
      </c>
      <c r="BR119" s="184">
        <v>10.110271363042145</v>
      </c>
      <c r="BS119" s="184">
        <v>18.236820418833915</v>
      </c>
      <c r="BT119" s="184">
        <v>21.003537590190565</v>
      </c>
      <c r="BU119" s="184">
        <v>39.567856642938139</v>
      </c>
      <c r="BV119" s="184">
        <v>30.594608728327401</v>
      </c>
    </row>
    <row r="120" spans="1:74" x14ac:dyDescent="0.25">
      <c r="A120" s="180">
        <v>42844</v>
      </c>
      <c r="B120" s="181">
        <v>0.60034722222222225</v>
      </c>
      <c r="C120" s="182">
        <v>121.57</v>
      </c>
      <c r="D120" s="182">
        <v>122.38</v>
      </c>
      <c r="E120" s="182">
        <v>123</v>
      </c>
      <c r="F120" s="182">
        <v>122.05</v>
      </c>
      <c r="H120" s="183">
        <v>122.3</v>
      </c>
      <c r="I120" s="184">
        <v>-0.7</v>
      </c>
      <c r="J120" s="184">
        <v>0.1</v>
      </c>
      <c r="K120" s="184">
        <v>0.7</v>
      </c>
      <c r="L120" s="184">
        <v>-0.3</v>
      </c>
      <c r="N120" s="182">
        <v>121.31</v>
      </c>
      <c r="O120" s="182">
        <v>121.21</v>
      </c>
      <c r="P120" s="182">
        <v>121.33</v>
      </c>
      <c r="Q120" s="182">
        <v>121.41</v>
      </c>
      <c r="R120" s="182">
        <v>121.34</v>
      </c>
      <c r="S120" s="182">
        <v>120.79</v>
      </c>
      <c r="U120" s="184">
        <v>15.917676400644718</v>
      </c>
      <c r="V120" s="184">
        <v>18.259213193770112</v>
      </c>
      <c r="W120" s="184">
        <v>20.000219624836507</v>
      </c>
      <c r="X120" s="184">
        <v>16.948086509374885</v>
      </c>
      <c r="Y120" s="184">
        <v>17.179562323024193</v>
      </c>
      <c r="Z120" s="184">
        <v>10.575825300776062</v>
      </c>
      <c r="AA120" s="184">
        <v>18.793967685629781</v>
      </c>
      <c r="AB120" s="184">
        <v>21.674920070759498</v>
      </c>
      <c r="AC120" s="184">
        <v>40.34226495239438</v>
      </c>
      <c r="AD120" s="184">
        <v>31.216866034213094</v>
      </c>
      <c r="BB120" s="175">
        <v>121.31</v>
      </c>
      <c r="BC120" s="175">
        <v>121.21</v>
      </c>
      <c r="BD120" s="175">
        <v>121.33</v>
      </c>
      <c r="BE120" s="175">
        <v>121.41</v>
      </c>
      <c r="BF120" s="175">
        <v>121.34</v>
      </c>
      <c r="BG120" s="175">
        <v>120.79</v>
      </c>
      <c r="BH120" s="175">
        <v>121.57</v>
      </c>
      <c r="BI120" s="175">
        <v>122.38</v>
      </c>
      <c r="BJ120" s="175">
        <v>123</v>
      </c>
      <c r="BK120" s="175">
        <v>122.05</v>
      </c>
      <c r="BM120" s="184">
        <v>15.917676400644718</v>
      </c>
      <c r="BN120" s="184">
        <v>18.259213193770112</v>
      </c>
      <c r="BO120" s="184">
        <v>20.000219624836507</v>
      </c>
      <c r="BP120" s="184">
        <v>16.948086509374885</v>
      </c>
      <c r="BQ120" s="184">
        <v>17.179562323024193</v>
      </c>
      <c r="BR120" s="184">
        <v>10.575825300776062</v>
      </c>
      <c r="BS120" s="184">
        <v>18.793967685629781</v>
      </c>
      <c r="BT120" s="184">
        <v>21.674920070759498</v>
      </c>
      <c r="BU120" s="184">
        <v>40.34226495239438</v>
      </c>
      <c r="BV120" s="184">
        <v>31.216866034213094</v>
      </c>
    </row>
    <row r="121" spans="1:74" x14ac:dyDescent="0.25">
      <c r="A121" s="180">
        <v>42844</v>
      </c>
      <c r="B121" s="181">
        <v>0.60069444444444442</v>
      </c>
      <c r="C121" s="182">
        <v>121.44</v>
      </c>
      <c r="D121" s="182">
        <v>121.42</v>
      </c>
      <c r="E121" s="182">
        <v>121.19</v>
      </c>
      <c r="F121" s="182">
        <v>122.09</v>
      </c>
      <c r="H121" s="183">
        <v>121.5</v>
      </c>
      <c r="I121" s="184">
        <v>-0.1</v>
      </c>
      <c r="J121" s="184">
        <v>-0.1</v>
      </c>
      <c r="K121" s="184">
        <v>-0.3</v>
      </c>
      <c r="L121" s="184">
        <v>0.6</v>
      </c>
      <c r="N121" s="182">
        <v>121.34</v>
      </c>
      <c r="O121" s="182">
        <v>121.22</v>
      </c>
      <c r="P121" s="182">
        <v>121.36</v>
      </c>
      <c r="Q121" s="182">
        <v>121.45</v>
      </c>
      <c r="R121" s="182">
        <v>121.38</v>
      </c>
      <c r="S121" s="182">
        <v>120.82</v>
      </c>
      <c r="U121" s="184">
        <v>16.446085155251549</v>
      </c>
      <c r="V121" s="184">
        <v>18.773221342833349</v>
      </c>
      <c r="W121" s="184">
        <v>20.53106740343587</v>
      </c>
      <c r="X121" s="184">
        <v>17.490049966385488</v>
      </c>
      <c r="Y121" s="184">
        <v>17.71286038363932</v>
      </c>
      <c r="Z121" s="184">
        <v>11.044606304239002</v>
      </c>
      <c r="AA121" s="184">
        <v>19.33468466127875</v>
      </c>
      <c r="AB121" s="184">
        <v>22.213152677574417</v>
      </c>
      <c r="AC121" s="184">
        <v>40.85273469424822</v>
      </c>
      <c r="AD121" s="184">
        <v>31.844881016060533</v>
      </c>
      <c r="BB121" s="175">
        <v>121.34</v>
      </c>
      <c r="BC121" s="175">
        <v>121.22</v>
      </c>
      <c r="BD121" s="175">
        <v>121.36</v>
      </c>
      <c r="BE121" s="175">
        <v>121.45</v>
      </c>
      <c r="BF121" s="175">
        <v>121.38</v>
      </c>
      <c r="BG121" s="175">
        <v>120.82</v>
      </c>
      <c r="BH121" s="175">
        <v>121.44</v>
      </c>
      <c r="BI121" s="175">
        <v>121.42</v>
      </c>
      <c r="BJ121" s="175">
        <v>121.19</v>
      </c>
      <c r="BK121" s="175">
        <v>122.09</v>
      </c>
      <c r="BM121" s="184">
        <v>16.446085155251549</v>
      </c>
      <c r="BN121" s="184">
        <v>18.773221342833349</v>
      </c>
      <c r="BO121" s="184">
        <v>20.53106740343587</v>
      </c>
      <c r="BP121" s="184">
        <v>17.490049966385488</v>
      </c>
      <c r="BQ121" s="184">
        <v>17.71286038363932</v>
      </c>
      <c r="BR121" s="184">
        <v>11.044606304239002</v>
      </c>
      <c r="BS121" s="184">
        <v>19.33468466127875</v>
      </c>
      <c r="BT121" s="184">
        <v>22.213152677574417</v>
      </c>
      <c r="BU121" s="184">
        <v>40.85273469424822</v>
      </c>
      <c r="BV121" s="184">
        <v>31.844881016060533</v>
      </c>
    </row>
    <row r="122" spans="1:74" x14ac:dyDescent="0.25">
      <c r="A122" s="180">
        <v>42844</v>
      </c>
      <c r="B122" s="181">
        <v>0.6010416666666667</v>
      </c>
      <c r="C122" s="182">
        <v>121.79</v>
      </c>
      <c r="D122" s="182">
        <v>122.42</v>
      </c>
      <c r="E122" s="182">
        <v>122.83</v>
      </c>
      <c r="F122" s="182">
        <v>122.14</v>
      </c>
      <c r="H122" s="183">
        <v>122.3</v>
      </c>
      <c r="I122" s="184">
        <v>-0.5</v>
      </c>
      <c r="J122" s="184">
        <v>0.1</v>
      </c>
      <c r="K122" s="184">
        <v>0.5</v>
      </c>
      <c r="L122" s="184">
        <v>-0.2</v>
      </c>
      <c r="N122" s="182">
        <v>121.36</v>
      </c>
      <c r="O122" s="182">
        <v>121.24</v>
      </c>
      <c r="P122" s="182">
        <v>121.36</v>
      </c>
      <c r="Q122" s="182">
        <v>121.47</v>
      </c>
      <c r="R122" s="182">
        <v>121.38</v>
      </c>
      <c r="S122" s="182">
        <v>121.01</v>
      </c>
      <c r="U122" s="184">
        <v>16.976932933850911</v>
      </c>
      <c r="V122" s="184">
        <v>19.289602045714048</v>
      </c>
      <c r="W122" s="184">
        <v>21.061915182035232</v>
      </c>
      <c r="X122" s="184">
        <v>18.034515013052204</v>
      </c>
      <c r="Y122" s="184">
        <v>18.246158444254448</v>
      </c>
      <c r="Z122" s="184">
        <v>11.534351296943353</v>
      </c>
      <c r="AA122" s="184">
        <v>19.920782344052817</v>
      </c>
      <c r="AB122" s="184">
        <v>22.890747383749936</v>
      </c>
      <c r="AC122" s="184">
        <v>41.597415233103675</v>
      </c>
      <c r="AD122" s="184">
        <v>32.480168068664803</v>
      </c>
      <c r="BB122" s="175">
        <v>121.36</v>
      </c>
      <c r="BC122" s="175">
        <v>121.24</v>
      </c>
      <c r="BD122" s="175">
        <v>121.36</v>
      </c>
      <c r="BE122" s="175">
        <v>121.47</v>
      </c>
      <c r="BF122" s="175">
        <v>121.38</v>
      </c>
      <c r="BG122" s="175">
        <v>121.01</v>
      </c>
      <c r="BH122" s="175">
        <v>121.79</v>
      </c>
      <c r="BI122" s="175">
        <v>122.42</v>
      </c>
      <c r="BJ122" s="175">
        <v>122.83</v>
      </c>
      <c r="BK122" s="175">
        <v>122.14</v>
      </c>
      <c r="BM122" s="184">
        <v>16.976932933850911</v>
      </c>
      <c r="BN122" s="184">
        <v>19.289602045714048</v>
      </c>
      <c r="BO122" s="184">
        <v>21.061915182035232</v>
      </c>
      <c r="BP122" s="184">
        <v>18.034515013052204</v>
      </c>
      <c r="BQ122" s="184">
        <v>18.246158444254448</v>
      </c>
      <c r="BR122" s="184">
        <v>11.534351296943353</v>
      </c>
      <c r="BS122" s="184">
        <v>19.920782344052817</v>
      </c>
      <c r="BT122" s="184">
        <v>22.890747383749936</v>
      </c>
      <c r="BU122" s="184">
        <v>41.597415233103675</v>
      </c>
      <c r="BV122" s="184">
        <v>32.480168068664803</v>
      </c>
    </row>
    <row r="123" spans="1:74" x14ac:dyDescent="0.25">
      <c r="A123" s="180">
        <v>42844</v>
      </c>
      <c r="B123" s="181">
        <v>0.60138888888888886</v>
      </c>
      <c r="C123" s="182">
        <v>121.27</v>
      </c>
      <c r="D123" s="182">
        <v>121.45</v>
      </c>
      <c r="E123" s="182">
        <v>121.28</v>
      </c>
      <c r="F123" s="182">
        <v>122</v>
      </c>
      <c r="H123" s="183">
        <v>121.5</v>
      </c>
      <c r="I123" s="184">
        <v>-0.2</v>
      </c>
      <c r="J123" s="184">
        <v>0</v>
      </c>
      <c r="K123" s="184">
        <v>-0.2</v>
      </c>
      <c r="L123" s="184">
        <v>0.5</v>
      </c>
      <c r="N123" s="182">
        <v>121.35</v>
      </c>
      <c r="O123" s="182">
        <v>121.21</v>
      </c>
      <c r="P123" s="182">
        <v>121.34</v>
      </c>
      <c r="Q123" s="182">
        <v>121.47</v>
      </c>
      <c r="R123" s="182">
        <v>121.39</v>
      </c>
      <c r="S123" s="182">
        <v>120.87</v>
      </c>
      <c r="U123" s="184">
        <v>17.506559796439554</v>
      </c>
      <c r="V123" s="184">
        <v>19.802428008839751</v>
      </c>
      <c r="W123" s="184">
        <v>21.590323936642061</v>
      </c>
      <c r="X123" s="184">
        <v>18.578980059718919</v>
      </c>
      <c r="Y123" s="184">
        <v>18.780685883865779</v>
      </c>
      <c r="Z123" s="184">
        <v>12.008560528593803</v>
      </c>
      <c r="AA123" s="184">
        <v>20.440742426967347</v>
      </c>
      <c r="AB123" s="184">
        <v>23.432710840760539</v>
      </c>
      <c r="AC123" s="184">
        <v>42.118573947800328</v>
      </c>
      <c r="AD123" s="184">
        <v>33.095302454070996</v>
      </c>
      <c r="BB123" s="175">
        <v>121.35</v>
      </c>
      <c r="BC123" s="175">
        <v>121.21</v>
      </c>
      <c r="BD123" s="175">
        <v>121.34</v>
      </c>
      <c r="BE123" s="175">
        <v>121.47</v>
      </c>
      <c r="BF123" s="175">
        <v>121.39</v>
      </c>
      <c r="BG123" s="175">
        <v>120.87</v>
      </c>
      <c r="BH123" s="175">
        <v>121.27</v>
      </c>
      <c r="BI123" s="175">
        <v>121.45</v>
      </c>
      <c r="BJ123" s="175">
        <v>121.28</v>
      </c>
      <c r="BK123" s="175">
        <v>122</v>
      </c>
      <c r="BM123" s="184">
        <v>17.506559796439554</v>
      </c>
      <c r="BN123" s="184">
        <v>19.802428008839751</v>
      </c>
      <c r="BO123" s="184">
        <v>21.590323936642061</v>
      </c>
      <c r="BP123" s="184">
        <v>18.578980059718919</v>
      </c>
      <c r="BQ123" s="184">
        <v>18.780685883865779</v>
      </c>
      <c r="BR123" s="184">
        <v>12.008560528593803</v>
      </c>
      <c r="BS123" s="184">
        <v>20.440742426967347</v>
      </c>
      <c r="BT123" s="184">
        <v>23.432710840760539</v>
      </c>
      <c r="BU123" s="184">
        <v>42.118573947800328</v>
      </c>
      <c r="BV123" s="184">
        <v>33.095302454070996</v>
      </c>
    </row>
    <row r="124" spans="1:74" x14ac:dyDescent="0.25">
      <c r="A124" s="180">
        <v>42844</v>
      </c>
      <c r="B124" s="181">
        <v>0.60173611111111114</v>
      </c>
      <c r="C124" s="182">
        <v>121.84</v>
      </c>
      <c r="D124" s="182">
        <v>121.87</v>
      </c>
      <c r="E124" s="182">
        <v>122.26</v>
      </c>
      <c r="F124" s="182">
        <v>122.17</v>
      </c>
      <c r="H124" s="183">
        <v>122</v>
      </c>
      <c r="I124" s="184">
        <v>-0.2</v>
      </c>
      <c r="J124" s="184">
        <v>-0.1</v>
      </c>
      <c r="K124" s="184">
        <v>0.3</v>
      </c>
      <c r="L124" s="184">
        <v>0.2</v>
      </c>
      <c r="N124" s="182">
        <v>121.39</v>
      </c>
      <c r="O124" s="182">
        <v>121.26</v>
      </c>
      <c r="P124" s="182">
        <v>121.37</v>
      </c>
      <c r="Q124" s="182">
        <v>121.52</v>
      </c>
      <c r="R124" s="182">
        <v>121.42</v>
      </c>
      <c r="S124" s="182">
        <v>121.13</v>
      </c>
      <c r="U124" s="184">
        <v>18.041087236050885</v>
      </c>
      <c r="V124" s="184">
        <v>20.321192216748759</v>
      </c>
      <c r="W124" s="184">
        <v>22.122395445754222</v>
      </c>
      <c r="X124" s="184">
        <v>19.129749714489627</v>
      </c>
      <c r="Y124" s="184">
        <v>19.318918490680698</v>
      </c>
      <c r="Z124" s="184">
        <v>12.512026363019705</v>
      </c>
      <c r="AA124" s="184">
        <v>21.033626801050929</v>
      </c>
      <c r="AB124" s="184">
        <v>24.029704892992676</v>
      </c>
      <c r="AC124" s="184">
        <v>42.771659391866251</v>
      </c>
      <c r="AD124" s="184">
        <v>33.734993106149759</v>
      </c>
      <c r="BB124" s="175">
        <v>121.39</v>
      </c>
      <c r="BC124" s="175">
        <v>121.26</v>
      </c>
      <c r="BD124" s="175">
        <v>121.37</v>
      </c>
      <c r="BE124" s="175">
        <v>121.52</v>
      </c>
      <c r="BF124" s="175">
        <v>121.42</v>
      </c>
      <c r="BG124" s="175">
        <v>121.13</v>
      </c>
      <c r="BH124" s="175">
        <v>121.84</v>
      </c>
      <c r="BI124" s="175">
        <v>121.87</v>
      </c>
      <c r="BJ124" s="175">
        <v>122.26</v>
      </c>
      <c r="BK124" s="175">
        <v>122.17</v>
      </c>
      <c r="BM124" s="184">
        <v>18.041087236050885</v>
      </c>
      <c r="BN124" s="184">
        <v>20.321192216748759</v>
      </c>
      <c r="BO124" s="184">
        <v>22.122395445754222</v>
      </c>
      <c r="BP124" s="184">
        <v>19.129749714489627</v>
      </c>
      <c r="BQ124" s="184">
        <v>19.318918490680698</v>
      </c>
      <c r="BR124" s="184">
        <v>12.512026363019705</v>
      </c>
      <c r="BS124" s="184">
        <v>21.033626801050929</v>
      </c>
      <c r="BT124" s="184">
        <v>24.029704892992676</v>
      </c>
      <c r="BU124" s="184">
        <v>42.771659391866251</v>
      </c>
      <c r="BV124" s="184">
        <v>33.734993106149759</v>
      </c>
    </row>
    <row r="125" spans="1:74" x14ac:dyDescent="0.25">
      <c r="A125" s="180">
        <v>42844</v>
      </c>
      <c r="B125" s="181">
        <v>0.6020833333333333</v>
      </c>
      <c r="C125" s="182">
        <v>121.41</v>
      </c>
      <c r="D125" s="182">
        <v>121.72</v>
      </c>
      <c r="E125" s="182">
        <v>122.57</v>
      </c>
      <c r="F125" s="182">
        <v>121.95</v>
      </c>
      <c r="H125" s="183">
        <v>121.9</v>
      </c>
      <c r="I125" s="184">
        <v>-0.5</v>
      </c>
      <c r="J125" s="184">
        <v>-0.2</v>
      </c>
      <c r="K125" s="184">
        <v>0.7</v>
      </c>
      <c r="L125" s="184">
        <v>0</v>
      </c>
      <c r="N125" s="182">
        <v>121.37</v>
      </c>
      <c r="O125" s="182">
        <v>121.22</v>
      </c>
      <c r="P125" s="182">
        <v>121.34</v>
      </c>
      <c r="Q125" s="182">
        <v>121.5</v>
      </c>
      <c r="R125" s="182">
        <v>121.41</v>
      </c>
      <c r="S125" s="182">
        <v>120.98</v>
      </c>
      <c r="U125" s="184">
        <v>18.573158745163045</v>
      </c>
      <c r="V125" s="184">
        <v>20.835200365811996</v>
      </c>
      <c r="W125" s="184">
        <v>22.650804200361051</v>
      </c>
      <c r="X125" s="184">
        <v>19.677988812561221</v>
      </c>
      <c r="Y125" s="184">
        <v>19.855913196851322</v>
      </c>
      <c r="Z125" s="184">
        <v>12.998399974908189</v>
      </c>
      <c r="AA125" s="184">
        <v>21.570621507221553</v>
      </c>
      <c r="AB125" s="184">
        <v>24.606431521903222</v>
      </c>
      <c r="AC125" s="184">
        <v>43.473066244147233</v>
      </c>
      <c r="AD125" s="184">
        <v>34.343086106472946</v>
      </c>
      <c r="BB125" s="175">
        <v>121.37</v>
      </c>
      <c r="BC125" s="175">
        <v>121.22</v>
      </c>
      <c r="BD125" s="175">
        <v>121.34</v>
      </c>
      <c r="BE125" s="175">
        <v>121.5</v>
      </c>
      <c r="BF125" s="175">
        <v>121.41</v>
      </c>
      <c r="BG125" s="175">
        <v>120.98</v>
      </c>
      <c r="BH125" s="175">
        <v>121.41</v>
      </c>
      <c r="BI125" s="175">
        <v>121.72</v>
      </c>
      <c r="BJ125" s="175">
        <v>122.57</v>
      </c>
      <c r="BK125" s="175">
        <v>121.95</v>
      </c>
      <c r="BM125" s="184">
        <v>18.573158745163045</v>
      </c>
      <c r="BN125" s="184">
        <v>20.835200365811996</v>
      </c>
      <c r="BO125" s="184">
        <v>22.650804200361051</v>
      </c>
      <c r="BP125" s="184">
        <v>19.677988812561221</v>
      </c>
      <c r="BQ125" s="184">
        <v>19.855913196851322</v>
      </c>
      <c r="BR125" s="184">
        <v>12.998399974908189</v>
      </c>
      <c r="BS125" s="184">
        <v>21.570621507221553</v>
      </c>
      <c r="BT125" s="184">
        <v>24.606431521903222</v>
      </c>
      <c r="BU125" s="184">
        <v>43.473066244147233</v>
      </c>
      <c r="BV125" s="184">
        <v>34.343086106472946</v>
      </c>
    </row>
    <row r="126" spans="1:74" x14ac:dyDescent="0.25">
      <c r="A126" s="180">
        <v>42844</v>
      </c>
      <c r="B126" s="181">
        <v>0.60243055555555558</v>
      </c>
      <c r="C126" s="182">
        <v>121.81</v>
      </c>
      <c r="D126" s="182">
        <v>121.51</v>
      </c>
      <c r="E126" s="182">
        <v>121.71</v>
      </c>
      <c r="F126" s="182">
        <v>122.16</v>
      </c>
      <c r="H126" s="183">
        <v>121.8</v>
      </c>
      <c r="I126" s="184">
        <v>0</v>
      </c>
      <c r="J126" s="184">
        <v>-0.3</v>
      </c>
      <c r="K126" s="184">
        <v>-0.1</v>
      </c>
      <c r="L126" s="184">
        <v>0.4</v>
      </c>
      <c r="N126" s="182">
        <v>121.43</v>
      </c>
      <c r="O126" s="182">
        <v>121.28</v>
      </c>
      <c r="P126" s="182">
        <v>121.39</v>
      </c>
      <c r="Q126" s="182">
        <v>121.56</v>
      </c>
      <c r="R126" s="182">
        <v>121.46</v>
      </c>
      <c r="S126" s="182">
        <v>121.21</v>
      </c>
      <c r="U126" s="184">
        <v>19.11263210627796</v>
      </c>
      <c r="V126" s="184">
        <v>21.35635908050865</v>
      </c>
      <c r="W126" s="184">
        <v>23.185331639972382</v>
      </c>
      <c r="X126" s="184">
        <v>20.233854676202018</v>
      </c>
      <c r="Y126" s="184">
        <v>20.399126008659856</v>
      </c>
      <c r="Z126" s="184">
        <v>13.511225938033892</v>
      </c>
      <c r="AA126" s="184">
        <v>22.159424493981959</v>
      </c>
      <c r="AB126" s="184">
        <v>25.155934441619483</v>
      </c>
      <c r="AC126" s="184">
        <v>44.04846643861945</v>
      </c>
      <c r="AD126" s="184">
        <v>34.98130551087862</v>
      </c>
      <c r="BB126" s="175">
        <v>121.43</v>
      </c>
      <c r="BC126" s="175">
        <v>121.28</v>
      </c>
      <c r="BD126" s="175">
        <v>121.39</v>
      </c>
      <c r="BE126" s="175">
        <v>121.56</v>
      </c>
      <c r="BF126" s="175">
        <v>121.46</v>
      </c>
      <c r="BG126" s="175">
        <v>121.21</v>
      </c>
      <c r="BH126" s="175">
        <v>121.81</v>
      </c>
      <c r="BI126" s="175">
        <v>121.51</v>
      </c>
      <c r="BJ126" s="175">
        <v>121.71</v>
      </c>
      <c r="BK126" s="175">
        <v>122.16</v>
      </c>
      <c r="BM126" s="184">
        <v>19.11263210627796</v>
      </c>
      <c r="BN126" s="184">
        <v>21.35635908050865</v>
      </c>
      <c r="BO126" s="184">
        <v>23.185331639972382</v>
      </c>
      <c r="BP126" s="184">
        <v>20.233854676202018</v>
      </c>
      <c r="BQ126" s="184">
        <v>20.399126008659856</v>
      </c>
      <c r="BR126" s="184">
        <v>13.511225938033892</v>
      </c>
      <c r="BS126" s="184">
        <v>22.159424493981959</v>
      </c>
      <c r="BT126" s="184">
        <v>25.155934441619483</v>
      </c>
      <c r="BU126" s="184">
        <v>44.04846643861945</v>
      </c>
      <c r="BV126" s="184">
        <v>34.98130551087862</v>
      </c>
    </row>
    <row r="127" spans="1:74" x14ac:dyDescent="0.25">
      <c r="A127" s="180">
        <v>42844</v>
      </c>
      <c r="B127" s="181">
        <v>0.60277777777777775</v>
      </c>
      <c r="C127" s="182">
        <v>121.62</v>
      </c>
      <c r="D127" s="182">
        <v>122.13</v>
      </c>
      <c r="E127" s="182">
        <v>122.9</v>
      </c>
      <c r="F127" s="182">
        <v>121.97</v>
      </c>
      <c r="H127" s="183">
        <v>122.2</v>
      </c>
      <c r="I127" s="184">
        <v>-0.6</v>
      </c>
      <c r="J127" s="184">
        <v>-0.1</v>
      </c>
      <c r="K127" s="184">
        <v>0.7</v>
      </c>
      <c r="L127" s="184">
        <v>-0.2</v>
      </c>
      <c r="N127" s="182">
        <v>121.41</v>
      </c>
      <c r="O127" s="182">
        <v>121.25</v>
      </c>
      <c r="P127" s="182">
        <v>121.37</v>
      </c>
      <c r="Q127" s="182">
        <v>121.53999999999999</v>
      </c>
      <c r="R127" s="182">
        <v>121.44</v>
      </c>
      <c r="S127" s="182">
        <v>121.16</v>
      </c>
      <c r="U127" s="184">
        <v>19.649626812448584</v>
      </c>
      <c r="V127" s="184">
        <v>21.873930163848321</v>
      </c>
      <c r="W127" s="184">
        <v>23.717403149084543</v>
      </c>
      <c r="X127" s="184">
        <v>20.787166568190852</v>
      </c>
      <c r="Y127" s="184">
        <v>20.939842984308825</v>
      </c>
      <c r="Z127" s="184">
        <v>14.018181630902232</v>
      </c>
      <c r="AA127" s="184">
        <v>22.723023222069717</v>
      </c>
      <c r="AB127" s="184">
        <v>25.789760374548404</v>
      </c>
      <c r="AC127" s="184">
        <v>44.805247062837559</v>
      </c>
      <c r="AD127" s="184">
        <v>35.592205340961058</v>
      </c>
      <c r="BB127" s="175">
        <v>121.41</v>
      </c>
      <c r="BC127" s="175">
        <v>121.25</v>
      </c>
      <c r="BD127" s="175">
        <v>121.37</v>
      </c>
      <c r="BE127" s="175">
        <v>121.53999999999999</v>
      </c>
      <c r="BF127" s="175">
        <v>121.44</v>
      </c>
      <c r="BG127" s="175">
        <v>121.16</v>
      </c>
      <c r="BH127" s="175">
        <v>121.62</v>
      </c>
      <c r="BI127" s="175">
        <v>122.13</v>
      </c>
      <c r="BJ127" s="175">
        <v>122.9</v>
      </c>
      <c r="BK127" s="175">
        <v>121.97</v>
      </c>
      <c r="BM127" s="184">
        <v>19.649626812448584</v>
      </c>
      <c r="BN127" s="184">
        <v>21.873930163848321</v>
      </c>
      <c r="BO127" s="184">
        <v>23.717403149084543</v>
      </c>
      <c r="BP127" s="184">
        <v>20.787166568190852</v>
      </c>
      <c r="BQ127" s="184">
        <v>20.939842984308825</v>
      </c>
      <c r="BR127" s="184">
        <v>14.018181630902232</v>
      </c>
      <c r="BS127" s="184">
        <v>22.723023222069717</v>
      </c>
      <c r="BT127" s="184">
        <v>25.789760374548404</v>
      </c>
      <c r="BU127" s="184">
        <v>44.805247062837559</v>
      </c>
      <c r="BV127" s="184">
        <v>35.592205340961058</v>
      </c>
    </row>
    <row r="128" spans="1:74" x14ac:dyDescent="0.25">
      <c r="A128" s="180">
        <v>42844</v>
      </c>
      <c r="B128" s="181">
        <v>0.60312500000000002</v>
      </c>
      <c r="C128" s="182">
        <v>121.81</v>
      </c>
      <c r="D128" s="182">
        <v>121.44</v>
      </c>
      <c r="E128" s="182">
        <v>121.56</v>
      </c>
      <c r="F128" s="182">
        <v>122.15</v>
      </c>
      <c r="H128" s="183">
        <v>121.7</v>
      </c>
      <c r="I128" s="184">
        <v>0.1</v>
      </c>
      <c r="J128" s="184">
        <v>-0.3</v>
      </c>
      <c r="K128" s="184">
        <v>-0.1</v>
      </c>
      <c r="L128" s="184">
        <v>0.5</v>
      </c>
      <c r="N128" s="182">
        <v>121.47</v>
      </c>
      <c r="O128" s="182">
        <v>121.31</v>
      </c>
      <c r="P128" s="182">
        <v>121.42</v>
      </c>
      <c r="Q128" s="182">
        <v>121.6</v>
      </c>
      <c r="R128" s="182">
        <v>121.5</v>
      </c>
      <c r="S128" s="182">
        <v>121.3</v>
      </c>
      <c r="U128" s="184">
        <v>20.1940918591153</v>
      </c>
      <c r="V128" s="184">
        <v>22.398701378174483</v>
      </c>
      <c r="W128" s="184">
        <v>24.255635755899462</v>
      </c>
      <c r="X128" s="184">
        <v>21.348175795341835</v>
      </c>
      <c r="Y128" s="184">
        <v>21.488082082380419</v>
      </c>
      <c r="Z128" s="184">
        <v>14.541745904927682</v>
      </c>
      <c r="AA128" s="184">
        <v>23.311826208830123</v>
      </c>
      <c r="AB128" s="184">
        <v>26.330477350197373</v>
      </c>
      <c r="AC128" s="184">
        <v>45.361112926478356</v>
      </c>
      <c r="AD128" s="184">
        <v>36.228956881469394</v>
      </c>
      <c r="BB128" s="175">
        <v>121.47</v>
      </c>
      <c r="BC128" s="175">
        <v>121.31</v>
      </c>
      <c r="BD128" s="175">
        <v>121.42</v>
      </c>
      <c r="BE128" s="175">
        <v>121.6</v>
      </c>
      <c r="BF128" s="175">
        <v>121.5</v>
      </c>
      <c r="BG128" s="175">
        <v>121.3</v>
      </c>
      <c r="BH128" s="175">
        <v>121.81</v>
      </c>
      <c r="BI128" s="175">
        <v>121.44</v>
      </c>
      <c r="BJ128" s="175">
        <v>121.56</v>
      </c>
      <c r="BK128" s="175">
        <v>122.15</v>
      </c>
      <c r="BM128" s="184">
        <v>20.1940918591153</v>
      </c>
      <c r="BN128" s="184">
        <v>22.398701378174483</v>
      </c>
      <c r="BO128" s="184">
        <v>24.255635755899462</v>
      </c>
      <c r="BP128" s="184">
        <v>21.348175795341835</v>
      </c>
      <c r="BQ128" s="184">
        <v>21.488082082380419</v>
      </c>
      <c r="BR128" s="184">
        <v>14.541745904927682</v>
      </c>
      <c r="BS128" s="184">
        <v>23.311826208830123</v>
      </c>
      <c r="BT128" s="184">
        <v>26.330477350197373</v>
      </c>
      <c r="BU128" s="184">
        <v>45.361112926478356</v>
      </c>
      <c r="BV128" s="184">
        <v>36.228956881469394</v>
      </c>
    </row>
    <row r="129" spans="1:74" x14ac:dyDescent="0.25">
      <c r="A129" s="180">
        <v>42844</v>
      </c>
      <c r="B129" s="181">
        <v>0.60347222222222219</v>
      </c>
      <c r="C129" s="182">
        <v>121.68</v>
      </c>
      <c r="D129" s="182">
        <v>122.2</v>
      </c>
      <c r="E129" s="182">
        <v>122.88</v>
      </c>
      <c r="F129" s="182">
        <v>121.97</v>
      </c>
      <c r="H129" s="183">
        <v>122.2</v>
      </c>
      <c r="I129" s="184">
        <v>-0.5</v>
      </c>
      <c r="J129" s="184">
        <v>0</v>
      </c>
      <c r="K129" s="184">
        <v>0.7</v>
      </c>
      <c r="L129" s="184">
        <v>-0.2</v>
      </c>
      <c r="N129" s="182">
        <v>121.44</v>
      </c>
      <c r="O129" s="182">
        <v>121.29</v>
      </c>
      <c r="P129" s="182">
        <v>121.39</v>
      </c>
      <c r="Q129" s="182">
        <v>121.58</v>
      </c>
      <c r="R129" s="182">
        <v>121.47</v>
      </c>
      <c r="S129" s="182">
        <v>121.26</v>
      </c>
      <c r="U129" s="184">
        <v>20.734808834764269</v>
      </c>
      <c r="V129" s="184">
        <v>22.921061487784883</v>
      </c>
      <c r="W129" s="184">
        <v>24.790163195510793</v>
      </c>
      <c r="X129" s="184">
        <v>21.906607419232117</v>
      </c>
      <c r="Y129" s="184">
        <v>22.032547129047135</v>
      </c>
      <c r="Z129" s="184">
        <v>15.06051011283669</v>
      </c>
      <c r="AA129" s="184">
        <v>23.883265376225012</v>
      </c>
      <c r="AB129" s="184">
        <v>26.974602126043941</v>
      </c>
      <c r="AC129" s="184">
        <v>46.114416459571729</v>
      </c>
      <c r="AD129" s="184">
        <v>36.839856711551832</v>
      </c>
      <c r="BB129" s="175">
        <v>121.44</v>
      </c>
      <c r="BC129" s="175">
        <v>121.29</v>
      </c>
      <c r="BD129" s="175">
        <v>121.39</v>
      </c>
      <c r="BE129" s="175">
        <v>121.58</v>
      </c>
      <c r="BF129" s="175">
        <v>121.47</v>
      </c>
      <c r="BG129" s="175">
        <v>121.26</v>
      </c>
      <c r="BH129" s="175">
        <v>121.68</v>
      </c>
      <c r="BI129" s="175">
        <v>122.2</v>
      </c>
      <c r="BJ129" s="175">
        <v>122.88</v>
      </c>
      <c r="BK129" s="175">
        <v>121.97</v>
      </c>
      <c r="BM129" s="184">
        <v>20.734808834764269</v>
      </c>
      <c r="BN129" s="184">
        <v>22.921061487784883</v>
      </c>
      <c r="BO129" s="184">
        <v>24.790163195510793</v>
      </c>
      <c r="BP129" s="184">
        <v>21.906607419232117</v>
      </c>
      <c r="BQ129" s="184">
        <v>22.032547129047135</v>
      </c>
      <c r="BR129" s="184">
        <v>15.06051011283669</v>
      </c>
      <c r="BS129" s="184">
        <v>23.883265376225012</v>
      </c>
      <c r="BT129" s="184">
        <v>26.974602126043941</v>
      </c>
      <c r="BU129" s="184">
        <v>46.114416459571729</v>
      </c>
      <c r="BV129" s="184">
        <v>36.839856711551832</v>
      </c>
    </row>
    <row r="130" spans="1:74" x14ac:dyDescent="0.25">
      <c r="A130" s="180">
        <v>42844</v>
      </c>
      <c r="B130" s="181">
        <v>0.60381944444444446</v>
      </c>
      <c r="C130" s="182">
        <v>121.8</v>
      </c>
      <c r="D130" s="182">
        <v>121.42</v>
      </c>
      <c r="E130" s="182">
        <v>121.44</v>
      </c>
      <c r="F130" s="182">
        <v>122.12</v>
      </c>
      <c r="H130" s="183">
        <v>121.7</v>
      </c>
      <c r="I130" s="184">
        <v>0.1</v>
      </c>
      <c r="J130" s="184">
        <v>-0.3</v>
      </c>
      <c r="K130" s="184">
        <v>-0.3</v>
      </c>
      <c r="L130" s="184">
        <v>0.4</v>
      </c>
      <c r="N130" s="182">
        <v>121.49</v>
      </c>
      <c r="O130" s="182">
        <v>121.33</v>
      </c>
      <c r="P130" s="182">
        <v>121.44</v>
      </c>
      <c r="Q130" s="182">
        <v>121.63</v>
      </c>
      <c r="R130" s="182">
        <v>121.52</v>
      </c>
      <c r="S130" s="182">
        <v>121.36</v>
      </c>
      <c r="U130" s="184">
        <v>21.281787017900317</v>
      </c>
      <c r="V130" s="184">
        <v>23.448254935980511</v>
      </c>
      <c r="W130" s="184">
        <v>25.330880171159762</v>
      </c>
      <c r="X130" s="184">
        <v>22.471505376568516</v>
      </c>
      <c r="Y130" s="184">
        <v>22.583316783817843</v>
      </c>
      <c r="Z130" s="184">
        <v>15.591357891436052</v>
      </c>
      <c r="AA130" s="184">
        <v>24.470714153694779</v>
      </c>
      <c r="AB130" s="184">
        <v>27.51283473285886</v>
      </c>
      <c r="AC130" s="184">
        <v>46.655133435220698</v>
      </c>
      <c r="AD130" s="184">
        <v>37.47222488528741</v>
      </c>
      <c r="BB130" s="175">
        <v>121.49</v>
      </c>
      <c r="BC130" s="175">
        <v>121.33</v>
      </c>
      <c r="BD130" s="175">
        <v>121.44</v>
      </c>
      <c r="BE130" s="175">
        <v>121.63</v>
      </c>
      <c r="BF130" s="175">
        <v>121.52</v>
      </c>
      <c r="BG130" s="175">
        <v>121.36</v>
      </c>
      <c r="BH130" s="175">
        <v>121.8</v>
      </c>
      <c r="BI130" s="175">
        <v>121.42</v>
      </c>
      <c r="BJ130" s="175">
        <v>121.44</v>
      </c>
      <c r="BK130" s="175">
        <v>122.12</v>
      </c>
      <c r="BM130" s="184">
        <v>21.281787017900317</v>
      </c>
      <c r="BN130" s="184">
        <v>23.448254935980511</v>
      </c>
      <c r="BO130" s="184">
        <v>25.330880171159762</v>
      </c>
      <c r="BP130" s="184">
        <v>22.471505376568516</v>
      </c>
      <c r="BQ130" s="184">
        <v>22.583316783817843</v>
      </c>
      <c r="BR130" s="184">
        <v>15.591357891436052</v>
      </c>
      <c r="BS130" s="184">
        <v>24.470714153694779</v>
      </c>
      <c r="BT130" s="184">
        <v>27.51283473285886</v>
      </c>
      <c r="BU130" s="184">
        <v>46.655133435220698</v>
      </c>
      <c r="BV130" s="184">
        <v>37.47222488528741</v>
      </c>
    </row>
    <row r="131" spans="1:74" x14ac:dyDescent="0.25">
      <c r="A131" s="180">
        <v>42844</v>
      </c>
      <c r="B131" s="181">
        <v>0.60416666666666663</v>
      </c>
      <c r="C131" s="182">
        <v>121.71</v>
      </c>
      <c r="D131" s="182">
        <v>122.21</v>
      </c>
      <c r="E131" s="182">
        <v>122.86</v>
      </c>
      <c r="F131" s="182">
        <v>121.95</v>
      </c>
      <c r="H131" s="183">
        <v>122.2</v>
      </c>
      <c r="I131" s="184">
        <v>-0.5</v>
      </c>
      <c r="J131" s="184">
        <v>0</v>
      </c>
      <c r="K131" s="184">
        <v>0.7</v>
      </c>
      <c r="L131" s="184">
        <v>-0.3</v>
      </c>
      <c r="N131" s="182">
        <v>121.46</v>
      </c>
      <c r="O131" s="182">
        <v>121.31</v>
      </c>
      <c r="P131" s="182">
        <v>121.41</v>
      </c>
      <c r="Q131" s="182">
        <v>121.61999999999999</v>
      </c>
      <c r="R131" s="182">
        <v>121.49</v>
      </c>
      <c r="S131" s="182">
        <v>121.35</v>
      </c>
      <c r="U131" s="184">
        <v>21.824999829708851</v>
      </c>
      <c r="V131" s="184">
        <v>23.973026150306673</v>
      </c>
      <c r="W131" s="184">
        <v>25.867874877330387</v>
      </c>
      <c r="X131" s="184">
        <v>23.03510410465627</v>
      </c>
      <c r="Y131" s="184">
        <v>23.13029496695389</v>
      </c>
      <c r="Z131" s="184">
        <v>16.120984754024697</v>
      </c>
      <c r="AA131" s="184">
        <v>25.046114348166995</v>
      </c>
      <c r="AB131" s="184">
        <v>28.158444369665627</v>
      </c>
      <c r="AC131" s="184">
        <v>47.404975852971887</v>
      </c>
      <c r="AD131" s="184">
        <v>38.080317885610597</v>
      </c>
      <c r="BB131" s="175">
        <v>121.46</v>
      </c>
      <c r="BC131" s="175">
        <v>121.31</v>
      </c>
      <c r="BD131" s="175">
        <v>121.41</v>
      </c>
      <c r="BE131" s="175">
        <v>121.61999999999999</v>
      </c>
      <c r="BF131" s="175">
        <v>121.49</v>
      </c>
      <c r="BG131" s="175">
        <v>121.35</v>
      </c>
      <c r="BH131" s="175">
        <v>121.71</v>
      </c>
      <c r="BI131" s="175">
        <v>122.21</v>
      </c>
      <c r="BJ131" s="175">
        <v>122.86</v>
      </c>
      <c r="BK131" s="175">
        <v>121.95</v>
      </c>
      <c r="BM131" s="184">
        <v>21.824999829708851</v>
      </c>
      <c r="BN131" s="184">
        <v>23.973026150306673</v>
      </c>
      <c r="BO131" s="184">
        <v>25.867874877330387</v>
      </c>
      <c r="BP131" s="184">
        <v>23.03510410465627</v>
      </c>
      <c r="BQ131" s="184">
        <v>23.13029496695389</v>
      </c>
      <c r="BR131" s="184">
        <v>16.120984754024697</v>
      </c>
      <c r="BS131" s="184">
        <v>25.046114348166995</v>
      </c>
      <c r="BT131" s="184">
        <v>28.158444369665627</v>
      </c>
      <c r="BU131" s="184">
        <v>47.404975852971887</v>
      </c>
      <c r="BV131" s="184">
        <v>38.080317885610597</v>
      </c>
    </row>
    <row r="132" spans="1:74" x14ac:dyDescent="0.25">
      <c r="A132" s="180">
        <v>42844</v>
      </c>
      <c r="B132" s="181">
        <v>0.60451388888888891</v>
      </c>
      <c r="C132" s="182">
        <v>121.85</v>
      </c>
      <c r="D132" s="182">
        <v>121.47</v>
      </c>
      <c r="E132" s="182">
        <v>121.52</v>
      </c>
      <c r="F132" s="182">
        <v>122.11</v>
      </c>
      <c r="H132" s="183">
        <v>121.7</v>
      </c>
      <c r="I132" s="184">
        <v>0.1</v>
      </c>
      <c r="J132" s="184">
        <v>-0.2</v>
      </c>
      <c r="K132" s="184">
        <v>-0.2</v>
      </c>
      <c r="L132" s="184">
        <v>0.4</v>
      </c>
      <c r="N132" s="182">
        <v>121.51</v>
      </c>
      <c r="O132" s="182">
        <v>121.36</v>
      </c>
      <c r="P132" s="182">
        <v>121.46</v>
      </c>
      <c r="Q132" s="182">
        <v>121.67</v>
      </c>
      <c r="R132" s="182">
        <v>121.54</v>
      </c>
      <c r="S132" s="182">
        <v>121.44</v>
      </c>
      <c r="U132" s="184">
        <v>22.374502749425112</v>
      </c>
      <c r="V132" s="184">
        <v>24.503873928906035</v>
      </c>
      <c r="W132" s="184">
        <v>26.41108768913892</v>
      </c>
      <c r="X132" s="184">
        <v>23.605228998436854</v>
      </c>
      <c r="Y132" s="184">
        <v>23.683606858942724</v>
      </c>
      <c r="Z132" s="184">
        <v>16.661701729673666</v>
      </c>
      <c r="AA132" s="184">
        <v>25.640365461885505</v>
      </c>
      <c r="AB132" s="184">
        <v>28.702909416332343</v>
      </c>
      <c r="AC132" s="184">
        <v>47.955745507742591</v>
      </c>
      <c r="AD132" s="184">
        <v>38.71123165290593</v>
      </c>
      <c r="BB132" s="175">
        <v>121.51</v>
      </c>
      <c r="BC132" s="175">
        <v>121.36</v>
      </c>
      <c r="BD132" s="175">
        <v>121.46</v>
      </c>
      <c r="BE132" s="175">
        <v>121.67</v>
      </c>
      <c r="BF132" s="175">
        <v>121.54</v>
      </c>
      <c r="BG132" s="175">
        <v>121.44</v>
      </c>
      <c r="BH132" s="175">
        <v>121.85</v>
      </c>
      <c r="BI132" s="175">
        <v>121.47</v>
      </c>
      <c r="BJ132" s="175">
        <v>121.52</v>
      </c>
      <c r="BK132" s="175">
        <v>122.11</v>
      </c>
      <c r="BM132" s="184">
        <v>22.374502749425112</v>
      </c>
      <c r="BN132" s="184">
        <v>24.503873928906035</v>
      </c>
      <c r="BO132" s="184">
        <v>26.41108768913892</v>
      </c>
      <c r="BP132" s="184">
        <v>23.605228998436854</v>
      </c>
      <c r="BQ132" s="184">
        <v>23.683606858942724</v>
      </c>
      <c r="BR132" s="184">
        <v>16.661701729673666</v>
      </c>
      <c r="BS132" s="184">
        <v>25.640365461885505</v>
      </c>
      <c r="BT132" s="184">
        <v>28.702909416332343</v>
      </c>
      <c r="BU132" s="184">
        <v>47.955745507742591</v>
      </c>
      <c r="BV132" s="184">
        <v>38.71123165290593</v>
      </c>
    </row>
    <row r="133" spans="1:74" x14ac:dyDescent="0.25">
      <c r="A133" s="180">
        <v>42844</v>
      </c>
      <c r="B133" s="181">
        <v>0.60486111111111118</v>
      </c>
      <c r="C133" s="182">
        <v>121.72</v>
      </c>
      <c r="D133" s="182">
        <v>122.15</v>
      </c>
      <c r="E133" s="182">
        <v>122.7</v>
      </c>
      <c r="F133" s="182">
        <v>121.91</v>
      </c>
      <c r="H133" s="183">
        <v>122.1</v>
      </c>
      <c r="I133" s="184">
        <v>-0.4</v>
      </c>
      <c r="J133" s="184">
        <v>0.1</v>
      </c>
      <c r="K133" s="184">
        <v>0.6</v>
      </c>
      <c r="L133" s="184">
        <v>-0.2</v>
      </c>
      <c r="N133" s="182">
        <v>121.48</v>
      </c>
      <c r="O133" s="182">
        <v>121.33</v>
      </c>
      <c r="P133" s="182">
        <v>121.43</v>
      </c>
      <c r="Q133" s="182">
        <v>121.64</v>
      </c>
      <c r="R133" s="182">
        <v>121.51</v>
      </c>
      <c r="S133" s="182">
        <v>121.4</v>
      </c>
      <c r="U133" s="184">
        <v>22.92022291764949</v>
      </c>
      <c r="V133" s="184">
        <v>25.031067377101664</v>
      </c>
      <c r="W133" s="184">
        <v>26.950561050253835</v>
      </c>
      <c r="X133" s="184">
        <v>24.171429180054634</v>
      </c>
      <c r="Y133" s="184">
        <v>24.233109778658985</v>
      </c>
      <c r="Z133" s="184">
        <v>17.19746138229247</v>
      </c>
      <c r="AA133" s="184">
        <v>26.217092090796051</v>
      </c>
      <c r="AB133" s="184">
        <v>29.339660956840675</v>
      </c>
      <c r="AC133" s="184">
        <v>48.678465393115559</v>
      </c>
      <c r="AD133" s="184">
        <v>39.31374962309183</v>
      </c>
      <c r="BB133" s="175">
        <v>121.48</v>
      </c>
      <c r="BC133" s="175">
        <v>121.33</v>
      </c>
      <c r="BD133" s="175">
        <v>121.43</v>
      </c>
      <c r="BE133" s="175">
        <v>121.64</v>
      </c>
      <c r="BF133" s="175">
        <v>121.51</v>
      </c>
      <c r="BG133" s="175">
        <v>121.4</v>
      </c>
      <c r="BH133" s="175">
        <v>121.72</v>
      </c>
      <c r="BI133" s="175">
        <v>122.15</v>
      </c>
      <c r="BJ133" s="175">
        <v>122.7</v>
      </c>
      <c r="BK133" s="175">
        <v>121.91</v>
      </c>
      <c r="BM133" s="184">
        <v>22.92022291764949</v>
      </c>
      <c r="BN133" s="184">
        <v>25.031067377101664</v>
      </c>
      <c r="BO133" s="184">
        <v>26.950561050253835</v>
      </c>
      <c r="BP133" s="184">
        <v>24.171429180054634</v>
      </c>
      <c r="BQ133" s="184">
        <v>24.233109778658985</v>
      </c>
      <c r="BR133" s="184">
        <v>17.19746138229247</v>
      </c>
      <c r="BS133" s="184">
        <v>26.217092090796051</v>
      </c>
      <c r="BT133" s="184">
        <v>29.339660956840675</v>
      </c>
      <c r="BU133" s="184">
        <v>48.678465393115559</v>
      </c>
      <c r="BV133" s="184">
        <v>39.31374962309183</v>
      </c>
    </row>
    <row r="134" spans="1:74" x14ac:dyDescent="0.25">
      <c r="A134" s="180">
        <v>42844</v>
      </c>
      <c r="B134" s="181">
        <v>0.60520833333333335</v>
      </c>
      <c r="C134" s="182">
        <v>121.91</v>
      </c>
      <c r="D134" s="182">
        <v>121.57</v>
      </c>
      <c r="E134" s="182">
        <v>121.6</v>
      </c>
      <c r="F134" s="182">
        <v>122.1</v>
      </c>
      <c r="H134" s="183">
        <v>121.8</v>
      </c>
      <c r="I134" s="184">
        <v>0.1</v>
      </c>
      <c r="J134" s="184">
        <v>-0.2</v>
      </c>
      <c r="K134" s="184">
        <v>-0.2</v>
      </c>
      <c r="L134" s="184">
        <v>0.3</v>
      </c>
      <c r="N134" s="182">
        <v>121.52</v>
      </c>
      <c r="O134" s="182">
        <v>121.37</v>
      </c>
      <c r="P134" s="182">
        <v>121.47</v>
      </c>
      <c r="Q134" s="182">
        <v>121.69</v>
      </c>
      <c r="R134" s="182">
        <v>121.56</v>
      </c>
      <c r="S134" s="182">
        <v>121.52</v>
      </c>
      <c r="U134" s="184">
        <v>23.470992572420197</v>
      </c>
      <c r="V134" s="184">
        <v>25.563138886213824</v>
      </c>
      <c r="W134" s="184">
        <v>27.495026096920551</v>
      </c>
      <c r="X134" s="184">
        <v>24.744185650777403</v>
      </c>
      <c r="Y134" s="184">
        <v>24.788975642299782</v>
      </c>
      <c r="Z134" s="184">
        <v>17.748231037063178</v>
      </c>
      <c r="AA134" s="184">
        <v>26.819610060981951</v>
      </c>
      <c r="AB134" s="184">
        <v>29.89680822363654</v>
      </c>
      <c r="AC134" s="184">
        <v>49.239474620266542</v>
      </c>
      <c r="AD134" s="184">
        <v>39.943212328988913</v>
      </c>
      <c r="BB134" s="175">
        <v>121.52</v>
      </c>
      <c r="BC134" s="175">
        <v>121.37</v>
      </c>
      <c r="BD134" s="175">
        <v>121.47</v>
      </c>
      <c r="BE134" s="175">
        <v>121.69</v>
      </c>
      <c r="BF134" s="175">
        <v>121.56</v>
      </c>
      <c r="BG134" s="175">
        <v>121.52</v>
      </c>
      <c r="BH134" s="175">
        <v>121.91</v>
      </c>
      <c r="BI134" s="175">
        <v>121.57</v>
      </c>
      <c r="BJ134" s="175">
        <v>121.6</v>
      </c>
      <c r="BK134" s="175">
        <v>122.1</v>
      </c>
      <c r="BM134" s="184">
        <v>23.470992572420197</v>
      </c>
      <c r="BN134" s="184">
        <v>25.563138886213824</v>
      </c>
      <c r="BO134" s="184">
        <v>27.495026096920551</v>
      </c>
      <c r="BP134" s="184">
        <v>24.744185650777403</v>
      </c>
      <c r="BQ134" s="184">
        <v>24.788975642299782</v>
      </c>
      <c r="BR134" s="184">
        <v>17.748231037063178</v>
      </c>
      <c r="BS134" s="184">
        <v>26.819610060981951</v>
      </c>
      <c r="BT134" s="184">
        <v>29.89680822363654</v>
      </c>
      <c r="BU134" s="184">
        <v>49.239474620266542</v>
      </c>
      <c r="BV134" s="184">
        <v>39.943212328988913</v>
      </c>
    </row>
    <row r="135" spans="1:74" x14ac:dyDescent="0.25">
      <c r="A135" s="180">
        <v>42844</v>
      </c>
      <c r="B135" s="181">
        <v>0.60555555555555551</v>
      </c>
      <c r="C135" s="182">
        <v>121.9</v>
      </c>
      <c r="D135" s="182">
        <v>122.56</v>
      </c>
      <c r="E135" s="182">
        <v>123.08</v>
      </c>
      <c r="F135" s="182">
        <v>121.96</v>
      </c>
      <c r="H135" s="183">
        <v>122.4</v>
      </c>
      <c r="I135" s="184">
        <v>-0.5</v>
      </c>
      <c r="J135" s="184">
        <v>0.2</v>
      </c>
      <c r="K135" s="184">
        <v>0.7</v>
      </c>
      <c r="L135" s="184">
        <v>-0.4</v>
      </c>
      <c r="N135" s="182">
        <v>121.51</v>
      </c>
      <c r="O135" s="182">
        <v>121.35</v>
      </c>
      <c r="P135" s="182">
        <v>121.45</v>
      </c>
      <c r="Q135" s="182">
        <v>121.67999999999999</v>
      </c>
      <c r="R135" s="182">
        <v>121.54</v>
      </c>
      <c r="S135" s="182">
        <v>121.51</v>
      </c>
      <c r="U135" s="184">
        <v>24.020495492136458</v>
      </c>
      <c r="V135" s="184">
        <v>26.092765748802471</v>
      </c>
      <c r="W135" s="184">
        <v>28.036989553931154</v>
      </c>
      <c r="X135" s="184">
        <v>25.315624818172289</v>
      </c>
      <c r="Y135" s="184">
        <v>25.342287534288616</v>
      </c>
      <c r="Z135" s="184">
        <v>18.297733956779439</v>
      </c>
      <c r="AA135" s="184">
        <v>27.42074227829066</v>
      </c>
      <c r="AB135" s="184">
        <v>30.596601884922851</v>
      </c>
      <c r="AC135" s="184">
        <v>50.028280255116215</v>
      </c>
      <c r="AD135" s="184">
        <v>40.552707128451345</v>
      </c>
      <c r="BB135" s="175">
        <v>121.51</v>
      </c>
      <c r="BC135" s="175">
        <v>121.35</v>
      </c>
      <c r="BD135" s="175">
        <v>121.45</v>
      </c>
      <c r="BE135" s="175">
        <v>121.67999999999999</v>
      </c>
      <c r="BF135" s="175">
        <v>121.54</v>
      </c>
      <c r="BG135" s="175">
        <v>121.51</v>
      </c>
      <c r="BH135" s="175">
        <v>121.9</v>
      </c>
      <c r="BI135" s="175">
        <v>122.56</v>
      </c>
      <c r="BJ135" s="175">
        <v>123.08</v>
      </c>
      <c r="BK135" s="175">
        <v>121.96</v>
      </c>
      <c r="BM135" s="184">
        <v>24.020495492136458</v>
      </c>
      <c r="BN135" s="184">
        <v>26.092765748802471</v>
      </c>
      <c r="BO135" s="184">
        <v>28.036989553931154</v>
      </c>
      <c r="BP135" s="184">
        <v>25.315624818172289</v>
      </c>
      <c r="BQ135" s="184">
        <v>25.342287534288616</v>
      </c>
      <c r="BR135" s="184">
        <v>18.297733956779439</v>
      </c>
      <c r="BS135" s="184">
        <v>27.42074227829066</v>
      </c>
      <c r="BT135" s="184">
        <v>30.596601884922851</v>
      </c>
      <c r="BU135" s="184">
        <v>50.028280255116215</v>
      </c>
      <c r="BV135" s="184">
        <v>40.552707128451345</v>
      </c>
    </row>
    <row r="136" spans="1:74" x14ac:dyDescent="0.25">
      <c r="A136" s="180">
        <v>42844</v>
      </c>
      <c r="B136" s="181">
        <v>0.60590277777777779</v>
      </c>
      <c r="C136" s="182">
        <v>121.93</v>
      </c>
      <c r="D136" s="182">
        <v>121.5</v>
      </c>
      <c r="E136" s="182">
        <v>121.43</v>
      </c>
      <c r="F136" s="182">
        <v>122.1</v>
      </c>
      <c r="H136" s="183">
        <v>121.7</v>
      </c>
      <c r="I136" s="184">
        <v>0.2</v>
      </c>
      <c r="J136" s="184">
        <v>-0.2</v>
      </c>
      <c r="K136" s="184">
        <v>-0.3</v>
      </c>
      <c r="L136" s="184">
        <v>0.4</v>
      </c>
      <c r="N136" s="182">
        <v>121.55</v>
      </c>
      <c r="O136" s="182">
        <v>121.39</v>
      </c>
      <c r="P136" s="182">
        <v>121.5</v>
      </c>
      <c r="Q136" s="182">
        <v>121.72</v>
      </c>
      <c r="R136" s="182">
        <v>121.59</v>
      </c>
      <c r="S136" s="182">
        <v>121.58</v>
      </c>
      <c r="U136" s="184">
        <v>24.575082899767658</v>
      </c>
      <c r="V136" s="184">
        <v>26.627293188413802</v>
      </c>
      <c r="W136" s="184">
        <v>28.585228652002748</v>
      </c>
      <c r="X136" s="184">
        <v>25.892351447082834</v>
      </c>
      <c r="Y136" s="184">
        <v>25.902006476022194</v>
      </c>
      <c r="Z136" s="184">
        <v>18.856165580669721</v>
      </c>
      <c r="AA136" s="184">
        <v>28.026041345065902</v>
      </c>
      <c r="AB136" s="184">
        <v>31.144840982994445</v>
      </c>
      <c r="AC136" s="184">
        <v>50.56775361623113</v>
      </c>
      <c r="AD136" s="184">
        <v>41.182169834348429</v>
      </c>
      <c r="BB136" s="175">
        <v>121.55</v>
      </c>
      <c r="BC136" s="175">
        <v>121.39</v>
      </c>
      <c r="BD136" s="175">
        <v>121.5</v>
      </c>
      <c r="BE136" s="175">
        <v>121.72</v>
      </c>
      <c r="BF136" s="175">
        <v>121.59</v>
      </c>
      <c r="BG136" s="175">
        <v>121.58</v>
      </c>
      <c r="BH136" s="175">
        <v>121.93</v>
      </c>
      <c r="BI136" s="175">
        <v>121.5</v>
      </c>
      <c r="BJ136" s="175">
        <v>121.43</v>
      </c>
      <c r="BK136" s="175">
        <v>122.1</v>
      </c>
      <c r="BM136" s="184">
        <v>24.575082899767658</v>
      </c>
      <c r="BN136" s="184">
        <v>26.627293188413802</v>
      </c>
      <c r="BO136" s="184">
        <v>28.585228652002748</v>
      </c>
      <c r="BP136" s="184">
        <v>25.892351447082834</v>
      </c>
      <c r="BQ136" s="184">
        <v>25.902006476022194</v>
      </c>
      <c r="BR136" s="184">
        <v>18.856165580669721</v>
      </c>
      <c r="BS136" s="184">
        <v>28.026041345065902</v>
      </c>
      <c r="BT136" s="184">
        <v>31.144840982994445</v>
      </c>
      <c r="BU136" s="184">
        <v>50.56775361623113</v>
      </c>
      <c r="BV136" s="184">
        <v>41.182169834348429</v>
      </c>
    </row>
    <row r="137" spans="1:74" x14ac:dyDescent="0.25">
      <c r="A137" s="180">
        <v>42844</v>
      </c>
      <c r="B137" s="181">
        <v>0.60625000000000007</v>
      </c>
      <c r="C137" s="182">
        <v>122.01</v>
      </c>
      <c r="D137" s="182">
        <v>122.77</v>
      </c>
      <c r="E137" s="182">
        <v>123.09</v>
      </c>
      <c r="F137" s="182">
        <v>121.97</v>
      </c>
      <c r="H137" s="183">
        <v>122.5</v>
      </c>
      <c r="I137" s="184">
        <v>-0.5</v>
      </c>
      <c r="J137" s="184">
        <v>0.3</v>
      </c>
      <c r="K137" s="184">
        <v>0.6</v>
      </c>
      <c r="L137" s="184">
        <v>-0.5</v>
      </c>
      <c r="N137" s="182">
        <v>121.53</v>
      </c>
      <c r="O137" s="182">
        <v>121.37</v>
      </c>
      <c r="P137" s="182">
        <v>121.48</v>
      </c>
      <c r="Q137" s="182">
        <v>121.71</v>
      </c>
      <c r="R137" s="182">
        <v>121.56</v>
      </c>
      <c r="S137" s="182">
        <v>121.58</v>
      </c>
      <c r="U137" s="184">
        <v>25.127122209718696</v>
      </c>
      <c r="V137" s="184">
        <v>27.159364697525962</v>
      </c>
      <c r="W137" s="184">
        <v>29.130948820227125</v>
      </c>
      <c r="X137" s="184">
        <v>26.467751641555051</v>
      </c>
      <c r="Y137" s="184">
        <v>26.457872339662991</v>
      </c>
      <c r="Z137" s="184">
        <v>19.414597204560003</v>
      </c>
      <c r="AA137" s="184">
        <v>28.642593761680359</v>
      </c>
      <c r="AB137" s="184">
        <v>31.879304121816379</v>
      </c>
      <c r="AC137" s="184">
        <v>51.358377635866326</v>
      </c>
      <c r="AD137" s="184">
        <v>41.793069664430867</v>
      </c>
      <c r="BB137" s="175">
        <v>121.53</v>
      </c>
      <c r="BC137" s="175">
        <v>121.37</v>
      </c>
      <c r="BD137" s="175">
        <v>121.48</v>
      </c>
      <c r="BE137" s="175">
        <v>121.71</v>
      </c>
      <c r="BF137" s="175">
        <v>121.56</v>
      </c>
      <c r="BG137" s="175">
        <v>121.58</v>
      </c>
      <c r="BH137" s="175">
        <v>122.01</v>
      </c>
      <c r="BI137" s="175">
        <v>122.77</v>
      </c>
      <c r="BJ137" s="175">
        <v>123.09</v>
      </c>
      <c r="BK137" s="175">
        <v>121.97</v>
      </c>
      <c r="BM137" s="184">
        <v>25.127122209718696</v>
      </c>
      <c r="BN137" s="184">
        <v>27.159364697525962</v>
      </c>
      <c r="BO137" s="184">
        <v>29.130948820227125</v>
      </c>
      <c r="BP137" s="184">
        <v>26.467751641555051</v>
      </c>
      <c r="BQ137" s="184">
        <v>26.457872339662991</v>
      </c>
      <c r="BR137" s="184">
        <v>19.414597204560003</v>
      </c>
      <c r="BS137" s="184">
        <v>28.642593761680359</v>
      </c>
      <c r="BT137" s="184">
        <v>31.879304121816379</v>
      </c>
      <c r="BU137" s="184">
        <v>51.358377635866326</v>
      </c>
      <c r="BV137" s="184">
        <v>41.793069664430867</v>
      </c>
    </row>
    <row r="138" spans="1:74" x14ac:dyDescent="0.25">
      <c r="A138" s="180">
        <v>42844</v>
      </c>
      <c r="B138" s="181">
        <v>0.60659722222222223</v>
      </c>
      <c r="C138" s="182">
        <v>121.97</v>
      </c>
      <c r="D138" s="182">
        <v>121.52</v>
      </c>
      <c r="E138" s="182">
        <v>121.52</v>
      </c>
      <c r="F138" s="182">
        <v>122.11</v>
      </c>
      <c r="H138" s="183">
        <v>121.8</v>
      </c>
      <c r="I138" s="184">
        <v>0.2</v>
      </c>
      <c r="J138" s="184">
        <v>-0.3</v>
      </c>
      <c r="K138" s="184">
        <v>-0.3</v>
      </c>
      <c r="L138" s="184">
        <v>0.3</v>
      </c>
      <c r="N138" s="182">
        <v>121.56</v>
      </c>
      <c r="O138" s="182">
        <v>121.41</v>
      </c>
      <c r="P138" s="182">
        <v>121.52</v>
      </c>
      <c r="Q138" s="182">
        <v>121.75</v>
      </c>
      <c r="R138" s="182">
        <v>121.62</v>
      </c>
      <c r="S138" s="182">
        <v>121.63</v>
      </c>
      <c r="U138" s="184">
        <v>25.682988073359493</v>
      </c>
      <c r="V138" s="184">
        <v>27.696359403696587</v>
      </c>
      <c r="W138" s="184">
        <v>29.681718474997833</v>
      </c>
      <c r="X138" s="184">
        <v>27.048475948475222</v>
      </c>
      <c r="Y138" s="184">
        <v>27.021471067750749</v>
      </c>
      <c r="Z138" s="184">
        <v>19.979495161896402</v>
      </c>
      <c r="AA138" s="184">
        <v>29.253493591762798</v>
      </c>
      <c r="AB138" s="184">
        <v>32.430073776587086</v>
      </c>
      <c r="AC138" s="184">
        <v>51.909147290637037</v>
      </c>
      <c r="AD138" s="184">
        <v>42.423983431726199</v>
      </c>
      <c r="BB138" s="175">
        <v>121.56</v>
      </c>
      <c r="BC138" s="175">
        <v>121.41</v>
      </c>
      <c r="BD138" s="175">
        <v>121.52</v>
      </c>
      <c r="BE138" s="175">
        <v>121.75</v>
      </c>
      <c r="BF138" s="175">
        <v>121.62</v>
      </c>
      <c r="BG138" s="175">
        <v>121.63</v>
      </c>
      <c r="BH138" s="175">
        <v>121.97</v>
      </c>
      <c r="BI138" s="175">
        <v>121.52</v>
      </c>
      <c r="BJ138" s="175">
        <v>121.52</v>
      </c>
      <c r="BK138" s="175">
        <v>122.11</v>
      </c>
      <c r="BM138" s="184">
        <v>25.682988073359493</v>
      </c>
      <c r="BN138" s="184">
        <v>27.696359403696587</v>
      </c>
      <c r="BO138" s="184">
        <v>29.681718474997833</v>
      </c>
      <c r="BP138" s="184">
        <v>27.048475948475222</v>
      </c>
      <c r="BQ138" s="184">
        <v>27.021471067750749</v>
      </c>
      <c r="BR138" s="184">
        <v>19.979495161896402</v>
      </c>
      <c r="BS138" s="184">
        <v>29.253493591762798</v>
      </c>
      <c r="BT138" s="184">
        <v>32.430073776587086</v>
      </c>
      <c r="BU138" s="184">
        <v>51.909147290637037</v>
      </c>
      <c r="BV138" s="184">
        <v>42.423983431726199</v>
      </c>
    </row>
    <row r="139" spans="1:74" x14ac:dyDescent="0.25">
      <c r="A139" s="180">
        <v>42844</v>
      </c>
      <c r="B139" s="181">
        <v>0.6069444444444444</v>
      </c>
      <c r="C139" s="182">
        <v>122.12</v>
      </c>
      <c r="D139" s="182">
        <v>123.02</v>
      </c>
      <c r="E139" s="182">
        <v>123.04</v>
      </c>
      <c r="F139" s="182">
        <v>122.02</v>
      </c>
      <c r="H139" s="183">
        <v>122.6</v>
      </c>
      <c r="I139" s="184">
        <v>-0.5</v>
      </c>
      <c r="J139" s="184">
        <v>0.4</v>
      </c>
      <c r="K139" s="184">
        <v>0.4</v>
      </c>
      <c r="L139" s="184">
        <v>-0.6</v>
      </c>
      <c r="N139" s="182">
        <v>121.55</v>
      </c>
      <c r="O139" s="182">
        <v>121.41</v>
      </c>
      <c r="P139" s="182">
        <v>121.51</v>
      </c>
      <c r="Q139" s="182">
        <v>121.75</v>
      </c>
      <c r="R139" s="182">
        <v>121.59</v>
      </c>
      <c r="S139" s="182">
        <v>121.68</v>
      </c>
      <c r="U139" s="184">
        <v>26.237575480990692</v>
      </c>
      <c r="V139" s="184">
        <v>28.233354109867211</v>
      </c>
      <c r="W139" s="184">
        <v>30.231221394714094</v>
      </c>
      <c r="X139" s="184">
        <v>27.629200255395393</v>
      </c>
      <c r="Y139" s="184">
        <v>27.581190009484327</v>
      </c>
      <c r="Z139" s="184">
        <v>20.550934329291291</v>
      </c>
      <c r="AA139" s="184">
        <v>29.885861765498376</v>
      </c>
      <c r="AB139" s="184">
        <v>33.208056592389624</v>
      </c>
      <c r="AC139" s="184">
        <v>52.690721111957515</v>
      </c>
      <c r="AD139" s="184">
        <v>43.041957148448454</v>
      </c>
      <c r="BB139" s="175">
        <v>121.55</v>
      </c>
      <c r="BC139" s="175">
        <v>121.41</v>
      </c>
      <c r="BD139" s="175">
        <v>121.51</v>
      </c>
      <c r="BE139" s="175">
        <v>121.75</v>
      </c>
      <c r="BF139" s="175">
        <v>121.59</v>
      </c>
      <c r="BG139" s="175">
        <v>121.68</v>
      </c>
      <c r="BH139" s="175">
        <v>122.12</v>
      </c>
      <c r="BI139" s="175">
        <v>123.02</v>
      </c>
      <c r="BJ139" s="175">
        <v>123.04</v>
      </c>
      <c r="BK139" s="175">
        <v>122.02</v>
      </c>
      <c r="BM139" s="184">
        <v>26.237575480990692</v>
      </c>
      <c r="BN139" s="184">
        <v>28.233354109867211</v>
      </c>
      <c r="BO139" s="184">
        <v>30.231221394714094</v>
      </c>
      <c r="BP139" s="184">
        <v>27.629200255395393</v>
      </c>
      <c r="BQ139" s="184">
        <v>27.581190009484327</v>
      </c>
      <c r="BR139" s="184">
        <v>20.550934329291291</v>
      </c>
      <c r="BS139" s="184">
        <v>29.885861765498376</v>
      </c>
      <c r="BT139" s="184">
        <v>33.208056592389624</v>
      </c>
      <c r="BU139" s="184">
        <v>52.690721111957515</v>
      </c>
      <c r="BV139" s="184">
        <v>43.041957148448454</v>
      </c>
    </row>
    <row r="140" spans="1:74" x14ac:dyDescent="0.25">
      <c r="A140" s="180">
        <v>42844</v>
      </c>
      <c r="B140" s="181">
        <v>0.60729166666666667</v>
      </c>
      <c r="C140" s="182">
        <v>121.92</v>
      </c>
      <c r="D140" s="182">
        <v>121.37</v>
      </c>
      <c r="E140" s="182">
        <v>121.35</v>
      </c>
      <c r="F140" s="182">
        <v>122.08</v>
      </c>
      <c r="H140" s="183">
        <v>121.7</v>
      </c>
      <c r="I140" s="184">
        <v>0.2</v>
      </c>
      <c r="J140" s="184">
        <v>-0.3</v>
      </c>
      <c r="K140" s="184">
        <v>-0.4</v>
      </c>
      <c r="L140" s="184">
        <v>0.4</v>
      </c>
      <c r="N140" s="182">
        <v>121.57</v>
      </c>
      <c r="O140" s="182">
        <v>121.43</v>
      </c>
      <c r="P140" s="182">
        <v>121.54</v>
      </c>
      <c r="Q140" s="182">
        <v>121.78</v>
      </c>
      <c r="R140" s="182">
        <v>121.64</v>
      </c>
      <c r="S140" s="182">
        <v>121.67</v>
      </c>
      <c r="U140" s="184">
        <v>26.794722747786558</v>
      </c>
      <c r="V140" s="184">
        <v>28.772827470982126</v>
      </c>
      <c r="W140" s="184">
        <v>30.784533286702928</v>
      </c>
      <c r="X140" s="184">
        <v>28.213949950905331</v>
      </c>
      <c r="Y140" s="184">
        <v>28.147390191102108</v>
      </c>
      <c r="Z140" s="184">
        <v>21.121059223071875</v>
      </c>
      <c r="AA140" s="184">
        <v>30.489768683051768</v>
      </c>
      <c r="AB140" s="184">
        <v>33.740128101501782</v>
      </c>
      <c r="AC140" s="184">
        <v>53.220347974546158</v>
      </c>
      <c r="AD140" s="184">
        <v>43.668527735919163</v>
      </c>
      <c r="BB140" s="175">
        <v>121.57</v>
      </c>
      <c r="BC140" s="175">
        <v>121.43</v>
      </c>
      <c r="BD140" s="175">
        <v>121.54</v>
      </c>
      <c r="BE140" s="175">
        <v>121.78</v>
      </c>
      <c r="BF140" s="175">
        <v>121.64</v>
      </c>
      <c r="BG140" s="175">
        <v>121.67</v>
      </c>
      <c r="BH140" s="175">
        <v>121.92</v>
      </c>
      <c r="BI140" s="175">
        <v>121.37</v>
      </c>
      <c r="BJ140" s="175">
        <v>121.35</v>
      </c>
      <c r="BK140" s="175">
        <v>122.08</v>
      </c>
      <c r="BM140" s="184">
        <v>26.794722747786558</v>
      </c>
      <c r="BN140" s="184">
        <v>28.772827470982126</v>
      </c>
      <c r="BO140" s="184">
        <v>30.784533286702928</v>
      </c>
      <c r="BP140" s="184">
        <v>28.213949950905331</v>
      </c>
      <c r="BQ140" s="184">
        <v>28.147390191102108</v>
      </c>
      <c r="BR140" s="184">
        <v>21.121059223071875</v>
      </c>
      <c r="BS140" s="184">
        <v>30.489768683051768</v>
      </c>
      <c r="BT140" s="184">
        <v>33.740128101501782</v>
      </c>
      <c r="BU140" s="184">
        <v>53.220347974546158</v>
      </c>
      <c r="BV140" s="184">
        <v>43.668527735919163</v>
      </c>
    </row>
    <row r="141" spans="1:74" x14ac:dyDescent="0.25">
      <c r="A141" s="180">
        <v>42844</v>
      </c>
      <c r="B141" s="181">
        <v>0.60763888888888895</v>
      </c>
      <c r="C141" s="182">
        <v>122.23</v>
      </c>
      <c r="D141" s="182">
        <v>122.98</v>
      </c>
      <c r="E141" s="182">
        <v>123.1</v>
      </c>
      <c r="F141" s="182">
        <v>122.07</v>
      </c>
      <c r="H141" s="183">
        <v>122.6</v>
      </c>
      <c r="I141" s="184">
        <v>-0.4</v>
      </c>
      <c r="J141" s="184">
        <v>0.4</v>
      </c>
      <c r="K141" s="184">
        <v>0.5</v>
      </c>
      <c r="L141" s="184">
        <v>-0.5</v>
      </c>
      <c r="N141" s="182">
        <v>121.57</v>
      </c>
      <c r="O141" s="182">
        <v>121.44</v>
      </c>
      <c r="P141" s="182">
        <v>121.53</v>
      </c>
      <c r="Q141" s="182">
        <v>121.78</v>
      </c>
      <c r="R141" s="182">
        <v>121.62</v>
      </c>
      <c r="S141" s="182">
        <v>121.77</v>
      </c>
      <c r="U141" s="184">
        <v>27.351870014582424</v>
      </c>
      <c r="V141" s="184">
        <v>29.313544446631095</v>
      </c>
      <c r="W141" s="184">
        <v>31.336572596653966</v>
      </c>
      <c r="X141" s="184">
        <v>28.798699646415269</v>
      </c>
      <c r="Y141" s="184">
        <v>28.710988919189866</v>
      </c>
      <c r="Z141" s="184">
        <v>21.704464031602356</v>
      </c>
      <c r="AA141" s="184">
        <v>31.138358318543748</v>
      </c>
      <c r="AB141" s="184">
        <v>34.510978327976559</v>
      </c>
      <c r="AC141" s="184">
        <v>54.012794570776713</v>
      </c>
      <c r="AD141" s="184">
        <v>44.293657251028023</v>
      </c>
      <c r="BB141" s="175">
        <v>121.57</v>
      </c>
      <c r="BC141" s="175">
        <v>121.44</v>
      </c>
      <c r="BD141" s="175">
        <v>121.53</v>
      </c>
      <c r="BE141" s="175">
        <v>121.78</v>
      </c>
      <c r="BF141" s="175">
        <v>121.62</v>
      </c>
      <c r="BG141" s="175">
        <v>121.77</v>
      </c>
      <c r="BH141" s="175">
        <v>122.23</v>
      </c>
      <c r="BI141" s="175">
        <v>122.98</v>
      </c>
      <c r="BJ141" s="175">
        <v>123.1</v>
      </c>
      <c r="BK141" s="175">
        <v>122.07</v>
      </c>
      <c r="BM141" s="184">
        <v>27.351870014582424</v>
      </c>
      <c r="BN141" s="184">
        <v>29.313544446631095</v>
      </c>
      <c r="BO141" s="184">
        <v>31.336572596653966</v>
      </c>
      <c r="BP141" s="184">
        <v>28.798699646415269</v>
      </c>
      <c r="BQ141" s="184">
        <v>28.710988919189866</v>
      </c>
      <c r="BR141" s="184">
        <v>21.704464031602356</v>
      </c>
      <c r="BS141" s="184">
        <v>31.138358318543748</v>
      </c>
      <c r="BT141" s="184">
        <v>34.510978327976559</v>
      </c>
      <c r="BU141" s="184">
        <v>54.012794570776713</v>
      </c>
      <c r="BV141" s="184">
        <v>44.293657251028023</v>
      </c>
    </row>
    <row r="142" spans="1:74" x14ac:dyDescent="0.25">
      <c r="A142" s="180">
        <v>42844</v>
      </c>
      <c r="B142" s="181">
        <v>0.60798611111111112</v>
      </c>
      <c r="C142" s="182">
        <v>121.88</v>
      </c>
      <c r="D142" s="182">
        <v>121.26</v>
      </c>
      <c r="E142" s="182">
        <v>121.29</v>
      </c>
      <c r="F142" s="182">
        <v>122.05</v>
      </c>
      <c r="H142" s="183">
        <v>121.6</v>
      </c>
      <c r="I142" s="184">
        <v>0.3</v>
      </c>
      <c r="J142" s="184">
        <v>-0.3</v>
      </c>
      <c r="K142" s="184">
        <v>-0.3</v>
      </c>
      <c r="L142" s="184">
        <v>0.5</v>
      </c>
      <c r="N142" s="182">
        <v>121.58</v>
      </c>
      <c r="O142" s="182">
        <v>121.45</v>
      </c>
      <c r="P142" s="182">
        <v>121.55</v>
      </c>
      <c r="Q142" s="182">
        <v>121.8</v>
      </c>
      <c r="R142" s="182">
        <v>121.66</v>
      </c>
      <c r="S142" s="182">
        <v>121.69</v>
      </c>
      <c r="U142" s="184">
        <v>27.910301638472706</v>
      </c>
      <c r="V142" s="184">
        <v>29.855507903641698</v>
      </c>
      <c r="W142" s="184">
        <v>31.891160004285165</v>
      </c>
      <c r="X142" s="184">
        <v>29.386148423885032</v>
      </c>
      <c r="Y142" s="184">
        <v>29.279802562101583</v>
      </c>
      <c r="Z142" s="184">
        <v>22.277220502325125</v>
      </c>
      <c r="AA142" s="184">
        <v>31.736728584197369</v>
      </c>
      <c r="AB142" s="184">
        <v>35.029742535885568</v>
      </c>
      <c r="AC142" s="184">
        <v>54.535154680387116</v>
      </c>
      <c r="AD142" s="184">
        <v>44.915914556913712</v>
      </c>
      <c r="BB142" s="175">
        <v>121.58</v>
      </c>
      <c r="BC142" s="175">
        <v>121.45</v>
      </c>
      <c r="BD142" s="175">
        <v>121.55</v>
      </c>
      <c r="BE142" s="175">
        <v>121.8</v>
      </c>
      <c r="BF142" s="175">
        <v>121.66</v>
      </c>
      <c r="BG142" s="175">
        <v>121.69</v>
      </c>
      <c r="BH142" s="175">
        <v>121.88</v>
      </c>
      <c r="BI142" s="175">
        <v>121.26</v>
      </c>
      <c r="BJ142" s="175">
        <v>121.29</v>
      </c>
      <c r="BK142" s="175">
        <v>122.05</v>
      </c>
      <c r="BM142" s="184">
        <v>27.910301638472706</v>
      </c>
      <c r="BN142" s="184">
        <v>29.855507903641698</v>
      </c>
      <c r="BO142" s="184">
        <v>31.891160004285165</v>
      </c>
      <c r="BP142" s="184">
        <v>29.386148423885032</v>
      </c>
      <c r="BQ142" s="184">
        <v>29.279802562101583</v>
      </c>
      <c r="BR142" s="184">
        <v>22.277220502325125</v>
      </c>
      <c r="BS142" s="184">
        <v>31.736728584197369</v>
      </c>
      <c r="BT142" s="184">
        <v>35.029742535885568</v>
      </c>
      <c r="BU142" s="184">
        <v>54.535154680387116</v>
      </c>
      <c r="BV142" s="184">
        <v>44.915914556913712</v>
      </c>
    </row>
    <row r="143" spans="1:74" x14ac:dyDescent="0.25">
      <c r="A143" s="180">
        <v>42844</v>
      </c>
      <c r="B143" s="181">
        <v>0.60833333333333328</v>
      </c>
      <c r="C143" s="182">
        <v>122.34</v>
      </c>
      <c r="D143" s="182">
        <v>123</v>
      </c>
      <c r="E143" s="182">
        <v>123.16</v>
      </c>
      <c r="F143" s="182">
        <v>122.15</v>
      </c>
      <c r="H143" s="183">
        <v>122.7</v>
      </c>
      <c r="I143" s="184">
        <v>-0.4</v>
      </c>
      <c r="J143" s="184">
        <v>0.3</v>
      </c>
      <c r="K143" s="184">
        <v>0.5</v>
      </c>
      <c r="L143" s="184">
        <v>-0.5</v>
      </c>
      <c r="N143" s="182">
        <v>121.59</v>
      </c>
      <c r="O143" s="182">
        <v>121.47</v>
      </c>
      <c r="P143" s="182">
        <v>121.56</v>
      </c>
      <c r="Q143" s="182">
        <v>121.82</v>
      </c>
      <c r="R143" s="182">
        <v>121.65</v>
      </c>
      <c r="S143" s="182">
        <v>121.85</v>
      </c>
      <c r="U143" s="184">
        <v>28.470020580206285</v>
      </c>
      <c r="V143" s="184">
        <v>30.399972950308413</v>
      </c>
      <c r="W143" s="184">
        <v>32.447025867925959</v>
      </c>
      <c r="X143" s="184">
        <v>29.976308741710898</v>
      </c>
      <c r="Y143" s="184">
        <v>29.847307969937741</v>
      </c>
      <c r="Z143" s="184">
        <v>22.871471616043635</v>
      </c>
      <c r="AA143" s="184">
        <v>32.401955793186417</v>
      </c>
      <c r="AB143" s="184">
        <v>35.804150845341809</v>
      </c>
      <c r="AC143" s="184">
        <v>55.338625306893555</v>
      </c>
      <c r="AD143" s="184">
        <v>45.552666097422048</v>
      </c>
      <c r="BB143" s="175">
        <v>121.59</v>
      </c>
      <c r="BC143" s="175">
        <v>121.47</v>
      </c>
      <c r="BD143" s="175">
        <v>121.56</v>
      </c>
      <c r="BE143" s="175">
        <v>121.82</v>
      </c>
      <c r="BF143" s="175">
        <v>121.65</v>
      </c>
      <c r="BG143" s="175">
        <v>121.85</v>
      </c>
      <c r="BH143" s="175">
        <v>122.34</v>
      </c>
      <c r="BI143" s="175">
        <v>123</v>
      </c>
      <c r="BJ143" s="175">
        <v>123.16</v>
      </c>
      <c r="BK143" s="175">
        <v>122.15</v>
      </c>
      <c r="BM143" s="184">
        <v>28.470020580206285</v>
      </c>
      <c r="BN143" s="184">
        <v>30.399972950308413</v>
      </c>
      <c r="BO143" s="184">
        <v>32.447025867925959</v>
      </c>
      <c r="BP143" s="184">
        <v>29.976308741710898</v>
      </c>
      <c r="BQ143" s="184">
        <v>29.847307969937741</v>
      </c>
      <c r="BR143" s="184">
        <v>22.871471616043635</v>
      </c>
      <c r="BS143" s="184">
        <v>32.401955793186417</v>
      </c>
      <c r="BT143" s="184">
        <v>35.804150845341809</v>
      </c>
      <c r="BU143" s="184">
        <v>55.338625306893555</v>
      </c>
      <c r="BV143" s="184">
        <v>45.552666097422048</v>
      </c>
    </row>
    <row r="144" spans="1:74" x14ac:dyDescent="0.25">
      <c r="A144" s="180">
        <v>42844</v>
      </c>
      <c r="B144" s="181">
        <v>0.60868055555555556</v>
      </c>
      <c r="C144" s="182">
        <v>121.8</v>
      </c>
      <c r="D144" s="182">
        <v>121.11</v>
      </c>
      <c r="E144" s="182">
        <v>120.94</v>
      </c>
      <c r="F144" s="182">
        <v>122.03</v>
      </c>
      <c r="H144" s="183">
        <v>121.5</v>
      </c>
      <c r="I144" s="184">
        <v>0.3</v>
      </c>
      <c r="J144" s="184">
        <v>-0.4</v>
      </c>
      <c r="K144" s="184">
        <v>-0.6</v>
      </c>
      <c r="L144" s="184">
        <v>0.5</v>
      </c>
      <c r="N144" s="182">
        <v>121.59</v>
      </c>
      <c r="O144" s="182">
        <v>121.45</v>
      </c>
      <c r="P144" s="182">
        <v>121.57</v>
      </c>
      <c r="Q144" s="182">
        <v>121.82</v>
      </c>
      <c r="R144" s="182">
        <v>121.68</v>
      </c>
      <c r="S144" s="182">
        <v>121.7</v>
      </c>
      <c r="U144" s="184">
        <v>29.029739521939863</v>
      </c>
      <c r="V144" s="184">
        <v>30.941936407319016</v>
      </c>
      <c r="W144" s="184">
        <v>33.004173134721825</v>
      </c>
      <c r="X144" s="184">
        <v>30.566469059536765</v>
      </c>
      <c r="Y144" s="184">
        <v>30.41874713733263</v>
      </c>
      <c r="Z144" s="184">
        <v>23.44554842679208</v>
      </c>
      <c r="AA144" s="184">
        <v>32.989404570656184</v>
      </c>
      <c r="AB144" s="184">
        <v>36.305303464380756</v>
      </c>
      <c r="AC144" s="184">
        <v>55.820539818705541</v>
      </c>
      <c r="AD144" s="184">
        <v>46.172064390687233</v>
      </c>
      <c r="BB144" s="175">
        <v>121.59</v>
      </c>
      <c r="BC144" s="175">
        <v>121.45</v>
      </c>
      <c r="BD144" s="175">
        <v>121.57</v>
      </c>
      <c r="BE144" s="175">
        <v>121.82</v>
      </c>
      <c r="BF144" s="175">
        <v>121.68</v>
      </c>
      <c r="BG144" s="175">
        <v>121.7</v>
      </c>
      <c r="BH144" s="175">
        <v>121.8</v>
      </c>
      <c r="BI144" s="175">
        <v>121.11</v>
      </c>
      <c r="BJ144" s="175">
        <v>120.94</v>
      </c>
      <c r="BK144" s="175">
        <v>122.03</v>
      </c>
      <c r="BM144" s="184">
        <v>29.029739521939863</v>
      </c>
      <c r="BN144" s="184">
        <v>30.941936407319016</v>
      </c>
      <c r="BO144" s="184">
        <v>33.004173134721825</v>
      </c>
      <c r="BP144" s="184">
        <v>30.566469059536765</v>
      </c>
      <c r="BQ144" s="184">
        <v>30.41874713733263</v>
      </c>
      <c r="BR144" s="184">
        <v>23.44554842679208</v>
      </c>
      <c r="BS144" s="184">
        <v>32.989404570656184</v>
      </c>
      <c r="BT144" s="184">
        <v>36.305303464380756</v>
      </c>
      <c r="BU144" s="184">
        <v>55.820539818705541</v>
      </c>
      <c r="BV144" s="184">
        <v>46.172064390687233</v>
      </c>
    </row>
    <row r="145" spans="1:74" x14ac:dyDescent="0.25">
      <c r="A145" s="180">
        <v>42844</v>
      </c>
      <c r="B145" s="181">
        <v>0.60902777777777783</v>
      </c>
      <c r="C145" s="182">
        <v>122.36</v>
      </c>
      <c r="D145" s="182">
        <v>122.69</v>
      </c>
      <c r="E145" s="182">
        <v>122.74</v>
      </c>
      <c r="F145" s="182">
        <v>122.19</v>
      </c>
      <c r="H145" s="183">
        <v>122.5</v>
      </c>
      <c r="I145" s="184">
        <v>-0.1</v>
      </c>
      <c r="J145" s="184">
        <v>0.2</v>
      </c>
      <c r="K145" s="184">
        <v>0.2</v>
      </c>
      <c r="L145" s="184">
        <v>-0.3</v>
      </c>
      <c r="N145" s="182">
        <v>121.62</v>
      </c>
      <c r="O145" s="182">
        <v>121.5</v>
      </c>
      <c r="P145" s="182">
        <v>121.59</v>
      </c>
      <c r="Q145" s="182">
        <v>121.85</v>
      </c>
      <c r="R145" s="182">
        <v>121.69</v>
      </c>
      <c r="S145" s="182">
        <v>121.9</v>
      </c>
      <c r="U145" s="184">
        <v>29.593338250027621</v>
      </c>
      <c r="V145" s="184">
        <v>31.49017550539061</v>
      </c>
      <c r="W145" s="184">
        <v>33.563892076455403</v>
      </c>
      <c r="X145" s="184">
        <v>31.160720173255275</v>
      </c>
      <c r="Y145" s="184">
        <v>30.9915036080554</v>
      </c>
      <c r="Z145" s="184">
        <v>24.046680644100789</v>
      </c>
      <c r="AA145" s="184">
        <v>33.657702328929403</v>
      </c>
      <c r="AB145" s="184">
        <v>37.026361140143194</v>
      </c>
      <c r="AC145" s="184">
        <v>56.549946948843214</v>
      </c>
      <c r="AD145" s="184">
        <v>46.814707720659044</v>
      </c>
      <c r="BB145" s="175">
        <v>121.62</v>
      </c>
      <c r="BC145" s="175">
        <v>121.5</v>
      </c>
      <c r="BD145" s="175">
        <v>121.59</v>
      </c>
      <c r="BE145" s="175">
        <v>121.85</v>
      </c>
      <c r="BF145" s="175">
        <v>121.69</v>
      </c>
      <c r="BG145" s="175">
        <v>121.9</v>
      </c>
      <c r="BH145" s="175">
        <v>122.36</v>
      </c>
      <c r="BI145" s="175">
        <v>122.69</v>
      </c>
      <c r="BJ145" s="175">
        <v>122.74</v>
      </c>
      <c r="BK145" s="175">
        <v>122.19</v>
      </c>
      <c r="BM145" s="184">
        <v>29.593338250027621</v>
      </c>
      <c r="BN145" s="184">
        <v>31.49017550539061</v>
      </c>
      <c r="BO145" s="184">
        <v>33.563892076455403</v>
      </c>
      <c r="BP145" s="184">
        <v>31.160720173255275</v>
      </c>
      <c r="BQ145" s="184">
        <v>30.9915036080554</v>
      </c>
      <c r="BR145" s="184">
        <v>24.046680644100789</v>
      </c>
      <c r="BS145" s="184">
        <v>33.657702328929403</v>
      </c>
      <c r="BT145" s="184">
        <v>37.026361140143194</v>
      </c>
      <c r="BU145" s="184">
        <v>56.549946948843214</v>
      </c>
      <c r="BV145" s="184">
        <v>46.814707720659044</v>
      </c>
    </row>
    <row r="146" spans="1:74" x14ac:dyDescent="0.25">
      <c r="A146" s="180">
        <v>42844</v>
      </c>
      <c r="B146" s="181">
        <v>0.609375</v>
      </c>
      <c r="C146" s="182">
        <v>121.74</v>
      </c>
      <c r="D146" s="182">
        <v>121.34</v>
      </c>
      <c r="E146" s="182">
        <v>121.96</v>
      </c>
      <c r="F146" s="182">
        <v>121.99</v>
      </c>
      <c r="H146" s="183">
        <v>121.8</v>
      </c>
      <c r="I146" s="184">
        <v>-0.1</v>
      </c>
      <c r="J146" s="184">
        <v>-0.5</v>
      </c>
      <c r="K146" s="184">
        <v>0.2</v>
      </c>
      <c r="L146" s="184">
        <v>0.2</v>
      </c>
      <c r="N146" s="182">
        <v>121.59</v>
      </c>
      <c r="O146" s="182">
        <v>121.46</v>
      </c>
      <c r="P146" s="182">
        <v>121.57</v>
      </c>
      <c r="Q146" s="182">
        <v>121.84</v>
      </c>
      <c r="R146" s="182">
        <v>121.69</v>
      </c>
      <c r="S146" s="182">
        <v>121.71</v>
      </c>
      <c r="U146" s="184">
        <v>30.153057191761199</v>
      </c>
      <c r="V146" s="184">
        <v>32.03338831719914</v>
      </c>
      <c r="W146" s="184">
        <v>34.121039343251269</v>
      </c>
      <c r="X146" s="184">
        <v>31.753604547338856</v>
      </c>
      <c r="Y146" s="184">
        <v>31.564260078778169</v>
      </c>
      <c r="Z146" s="184">
        <v>24.622080838573005</v>
      </c>
      <c r="AA146" s="184">
        <v>34.237091007006967</v>
      </c>
      <c r="AB146" s="184">
        <v>37.554769894750024</v>
      </c>
      <c r="AC146" s="184">
        <v>57.159441748305646</v>
      </c>
      <c r="AD146" s="184">
        <v>47.428427336238251</v>
      </c>
      <c r="BB146" s="175">
        <v>121.59</v>
      </c>
      <c r="BC146" s="175">
        <v>121.46</v>
      </c>
      <c r="BD146" s="175">
        <v>121.57</v>
      </c>
      <c r="BE146" s="175">
        <v>121.84</v>
      </c>
      <c r="BF146" s="175">
        <v>121.69</v>
      </c>
      <c r="BG146" s="175">
        <v>121.71</v>
      </c>
      <c r="BH146" s="175">
        <v>121.74</v>
      </c>
      <c r="BI146" s="175">
        <v>121.34</v>
      </c>
      <c r="BJ146" s="175">
        <v>121.96</v>
      </c>
      <c r="BK146" s="175">
        <v>121.99</v>
      </c>
      <c r="BM146" s="184">
        <v>30.153057191761199</v>
      </c>
      <c r="BN146" s="184">
        <v>32.03338831719914</v>
      </c>
      <c r="BO146" s="184">
        <v>34.121039343251269</v>
      </c>
      <c r="BP146" s="184">
        <v>31.753604547338856</v>
      </c>
      <c r="BQ146" s="184">
        <v>31.564260078778169</v>
      </c>
      <c r="BR146" s="184">
        <v>24.622080838573005</v>
      </c>
      <c r="BS146" s="184">
        <v>34.237091007006967</v>
      </c>
      <c r="BT146" s="184">
        <v>37.554769894750024</v>
      </c>
      <c r="BU146" s="184">
        <v>57.159441748305646</v>
      </c>
      <c r="BV146" s="184">
        <v>47.428427336238251</v>
      </c>
    </row>
    <row r="147" spans="1:74" x14ac:dyDescent="0.25">
      <c r="A147" s="180">
        <v>42844</v>
      </c>
      <c r="B147" s="181">
        <v>0.60972222222222217</v>
      </c>
      <c r="C147" s="182">
        <v>122.3</v>
      </c>
      <c r="D147" s="182">
        <v>122.25</v>
      </c>
      <c r="E147" s="182">
        <v>122.33</v>
      </c>
      <c r="F147" s="182">
        <v>122.21</v>
      </c>
      <c r="H147" s="183">
        <v>122.3</v>
      </c>
      <c r="I147" s="184">
        <v>0</v>
      </c>
      <c r="J147" s="184">
        <v>0</v>
      </c>
      <c r="K147" s="184">
        <v>0</v>
      </c>
      <c r="L147" s="184">
        <v>-0.1</v>
      </c>
      <c r="N147" s="182">
        <v>121.64</v>
      </c>
      <c r="O147" s="182">
        <v>121.53</v>
      </c>
      <c r="P147" s="182">
        <v>121.62</v>
      </c>
      <c r="Q147" s="182">
        <v>121.89999999999999</v>
      </c>
      <c r="R147" s="182">
        <v>121.73</v>
      </c>
      <c r="S147" s="182">
        <v>121.91</v>
      </c>
      <c r="U147" s="184">
        <v>30.71925737337898</v>
      </c>
      <c r="V147" s="184">
        <v>32.585427627150175</v>
      </c>
      <c r="W147" s="184">
        <v>34.684638071339023</v>
      </c>
      <c r="X147" s="184">
        <v>32.354736764647562</v>
      </c>
      <c r="Y147" s="184">
        <v>32.142316199874223</v>
      </c>
      <c r="Z147" s="184">
        <v>25.224598808758905</v>
      </c>
      <c r="AA147" s="184">
        <v>34.896219376285174</v>
      </c>
      <c r="AB147" s="184">
        <v>38.206353283976178</v>
      </c>
      <c r="AC147" s="184">
        <v>57.823138977170515</v>
      </c>
      <c r="AD147" s="184">
        <v>48.074036973045018</v>
      </c>
      <c r="BB147" s="175">
        <v>121.64</v>
      </c>
      <c r="BC147" s="175">
        <v>121.53</v>
      </c>
      <c r="BD147" s="175">
        <v>121.62</v>
      </c>
      <c r="BE147" s="175">
        <v>121.89999999999999</v>
      </c>
      <c r="BF147" s="175">
        <v>121.73</v>
      </c>
      <c r="BG147" s="175">
        <v>121.91</v>
      </c>
      <c r="BH147" s="175">
        <v>122.3</v>
      </c>
      <c r="BI147" s="175">
        <v>122.25</v>
      </c>
      <c r="BJ147" s="175">
        <v>122.33</v>
      </c>
      <c r="BK147" s="175">
        <v>122.21</v>
      </c>
      <c r="BM147" s="184">
        <v>30.71925737337898</v>
      </c>
      <c r="BN147" s="184">
        <v>32.585427627150175</v>
      </c>
      <c r="BO147" s="184">
        <v>34.684638071339023</v>
      </c>
      <c r="BP147" s="184">
        <v>32.354736764647562</v>
      </c>
      <c r="BQ147" s="184">
        <v>32.142316199874223</v>
      </c>
      <c r="BR147" s="184">
        <v>25.224598808758905</v>
      </c>
      <c r="BS147" s="184">
        <v>34.896219376285174</v>
      </c>
      <c r="BT147" s="184">
        <v>38.206353283976178</v>
      </c>
      <c r="BU147" s="184">
        <v>57.823138977170515</v>
      </c>
      <c r="BV147" s="184">
        <v>48.074036973045018</v>
      </c>
    </row>
    <row r="148" spans="1:74" x14ac:dyDescent="0.25">
      <c r="A148" s="180">
        <v>42844</v>
      </c>
      <c r="B148" s="181">
        <v>0.61006944444444444</v>
      </c>
      <c r="C148" s="182">
        <v>121.93</v>
      </c>
      <c r="D148" s="182">
        <v>122.17</v>
      </c>
      <c r="E148" s="182">
        <v>122.66</v>
      </c>
      <c r="F148" s="182">
        <v>121.97</v>
      </c>
      <c r="H148" s="183">
        <v>122.2</v>
      </c>
      <c r="I148" s="184">
        <v>-0.3</v>
      </c>
      <c r="J148" s="184">
        <v>0</v>
      </c>
      <c r="K148" s="184">
        <v>0.5</v>
      </c>
      <c r="L148" s="184">
        <v>-0.2</v>
      </c>
      <c r="N148" s="182">
        <v>121.6</v>
      </c>
      <c r="O148" s="182">
        <v>121.48</v>
      </c>
      <c r="P148" s="182">
        <v>121.59</v>
      </c>
      <c r="Q148" s="182">
        <v>121.86</v>
      </c>
      <c r="R148" s="182">
        <v>121.7</v>
      </c>
      <c r="S148" s="182">
        <v>121.78</v>
      </c>
      <c r="U148" s="184">
        <v>31.280266600529963</v>
      </c>
      <c r="V148" s="184">
        <v>33.131147795374552</v>
      </c>
      <c r="W148" s="184">
        <v>35.244357013072602</v>
      </c>
      <c r="X148" s="184">
        <v>32.950357768661249</v>
      </c>
      <c r="Y148" s="184">
        <v>32.716393010622667</v>
      </c>
      <c r="Z148" s="184">
        <v>25.809348504268844</v>
      </c>
      <c r="AA148" s="184">
        <v>35.501518443060419</v>
      </c>
      <c r="AB148" s="184">
        <v>38.84604393605494</v>
      </c>
      <c r="AC148" s="184">
        <v>58.539232926807287</v>
      </c>
      <c r="AD148" s="184">
        <v>48.684936803127457</v>
      </c>
      <c r="BB148" s="175">
        <v>121.6</v>
      </c>
      <c r="BC148" s="175">
        <v>121.48</v>
      </c>
      <c r="BD148" s="175">
        <v>121.59</v>
      </c>
      <c r="BE148" s="175">
        <v>121.86</v>
      </c>
      <c r="BF148" s="175">
        <v>121.7</v>
      </c>
      <c r="BG148" s="175">
        <v>121.78</v>
      </c>
      <c r="BH148" s="175">
        <v>121.93</v>
      </c>
      <c r="BI148" s="175">
        <v>122.17</v>
      </c>
      <c r="BJ148" s="175">
        <v>122.66</v>
      </c>
      <c r="BK148" s="175">
        <v>121.97</v>
      </c>
      <c r="BM148" s="184">
        <v>31.280266600529963</v>
      </c>
      <c r="BN148" s="184">
        <v>33.131147795374552</v>
      </c>
      <c r="BO148" s="184">
        <v>35.244357013072602</v>
      </c>
      <c r="BP148" s="184">
        <v>32.950357768661249</v>
      </c>
      <c r="BQ148" s="184">
        <v>32.716393010622667</v>
      </c>
      <c r="BR148" s="184">
        <v>25.809348504268844</v>
      </c>
      <c r="BS148" s="184">
        <v>35.501518443060419</v>
      </c>
      <c r="BT148" s="184">
        <v>38.84604393605494</v>
      </c>
      <c r="BU148" s="184">
        <v>58.539232926807287</v>
      </c>
      <c r="BV148" s="184">
        <v>48.684936803127457</v>
      </c>
    </row>
    <row r="149" spans="1:74" x14ac:dyDescent="0.25">
      <c r="A149" s="180">
        <v>42844</v>
      </c>
      <c r="B149" s="181">
        <v>0.61041666666666672</v>
      </c>
      <c r="C149" s="182">
        <v>122.21</v>
      </c>
      <c r="D149" s="182">
        <v>121.9</v>
      </c>
      <c r="E149" s="182">
        <v>121.9</v>
      </c>
      <c r="F149" s="182">
        <v>122.16</v>
      </c>
      <c r="H149" s="183">
        <v>122</v>
      </c>
      <c r="I149" s="184">
        <v>0.2</v>
      </c>
      <c r="J149" s="184">
        <v>-0.1</v>
      </c>
      <c r="K149" s="184">
        <v>-0.1</v>
      </c>
      <c r="L149" s="184">
        <v>0.2</v>
      </c>
      <c r="N149" s="182">
        <v>121.65</v>
      </c>
      <c r="O149" s="182">
        <v>121.53</v>
      </c>
      <c r="P149" s="182">
        <v>121.64</v>
      </c>
      <c r="Q149" s="182">
        <v>121.91</v>
      </c>
      <c r="R149" s="182">
        <v>121.75</v>
      </c>
      <c r="S149" s="182">
        <v>121.91</v>
      </c>
      <c r="U149" s="184">
        <v>31.847772008366121</v>
      </c>
      <c r="V149" s="184">
        <v>33.683187105325587</v>
      </c>
      <c r="W149" s="184">
        <v>35.810557194690382</v>
      </c>
      <c r="X149" s="184">
        <v>33.552875738847149</v>
      </c>
      <c r="Y149" s="184">
        <v>33.297117317542842</v>
      </c>
      <c r="Z149" s="184">
        <v>26.411866474454744</v>
      </c>
      <c r="AA149" s="184">
        <v>36.147128079867187</v>
      </c>
      <c r="AB149" s="184">
        <v>39.44717615336365</v>
      </c>
      <c r="AC149" s="184">
        <v>59.140365144115997</v>
      </c>
      <c r="AD149" s="184">
        <v>49.323156207533131</v>
      </c>
      <c r="BB149" s="175">
        <v>121.65</v>
      </c>
      <c r="BC149" s="175">
        <v>121.53</v>
      </c>
      <c r="BD149" s="175">
        <v>121.64</v>
      </c>
      <c r="BE149" s="175">
        <v>121.91</v>
      </c>
      <c r="BF149" s="175">
        <v>121.75</v>
      </c>
      <c r="BG149" s="175">
        <v>121.91</v>
      </c>
      <c r="BH149" s="175">
        <v>122.21</v>
      </c>
      <c r="BI149" s="175">
        <v>121.9</v>
      </c>
      <c r="BJ149" s="175">
        <v>121.9</v>
      </c>
      <c r="BK149" s="175">
        <v>122.16</v>
      </c>
      <c r="BM149" s="184">
        <v>31.847772008366121</v>
      </c>
      <c r="BN149" s="184">
        <v>33.683187105325587</v>
      </c>
      <c r="BO149" s="184">
        <v>35.810557194690382</v>
      </c>
      <c r="BP149" s="184">
        <v>33.552875738847149</v>
      </c>
      <c r="BQ149" s="184">
        <v>33.297117317542842</v>
      </c>
      <c r="BR149" s="184">
        <v>26.411866474454744</v>
      </c>
      <c r="BS149" s="184">
        <v>36.147128079867187</v>
      </c>
      <c r="BT149" s="184">
        <v>39.44717615336365</v>
      </c>
      <c r="BU149" s="184">
        <v>59.140365144115997</v>
      </c>
      <c r="BV149" s="184">
        <v>49.323156207533131</v>
      </c>
    </row>
    <row r="150" spans="1:74" x14ac:dyDescent="0.25">
      <c r="A150" s="180">
        <v>42844</v>
      </c>
      <c r="B150" s="181">
        <v>0.61076388888888888</v>
      </c>
      <c r="C150" s="182">
        <v>122.18</v>
      </c>
      <c r="D150" s="182">
        <v>122.86</v>
      </c>
      <c r="E150" s="182">
        <v>123.12</v>
      </c>
      <c r="F150" s="182">
        <v>122.02</v>
      </c>
      <c r="H150" s="183">
        <v>122.5</v>
      </c>
      <c r="I150" s="184">
        <v>-0.3</v>
      </c>
      <c r="J150" s="184">
        <v>0.4</v>
      </c>
      <c r="K150" s="184">
        <v>0.6</v>
      </c>
      <c r="L150" s="184">
        <v>-0.5</v>
      </c>
      <c r="N150" s="182">
        <v>121.63</v>
      </c>
      <c r="O150" s="182">
        <v>121.51</v>
      </c>
      <c r="P150" s="182">
        <v>121.61</v>
      </c>
      <c r="Q150" s="182">
        <v>121.89999999999999</v>
      </c>
      <c r="R150" s="182">
        <v>121.72</v>
      </c>
      <c r="S150" s="182">
        <v>121.88</v>
      </c>
      <c r="U150" s="184">
        <v>32.41266996570252</v>
      </c>
      <c r="V150" s="184">
        <v>34.232690025041848</v>
      </c>
      <c r="W150" s="184">
        <v>36.372859681673845</v>
      </c>
      <c r="X150" s="184">
        <v>34.154007956155858</v>
      </c>
      <c r="Y150" s="184">
        <v>33.873843946453391</v>
      </c>
      <c r="Z150" s="184">
        <v>27.010236740108365</v>
      </c>
      <c r="AA150" s="184">
        <v>36.788293371195202</v>
      </c>
      <c r="AB150" s="184">
        <v>40.197018571114839</v>
      </c>
      <c r="AC150" s="184">
        <v>59.936469507641583</v>
      </c>
      <c r="AD150" s="184">
        <v>49.941129924255385</v>
      </c>
      <c r="BB150" s="175">
        <v>121.63</v>
      </c>
      <c r="BC150" s="175">
        <v>121.51</v>
      </c>
      <c r="BD150" s="175">
        <v>121.61</v>
      </c>
      <c r="BE150" s="175">
        <v>121.89999999999999</v>
      </c>
      <c r="BF150" s="175">
        <v>121.72</v>
      </c>
      <c r="BG150" s="175">
        <v>121.88</v>
      </c>
      <c r="BH150" s="175">
        <v>122.18</v>
      </c>
      <c r="BI150" s="175">
        <v>122.86</v>
      </c>
      <c r="BJ150" s="175">
        <v>123.12</v>
      </c>
      <c r="BK150" s="175">
        <v>122.02</v>
      </c>
      <c r="BM150" s="184">
        <v>32.41266996570252</v>
      </c>
      <c r="BN150" s="184">
        <v>34.232690025041848</v>
      </c>
      <c r="BO150" s="184">
        <v>36.372859681673845</v>
      </c>
      <c r="BP150" s="184">
        <v>34.154007956155858</v>
      </c>
      <c r="BQ150" s="184">
        <v>33.873843946453391</v>
      </c>
      <c r="BR150" s="184">
        <v>27.010236740108365</v>
      </c>
      <c r="BS150" s="184">
        <v>36.788293371195202</v>
      </c>
      <c r="BT150" s="184">
        <v>40.197018571114839</v>
      </c>
      <c r="BU150" s="184">
        <v>59.936469507641583</v>
      </c>
      <c r="BV150" s="184">
        <v>49.941129924255385</v>
      </c>
    </row>
    <row r="151" spans="1:74" x14ac:dyDescent="0.25">
      <c r="A151" s="180">
        <v>42844</v>
      </c>
      <c r="B151" s="181">
        <v>0.61111111111111105</v>
      </c>
      <c r="C151" s="182">
        <v>122.1</v>
      </c>
      <c r="D151" s="182">
        <v>121.58</v>
      </c>
      <c r="E151" s="182">
        <v>121.39</v>
      </c>
      <c r="F151" s="182">
        <v>122.11</v>
      </c>
      <c r="H151" s="183">
        <v>121.8</v>
      </c>
      <c r="I151" s="184">
        <v>0.3</v>
      </c>
      <c r="J151" s="184">
        <v>-0.2</v>
      </c>
      <c r="K151" s="184">
        <v>-0.4</v>
      </c>
      <c r="L151" s="184">
        <v>0.3</v>
      </c>
      <c r="N151" s="182">
        <v>121.66</v>
      </c>
      <c r="O151" s="182">
        <v>121.55</v>
      </c>
      <c r="P151" s="182">
        <v>121.65</v>
      </c>
      <c r="Q151" s="182">
        <v>121.92999999999999</v>
      </c>
      <c r="R151" s="182">
        <v>121.76</v>
      </c>
      <c r="S151" s="182">
        <v>121.9</v>
      </c>
      <c r="U151" s="184">
        <v>32.981483608614234</v>
      </c>
      <c r="V151" s="184">
        <v>34.787277432673051</v>
      </c>
      <c r="W151" s="184">
        <v>36.940365089510003</v>
      </c>
      <c r="X151" s="184">
        <v>34.759307022931097</v>
      </c>
      <c r="Y151" s="184">
        <v>34.455906961158639</v>
      </c>
      <c r="Z151" s="184">
        <v>27.611368957417074</v>
      </c>
      <c r="AA151" s="184">
        <v>37.417756077092285</v>
      </c>
      <c r="AB151" s="184">
        <v>40.755450195005118</v>
      </c>
      <c r="AC151" s="184">
        <v>60.470996947252914</v>
      </c>
      <c r="AD151" s="184">
        <v>50.572043691550718</v>
      </c>
      <c r="BB151" s="175">
        <v>121.66</v>
      </c>
      <c r="BC151" s="175">
        <v>121.55</v>
      </c>
      <c r="BD151" s="175">
        <v>121.65</v>
      </c>
      <c r="BE151" s="175">
        <v>121.92999999999999</v>
      </c>
      <c r="BF151" s="175">
        <v>121.76</v>
      </c>
      <c r="BG151" s="175">
        <v>121.9</v>
      </c>
      <c r="BH151" s="175">
        <v>122.1</v>
      </c>
      <c r="BI151" s="175">
        <v>121.58</v>
      </c>
      <c r="BJ151" s="175">
        <v>121.39</v>
      </c>
      <c r="BK151" s="175">
        <v>122.11</v>
      </c>
      <c r="BM151" s="184">
        <v>32.981483608614234</v>
      </c>
      <c r="BN151" s="184">
        <v>34.787277432673051</v>
      </c>
      <c r="BO151" s="184">
        <v>36.940365089510003</v>
      </c>
      <c r="BP151" s="184">
        <v>34.759307022931097</v>
      </c>
      <c r="BQ151" s="184">
        <v>34.455906961158639</v>
      </c>
      <c r="BR151" s="184">
        <v>27.611368957417074</v>
      </c>
      <c r="BS151" s="184">
        <v>37.417756077092285</v>
      </c>
      <c r="BT151" s="184">
        <v>40.755450195005118</v>
      </c>
      <c r="BU151" s="184">
        <v>60.470996947252914</v>
      </c>
      <c r="BV151" s="184">
        <v>50.572043691550718</v>
      </c>
    </row>
    <row r="152" spans="1:74" x14ac:dyDescent="0.25">
      <c r="A152" s="180">
        <v>42844</v>
      </c>
      <c r="B152" s="181">
        <v>0.61145833333333333</v>
      </c>
      <c r="C152" s="182">
        <v>122.37</v>
      </c>
      <c r="D152" s="182">
        <v>123</v>
      </c>
      <c r="E152" s="182">
        <v>123.12</v>
      </c>
      <c r="F152" s="182">
        <v>122.09</v>
      </c>
      <c r="H152" s="183">
        <v>122.6</v>
      </c>
      <c r="I152" s="184">
        <v>-0.2</v>
      </c>
      <c r="J152" s="184">
        <v>0.4</v>
      </c>
      <c r="K152" s="184">
        <v>0.5</v>
      </c>
      <c r="L152" s="184">
        <v>-0.5</v>
      </c>
      <c r="N152" s="182">
        <v>121.66</v>
      </c>
      <c r="O152" s="182">
        <v>121.56</v>
      </c>
      <c r="P152" s="182">
        <v>121.65</v>
      </c>
      <c r="Q152" s="182">
        <v>121.94</v>
      </c>
      <c r="R152" s="182">
        <v>121.75</v>
      </c>
      <c r="S152" s="182">
        <v>121.98</v>
      </c>
      <c r="U152" s="184">
        <v>33.550297251525947</v>
      </c>
      <c r="V152" s="184">
        <v>35.343143296313848</v>
      </c>
      <c r="W152" s="184">
        <v>37.507870497346161</v>
      </c>
      <c r="X152" s="184">
        <v>35.366001448163587</v>
      </c>
      <c r="Y152" s="184">
        <v>35.036631268078814</v>
      </c>
      <c r="Z152" s="184">
        <v>28.223677057049599</v>
      </c>
      <c r="AA152" s="184">
        <v>38.087594420805253</v>
      </c>
      <c r="AB152" s="184">
        <v>41.529858504461359</v>
      </c>
      <c r="AC152" s="184">
        <v>61.2671013107785</v>
      </c>
      <c r="AD152" s="184">
        <v>51.200058673398154</v>
      </c>
      <c r="BB152" s="175">
        <v>121.66</v>
      </c>
      <c r="BC152" s="175">
        <v>121.56</v>
      </c>
      <c r="BD152" s="175">
        <v>121.65</v>
      </c>
      <c r="BE152" s="175">
        <v>121.94</v>
      </c>
      <c r="BF152" s="175">
        <v>121.75</v>
      </c>
      <c r="BG152" s="175">
        <v>121.98</v>
      </c>
      <c r="BH152" s="175">
        <v>122.37</v>
      </c>
      <c r="BI152" s="175">
        <v>123</v>
      </c>
      <c r="BJ152" s="175">
        <v>123.12</v>
      </c>
      <c r="BK152" s="175">
        <v>122.09</v>
      </c>
      <c r="BM152" s="184">
        <v>33.550297251525947</v>
      </c>
      <c r="BN152" s="184">
        <v>35.343143296313848</v>
      </c>
      <c r="BO152" s="184">
        <v>37.507870497346161</v>
      </c>
      <c r="BP152" s="184">
        <v>35.366001448163587</v>
      </c>
      <c r="BQ152" s="184">
        <v>35.036631268078814</v>
      </c>
      <c r="BR152" s="184">
        <v>28.223677057049599</v>
      </c>
      <c r="BS152" s="184">
        <v>38.087594420805253</v>
      </c>
      <c r="BT152" s="184">
        <v>41.529858504461359</v>
      </c>
      <c r="BU152" s="184">
        <v>61.2671013107785</v>
      </c>
      <c r="BV152" s="184">
        <v>51.200058673398154</v>
      </c>
    </row>
    <row r="153" spans="1:74" x14ac:dyDescent="0.25">
      <c r="A153" s="180">
        <v>42844</v>
      </c>
      <c r="B153" s="181">
        <v>0.6118055555555556</v>
      </c>
      <c r="C153" s="182">
        <v>121.99</v>
      </c>
      <c r="D153" s="182">
        <v>121.27</v>
      </c>
      <c r="E153" s="182">
        <v>120.95</v>
      </c>
      <c r="F153" s="182">
        <v>122.06</v>
      </c>
      <c r="H153" s="183">
        <v>121.6</v>
      </c>
      <c r="I153" s="184">
        <v>0.4</v>
      </c>
      <c r="J153" s="184">
        <v>-0.3</v>
      </c>
      <c r="K153" s="184">
        <v>-0.6</v>
      </c>
      <c r="L153" s="184">
        <v>0.5</v>
      </c>
      <c r="N153" s="182">
        <v>121.66</v>
      </c>
      <c r="O153" s="182">
        <v>121.55</v>
      </c>
      <c r="P153" s="182">
        <v>121.67</v>
      </c>
      <c r="Q153" s="182">
        <v>121.95</v>
      </c>
      <c r="R153" s="182">
        <v>121.78</v>
      </c>
      <c r="S153" s="182">
        <v>121.89</v>
      </c>
      <c r="U153" s="184">
        <v>34.119110894437661</v>
      </c>
      <c r="V153" s="184">
        <v>35.897730703945051</v>
      </c>
      <c r="W153" s="184">
        <v>38.077995391126748</v>
      </c>
      <c r="X153" s="184">
        <v>35.974094448486774</v>
      </c>
      <c r="Y153" s="184">
        <v>35.621380963588749</v>
      </c>
      <c r="Z153" s="184">
        <v>28.823426708624289</v>
      </c>
      <c r="AA153" s="184">
        <v>38.70131403638446</v>
      </c>
      <c r="AB153" s="184">
        <v>42.049818587375889</v>
      </c>
      <c r="AC153" s="184">
        <v>61.750126750273409</v>
      </c>
      <c r="AD153" s="184">
        <v>51.823750430519624</v>
      </c>
      <c r="BB153" s="175">
        <v>121.66</v>
      </c>
      <c r="BC153" s="175">
        <v>121.55</v>
      </c>
      <c r="BD153" s="175">
        <v>121.67</v>
      </c>
      <c r="BE153" s="175">
        <v>121.95</v>
      </c>
      <c r="BF153" s="175">
        <v>121.78</v>
      </c>
      <c r="BG153" s="175">
        <v>121.89</v>
      </c>
      <c r="BH153" s="175">
        <v>121.99</v>
      </c>
      <c r="BI153" s="175">
        <v>121.27</v>
      </c>
      <c r="BJ153" s="175">
        <v>120.95</v>
      </c>
      <c r="BK153" s="175">
        <v>122.06</v>
      </c>
      <c r="BM153" s="184">
        <v>34.119110894437661</v>
      </c>
      <c r="BN153" s="184">
        <v>35.897730703945051</v>
      </c>
      <c r="BO153" s="184">
        <v>38.077995391126748</v>
      </c>
      <c r="BP153" s="184">
        <v>35.974094448486774</v>
      </c>
      <c r="BQ153" s="184">
        <v>35.621380963588749</v>
      </c>
      <c r="BR153" s="184">
        <v>28.823426708624289</v>
      </c>
      <c r="BS153" s="184">
        <v>38.70131403638446</v>
      </c>
      <c r="BT153" s="184">
        <v>42.049818587375889</v>
      </c>
      <c r="BU153" s="184">
        <v>61.750126750273409</v>
      </c>
      <c r="BV153" s="184">
        <v>51.823750430519624</v>
      </c>
    </row>
    <row r="154" spans="1:74" x14ac:dyDescent="0.25">
      <c r="A154" s="180">
        <v>42844</v>
      </c>
      <c r="B154" s="181">
        <v>0.61215277777777777</v>
      </c>
      <c r="C154" s="182">
        <v>122.43</v>
      </c>
      <c r="D154" s="182">
        <v>123.03</v>
      </c>
      <c r="E154" s="182">
        <v>123.11</v>
      </c>
      <c r="F154" s="182">
        <v>122.11</v>
      </c>
      <c r="H154" s="183">
        <v>122.7</v>
      </c>
      <c r="I154" s="184">
        <v>-0.3</v>
      </c>
      <c r="J154" s="184">
        <v>0.3</v>
      </c>
      <c r="K154" s="184">
        <v>0.4</v>
      </c>
      <c r="L154" s="184">
        <v>-0.6</v>
      </c>
      <c r="N154" s="182">
        <v>121.66</v>
      </c>
      <c r="O154" s="182">
        <v>121.58</v>
      </c>
      <c r="P154" s="182">
        <v>121.67</v>
      </c>
      <c r="Q154" s="182">
        <v>121.96</v>
      </c>
      <c r="R154" s="182">
        <v>121.76</v>
      </c>
      <c r="S154" s="182">
        <v>122.01</v>
      </c>
      <c r="U154" s="184">
        <v>34.687924537349375</v>
      </c>
      <c r="V154" s="184">
        <v>36.45616232783533</v>
      </c>
      <c r="W154" s="184">
        <v>38.648120284907336</v>
      </c>
      <c r="X154" s="184">
        <v>36.583589247949206</v>
      </c>
      <c r="Y154" s="184">
        <v>36.203443978293997</v>
      </c>
      <c r="Z154" s="184">
        <v>29.439979125238747</v>
      </c>
      <c r="AA154" s="184">
        <v>39.38047075967804</v>
      </c>
      <c r="AB154" s="184">
        <v>42.829594838789369</v>
      </c>
      <c r="AC154" s="184">
        <v>62.544400124572299</v>
      </c>
      <c r="AD154" s="184">
        <v>52.454664197814957</v>
      </c>
      <c r="BB154" s="175">
        <v>121.66</v>
      </c>
      <c r="BC154" s="175">
        <v>121.58</v>
      </c>
      <c r="BD154" s="175">
        <v>121.67</v>
      </c>
      <c r="BE154" s="175">
        <v>121.96</v>
      </c>
      <c r="BF154" s="175">
        <v>121.76</v>
      </c>
      <c r="BG154" s="175">
        <v>122.01</v>
      </c>
      <c r="BH154" s="175">
        <v>122.43</v>
      </c>
      <c r="BI154" s="175">
        <v>123.03</v>
      </c>
      <c r="BJ154" s="175">
        <v>123.11</v>
      </c>
      <c r="BK154" s="175">
        <v>122.11</v>
      </c>
      <c r="BM154" s="184">
        <v>34.687924537349375</v>
      </c>
      <c r="BN154" s="184">
        <v>36.45616232783533</v>
      </c>
      <c r="BO154" s="184">
        <v>38.648120284907336</v>
      </c>
      <c r="BP154" s="184">
        <v>36.583589247949206</v>
      </c>
      <c r="BQ154" s="184">
        <v>36.203443978293997</v>
      </c>
      <c r="BR154" s="184">
        <v>29.439979125238747</v>
      </c>
      <c r="BS154" s="184">
        <v>39.38047075967804</v>
      </c>
      <c r="BT154" s="184">
        <v>42.829594838789369</v>
      </c>
      <c r="BU154" s="184">
        <v>62.544400124572299</v>
      </c>
      <c r="BV154" s="184">
        <v>52.454664197814957</v>
      </c>
    </row>
    <row r="155" spans="1:74" x14ac:dyDescent="0.25">
      <c r="A155" s="180">
        <v>42844</v>
      </c>
      <c r="B155" s="181">
        <v>0.61249999999999993</v>
      </c>
      <c r="C155" s="182">
        <v>121.94</v>
      </c>
      <c r="D155" s="182">
        <v>121.14</v>
      </c>
      <c r="E155" s="182">
        <v>120.87</v>
      </c>
      <c r="F155" s="182">
        <v>122.01</v>
      </c>
      <c r="H155" s="183">
        <v>121.5</v>
      </c>
      <c r="I155" s="184">
        <v>0.4</v>
      </c>
      <c r="J155" s="184">
        <v>-0.4</v>
      </c>
      <c r="K155" s="184">
        <v>-0.6</v>
      </c>
      <c r="L155" s="184">
        <v>0.5</v>
      </c>
      <c r="N155" s="182">
        <v>121.66</v>
      </c>
      <c r="O155" s="182">
        <v>121.56</v>
      </c>
      <c r="P155" s="182">
        <v>121.67</v>
      </c>
      <c r="Q155" s="182">
        <v>121.96</v>
      </c>
      <c r="R155" s="182">
        <v>121.79</v>
      </c>
      <c r="S155" s="182">
        <v>121.89</v>
      </c>
      <c r="U155" s="184">
        <v>35.256738180261088</v>
      </c>
      <c r="V155" s="184">
        <v>37.012028191476126</v>
      </c>
      <c r="W155" s="184">
        <v>39.218245178687923</v>
      </c>
      <c r="X155" s="184">
        <v>37.193084047411638</v>
      </c>
      <c r="Y155" s="184">
        <v>36.789541661068064</v>
      </c>
      <c r="Z155" s="184">
        <v>30.039728776813437</v>
      </c>
      <c r="AA155" s="184">
        <v>39.987165184910531</v>
      </c>
      <c r="AB155" s="184">
        <v>43.334221281827709</v>
      </c>
      <c r="AC155" s="184">
        <v>63.018609356222747</v>
      </c>
      <c r="AD155" s="184">
        <v>53.07121661442941</v>
      </c>
      <c r="BB155" s="175">
        <v>121.66</v>
      </c>
      <c r="BC155" s="175">
        <v>121.56</v>
      </c>
      <c r="BD155" s="175">
        <v>121.67</v>
      </c>
      <c r="BE155" s="175">
        <v>121.96</v>
      </c>
      <c r="BF155" s="175">
        <v>121.79</v>
      </c>
      <c r="BG155" s="175">
        <v>121.89</v>
      </c>
      <c r="BH155" s="175">
        <v>121.94</v>
      </c>
      <c r="BI155" s="175">
        <v>121.14</v>
      </c>
      <c r="BJ155" s="175">
        <v>120.87</v>
      </c>
      <c r="BK155" s="175">
        <v>122.01</v>
      </c>
      <c r="BM155" s="184">
        <v>35.256738180261088</v>
      </c>
      <c r="BN155" s="184">
        <v>37.012028191476126</v>
      </c>
      <c r="BO155" s="184">
        <v>39.218245178687923</v>
      </c>
      <c r="BP155" s="184">
        <v>37.193084047411638</v>
      </c>
      <c r="BQ155" s="184">
        <v>36.789541661068064</v>
      </c>
      <c r="BR155" s="184">
        <v>30.039728776813437</v>
      </c>
      <c r="BS155" s="184">
        <v>39.987165184910531</v>
      </c>
      <c r="BT155" s="184">
        <v>43.334221281827709</v>
      </c>
      <c r="BU155" s="184">
        <v>63.018609356222747</v>
      </c>
      <c r="BV155" s="184">
        <v>53.07121661442941</v>
      </c>
    </row>
    <row r="156" spans="1:74" x14ac:dyDescent="0.25">
      <c r="A156" s="180">
        <v>42844</v>
      </c>
      <c r="B156" s="181">
        <v>0.61284722222222221</v>
      </c>
      <c r="C156" s="182">
        <v>122.44</v>
      </c>
      <c r="D156" s="182">
        <v>122.94</v>
      </c>
      <c r="E156" s="182">
        <v>122.76</v>
      </c>
      <c r="F156" s="182">
        <v>122.14</v>
      </c>
      <c r="H156" s="183">
        <v>122.6</v>
      </c>
      <c r="I156" s="184">
        <v>-0.2</v>
      </c>
      <c r="J156" s="184">
        <v>0.3</v>
      </c>
      <c r="K156" s="184">
        <v>0.2</v>
      </c>
      <c r="L156" s="184">
        <v>-0.5</v>
      </c>
      <c r="N156" s="182">
        <v>121.68</v>
      </c>
      <c r="O156" s="182">
        <v>121.6</v>
      </c>
      <c r="P156" s="182">
        <v>121.69</v>
      </c>
      <c r="Q156" s="182">
        <v>121.98</v>
      </c>
      <c r="R156" s="182">
        <v>121.79</v>
      </c>
      <c r="S156" s="182">
        <v>122.05</v>
      </c>
      <c r="U156" s="184">
        <v>35.828177347655974</v>
      </c>
      <c r="V156" s="184">
        <v>37.573037418627109</v>
      </c>
      <c r="W156" s="184">
        <v>39.791001649410688</v>
      </c>
      <c r="X156" s="184">
        <v>37.805392147044167</v>
      </c>
      <c r="Y156" s="184">
        <v>37.375639343842131</v>
      </c>
      <c r="Z156" s="184">
        <v>30.66198608269913</v>
      </c>
      <c r="AA156" s="184">
        <v>40.66788752614351</v>
      </c>
      <c r="AB156" s="184">
        <v>44.098004310946749</v>
      </c>
      <c r="AC156" s="184">
        <v>63.751383276700707</v>
      </c>
      <c r="AD156" s="184">
        <v>53.70650366703368</v>
      </c>
      <c r="BB156" s="175">
        <v>121.68</v>
      </c>
      <c r="BC156" s="175">
        <v>121.6</v>
      </c>
      <c r="BD156" s="175">
        <v>121.69</v>
      </c>
      <c r="BE156" s="175">
        <v>121.98</v>
      </c>
      <c r="BF156" s="175">
        <v>121.79</v>
      </c>
      <c r="BG156" s="175">
        <v>122.05</v>
      </c>
      <c r="BH156" s="175">
        <v>122.44</v>
      </c>
      <c r="BI156" s="175">
        <v>122.94</v>
      </c>
      <c r="BJ156" s="175">
        <v>122.76</v>
      </c>
      <c r="BK156" s="175">
        <v>122.14</v>
      </c>
      <c r="BM156" s="184">
        <v>35.828177347655974</v>
      </c>
      <c r="BN156" s="184">
        <v>37.573037418627109</v>
      </c>
      <c r="BO156" s="184">
        <v>39.791001649410688</v>
      </c>
      <c r="BP156" s="184">
        <v>37.805392147044167</v>
      </c>
      <c r="BQ156" s="184">
        <v>37.375639343842131</v>
      </c>
      <c r="BR156" s="184">
        <v>30.66198608269913</v>
      </c>
      <c r="BS156" s="184">
        <v>40.66788752614351</v>
      </c>
      <c r="BT156" s="184">
        <v>44.098004310946749</v>
      </c>
      <c r="BU156" s="184">
        <v>63.751383276700707</v>
      </c>
      <c r="BV156" s="184">
        <v>53.70650366703368</v>
      </c>
    </row>
    <row r="157" spans="1:74" x14ac:dyDescent="0.25">
      <c r="A157" s="180">
        <v>42844</v>
      </c>
      <c r="B157" s="181">
        <v>0.61319444444444449</v>
      </c>
      <c r="C157" s="182">
        <v>121.86</v>
      </c>
      <c r="D157" s="182">
        <v>121.07</v>
      </c>
      <c r="E157" s="182">
        <v>121.37</v>
      </c>
      <c r="F157" s="182">
        <v>121.96</v>
      </c>
      <c r="H157" s="183">
        <v>121.6</v>
      </c>
      <c r="I157" s="184">
        <v>0.3</v>
      </c>
      <c r="J157" s="184">
        <v>-0.5</v>
      </c>
      <c r="K157" s="184">
        <v>-0.2</v>
      </c>
      <c r="L157" s="184">
        <v>0.4</v>
      </c>
      <c r="N157" s="182">
        <v>121.66</v>
      </c>
      <c r="O157" s="182">
        <v>121.57</v>
      </c>
      <c r="P157" s="182">
        <v>121.68</v>
      </c>
      <c r="Q157" s="182">
        <v>121.97</v>
      </c>
      <c r="R157" s="182">
        <v>121.8</v>
      </c>
      <c r="S157" s="182">
        <v>121.88</v>
      </c>
      <c r="U157" s="184">
        <v>36.396990990567687</v>
      </c>
      <c r="V157" s="184">
        <v>38.130184685422975</v>
      </c>
      <c r="W157" s="184">
        <v>40.362440816805574</v>
      </c>
      <c r="X157" s="184">
        <v>38.416291977126605</v>
      </c>
      <c r="Y157" s="184">
        <v>37.963088121311898</v>
      </c>
      <c r="Z157" s="184">
        <v>31.260356348352751</v>
      </c>
      <c r="AA157" s="184">
        <v>41.263508530157196</v>
      </c>
      <c r="AB157" s="184">
        <v>44.594562335157214</v>
      </c>
      <c r="AC157" s="184">
        <v>64.283454785812864</v>
      </c>
      <c r="AD157" s="184">
        <v>54.315998466496112</v>
      </c>
      <c r="BB157" s="175">
        <v>121.66</v>
      </c>
      <c r="BC157" s="175">
        <v>121.57</v>
      </c>
      <c r="BD157" s="175">
        <v>121.68</v>
      </c>
      <c r="BE157" s="175">
        <v>121.97</v>
      </c>
      <c r="BF157" s="175">
        <v>121.8</v>
      </c>
      <c r="BG157" s="175">
        <v>121.88</v>
      </c>
      <c r="BH157" s="175">
        <v>121.86</v>
      </c>
      <c r="BI157" s="175">
        <v>121.07</v>
      </c>
      <c r="BJ157" s="175">
        <v>121.37</v>
      </c>
      <c r="BK157" s="175">
        <v>121.96</v>
      </c>
      <c r="BM157" s="184">
        <v>36.396990990567687</v>
      </c>
      <c r="BN157" s="184">
        <v>38.130184685422975</v>
      </c>
      <c r="BO157" s="184">
        <v>40.362440816805574</v>
      </c>
      <c r="BP157" s="184">
        <v>38.416291977126605</v>
      </c>
      <c r="BQ157" s="184">
        <v>37.963088121311898</v>
      </c>
      <c r="BR157" s="184">
        <v>31.260356348352751</v>
      </c>
      <c r="BS157" s="184">
        <v>41.263508530157196</v>
      </c>
      <c r="BT157" s="184">
        <v>44.594562335157214</v>
      </c>
      <c r="BU157" s="184">
        <v>64.283454785812864</v>
      </c>
      <c r="BV157" s="184">
        <v>54.315998466496112</v>
      </c>
    </row>
    <row r="158" spans="1:74" x14ac:dyDescent="0.25">
      <c r="A158" s="180">
        <v>42844</v>
      </c>
      <c r="B158" s="181">
        <v>0.61354166666666665</v>
      </c>
      <c r="C158" s="182">
        <v>122.41</v>
      </c>
      <c r="D158" s="182">
        <v>122.66</v>
      </c>
      <c r="E158" s="182">
        <v>122.59</v>
      </c>
      <c r="F158" s="182">
        <v>122.16</v>
      </c>
      <c r="H158" s="183">
        <v>122.5</v>
      </c>
      <c r="I158" s="184">
        <v>-0.1</v>
      </c>
      <c r="J158" s="184">
        <v>0.2</v>
      </c>
      <c r="K158" s="184">
        <v>0.1</v>
      </c>
      <c r="L158" s="184">
        <v>-0.3</v>
      </c>
      <c r="N158" s="182">
        <v>121.7</v>
      </c>
      <c r="O158" s="182">
        <v>121.63</v>
      </c>
      <c r="P158" s="182">
        <v>121.71</v>
      </c>
      <c r="Q158" s="182">
        <v>122</v>
      </c>
      <c r="R158" s="182">
        <v>121.82</v>
      </c>
      <c r="S158" s="182">
        <v>122.06</v>
      </c>
      <c r="U158" s="184">
        <v>36.971067801316131</v>
      </c>
      <c r="V158" s="184">
        <v>38.695082642759374</v>
      </c>
      <c r="W158" s="184">
        <v>40.93784101127779</v>
      </c>
      <c r="X158" s="184">
        <v>39.031426362532798</v>
      </c>
      <c r="Y158" s="184">
        <v>38.553248439137761</v>
      </c>
      <c r="Z158" s="184">
        <v>31.884048105474225</v>
      </c>
      <c r="AA158" s="184">
        <v>41.939544811754338</v>
      </c>
      <c r="AB158" s="184">
        <v>45.310656284793986</v>
      </c>
      <c r="AC158" s="184">
        <v>64.988099185023799</v>
      </c>
      <c r="AD158" s="184">
        <v>54.954217870901786</v>
      </c>
      <c r="BB158" s="175">
        <v>121.7</v>
      </c>
      <c r="BC158" s="175">
        <v>121.63</v>
      </c>
      <c r="BD158" s="175">
        <v>121.71</v>
      </c>
      <c r="BE158" s="175">
        <v>122</v>
      </c>
      <c r="BF158" s="175">
        <v>121.82</v>
      </c>
      <c r="BG158" s="175">
        <v>122.06</v>
      </c>
      <c r="BH158" s="175">
        <v>122.41</v>
      </c>
      <c r="BI158" s="175">
        <v>122.66</v>
      </c>
      <c r="BJ158" s="175">
        <v>122.59</v>
      </c>
      <c r="BK158" s="175">
        <v>122.16</v>
      </c>
      <c r="BM158" s="184">
        <v>36.971067801316131</v>
      </c>
      <c r="BN158" s="184">
        <v>38.695082642759374</v>
      </c>
      <c r="BO158" s="184">
        <v>40.93784101127779</v>
      </c>
      <c r="BP158" s="184">
        <v>39.031426362532798</v>
      </c>
      <c r="BQ158" s="184">
        <v>38.553248439137761</v>
      </c>
      <c r="BR158" s="184">
        <v>31.884048105474225</v>
      </c>
      <c r="BS158" s="184">
        <v>41.939544811754338</v>
      </c>
      <c r="BT158" s="184">
        <v>45.310656284793986</v>
      </c>
      <c r="BU158" s="184">
        <v>64.988099185023799</v>
      </c>
      <c r="BV158" s="184">
        <v>54.954217870901786</v>
      </c>
    </row>
    <row r="159" spans="1:74" x14ac:dyDescent="0.25">
      <c r="A159" s="180">
        <v>42844</v>
      </c>
      <c r="B159" s="181">
        <v>0.61388888888888882</v>
      </c>
      <c r="C159" s="182">
        <v>121.86</v>
      </c>
      <c r="D159" s="182">
        <v>121.47</v>
      </c>
      <c r="E159" s="182">
        <v>121.91</v>
      </c>
      <c r="F159" s="182">
        <v>121.93</v>
      </c>
      <c r="H159" s="183">
        <v>121.8</v>
      </c>
      <c r="I159" s="184">
        <v>0.1</v>
      </c>
      <c r="J159" s="184">
        <v>-0.3</v>
      </c>
      <c r="K159" s="184">
        <v>0.1</v>
      </c>
      <c r="L159" s="184">
        <v>0.1</v>
      </c>
      <c r="N159" s="182">
        <v>121.66</v>
      </c>
      <c r="O159" s="182">
        <v>121.58</v>
      </c>
      <c r="P159" s="182">
        <v>121.69</v>
      </c>
      <c r="Q159" s="182">
        <v>121.97</v>
      </c>
      <c r="R159" s="182">
        <v>121.8</v>
      </c>
      <c r="S159" s="182">
        <v>121.88</v>
      </c>
      <c r="U159" s="184">
        <v>37.539881444227845</v>
      </c>
      <c r="V159" s="184">
        <v>39.253514266649653</v>
      </c>
      <c r="W159" s="184">
        <v>41.510597482000556</v>
      </c>
      <c r="X159" s="184">
        <v>39.642326192615236</v>
      </c>
      <c r="Y159" s="184">
        <v>39.140697216607528</v>
      </c>
      <c r="Z159" s="184">
        <v>32.482418371127849</v>
      </c>
      <c r="AA159" s="184">
        <v>42.535165815768025</v>
      </c>
      <c r="AB159" s="184">
        <v>45.855121331460701</v>
      </c>
      <c r="AC159" s="184">
        <v>65.590617155209699</v>
      </c>
      <c r="AD159" s="184">
        <v>55.559516937677031</v>
      </c>
      <c r="BB159" s="175">
        <v>121.66</v>
      </c>
      <c r="BC159" s="175">
        <v>121.58</v>
      </c>
      <c r="BD159" s="175">
        <v>121.69</v>
      </c>
      <c r="BE159" s="175">
        <v>121.97</v>
      </c>
      <c r="BF159" s="175">
        <v>121.8</v>
      </c>
      <c r="BG159" s="175">
        <v>121.88</v>
      </c>
      <c r="BH159" s="175">
        <v>121.86</v>
      </c>
      <c r="BI159" s="175">
        <v>121.47</v>
      </c>
      <c r="BJ159" s="175">
        <v>121.91</v>
      </c>
      <c r="BK159" s="175">
        <v>121.93</v>
      </c>
      <c r="BM159" s="184">
        <v>37.539881444227845</v>
      </c>
      <c r="BN159" s="184">
        <v>39.253514266649653</v>
      </c>
      <c r="BO159" s="184">
        <v>41.510597482000556</v>
      </c>
      <c r="BP159" s="184">
        <v>39.642326192615236</v>
      </c>
      <c r="BQ159" s="184">
        <v>39.140697216607528</v>
      </c>
      <c r="BR159" s="184">
        <v>32.482418371127849</v>
      </c>
      <c r="BS159" s="184">
        <v>42.535165815768025</v>
      </c>
      <c r="BT159" s="184">
        <v>45.855121331460701</v>
      </c>
      <c r="BU159" s="184">
        <v>65.590617155209699</v>
      </c>
      <c r="BV159" s="184">
        <v>55.559516937677031</v>
      </c>
    </row>
    <row r="160" spans="1:74" x14ac:dyDescent="0.25">
      <c r="A160" s="180">
        <v>42844</v>
      </c>
      <c r="B160" s="181">
        <v>0.61423611111111109</v>
      </c>
      <c r="C160" s="182">
        <v>122.41</v>
      </c>
      <c r="D160" s="182">
        <v>122.47</v>
      </c>
      <c r="E160" s="182">
        <v>122.24</v>
      </c>
      <c r="F160" s="182">
        <v>122.18</v>
      </c>
      <c r="H160" s="183">
        <v>122.3</v>
      </c>
      <c r="I160" s="184">
        <v>0.1</v>
      </c>
      <c r="J160" s="184">
        <v>0.2</v>
      </c>
      <c r="K160" s="184">
        <v>-0.1</v>
      </c>
      <c r="L160" s="184">
        <v>-0.1</v>
      </c>
      <c r="N160" s="182">
        <v>121.72</v>
      </c>
      <c r="O160" s="182">
        <v>121.64</v>
      </c>
      <c r="P160" s="182">
        <v>121.74</v>
      </c>
      <c r="Q160" s="182">
        <v>122.00999999999999</v>
      </c>
      <c r="R160" s="182">
        <v>121.84</v>
      </c>
      <c r="S160" s="182">
        <v>122.08</v>
      </c>
      <c r="U160" s="184">
        <v>38.116608073138394</v>
      </c>
      <c r="V160" s="184">
        <v>39.819714448267433</v>
      </c>
      <c r="W160" s="184">
        <v>42.089986160078119</v>
      </c>
      <c r="X160" s="184">
        <v>40.25887860922969</v>
      </c>
      <c r="Y160" s="184">
        <v>39.733581590691109</v>
      </c>
      <c r="Z160" s="184">
        <v>33.108988958598559</v>
      </c>
      <c r="AA160" s="184">
        <v>43.211202097365167</v>
      </c>
      <c r="AB160" s="184">
        <v>46.540562214543129</v>
      </c>
      <c r="AC160" s="184">
        <v>66.240701944226345</v>
      </c>
      <c r="AD160" s="184">
        <v>56.200682229005047</v>
      </c>
      <c r="BB160" s="175">
        <v>121.72</v>
      </c>
      <c r="BC160" s="175">
        <v>121.64</v>
      </c>
      <c r="BD160" s="175">
        <v>121.74</v>
      </c>
      <c r="BE160" s="175">
        <v>122.00999999999999</v>
      </c>
      <c r="BF160" s="175">
        <v>121.84</v>
      </c>
      <c r="BG160" s="175">
        <v>122.08</v>
      </c>
      <c r="BH160" s="175">
        <v>122.41</v>
      </c>
      <c r="BI160" s="175">
        <v>122.47</v>
      </c>
      <c r="BJ160" s="175">
        <v>122.24</v>
      </c>
      <c r="BK160" s="175">
        <v>122.18</v>
      </c>
      <c r="BM160" s="184">
        <v>38.116608073138394</v>
      </c>
      <c r="BN160" s="184">
        <v>39.819714448267433</v>
      </c>
      <c r="BO160" s="184">
        <v>42.089986160078119</v>
      </c>
      <c r="BP160" s="184">
        <v>40.25887860922969</v>
      </c>
      <c r="BQ160" s="184">
        <v>39.733581590691109</v>
      </c>
      <c r="BR160" s="184">
        <v>33.108988958598559</v>
      </c>
      <c r="BS160" s="184">
        <v>43.211202097365167</v>
      </c>
      <c r="BT160" s="184">
        <v>46.540562214543129</v>
      </c>
      <c r="BU160" s="184">
        <v>66.240701944226345</v>
      </c>
      <c r="BV160" s="184">
        <v>56.200682229005047</v>
      </c>
    </row>
    <row r="161" spans="1:74" x14ac:dyDescent="0.25">
      <c r="A161" s="180">
        <v>42844</v>
      </c>
      <c r="B161" s="181">
        <v>0.61458333333333337</v>
      </c>
      <c r="C161" s="182">
        <v>121.93</v>
      </c>
      <c r="D161" s="182">
        <v>121.81</v>
      </c>
      <c r="E161" s="182">
        <v>122.3</v>
      </c>
      <c r="F161" s="182">
        <v>121.94</v>
      </c>
      <c r="H161" s="183">
        <v>122</v>
      </c>
      <c r="I161" s="184">
        <v>-0.1</v>
      </c>
      <c r="J161" s="184">
        <v>-0.2</v>
      </c>
      <c r="K161" s="184">
        <v>0.3</v>
      </c>
      <c r="L161" s="184">
        <v>-0.1</v>
      </c>
      <c r="N161" s="182">
        <v>121.68</v>
      </c>
      <c r="O161" s="182">
        <v>121.6</v>
      </c>
      <c r="P161" s="182">
        <v>121.7</v>
      </c>
      <c r="Q161" s="182">
        <v>121.98</v>
      </c>
      <c r="R161" s="182">
        <v>121.82</v>
      </c>
      <c r="S161" s="182">
        <v>121.92</v>
      </c>
      <c r="U161" s="184">
        <v>38.68804724053328</v>
      </c>
      <c r="V161" s="184">
        <v>40.380723675418416</v>
      </c>
      <c r="W161" s="184">
        <v>42.664062970826564</v>
      </c>
      <c r="X161" s="184">
        <v>40.871186708862218</v>
      </c>
      <c r="Y161" s="184">
        <v>40.323741908516972</v>
      </c>
      <c r="Z161" s="184">
        <v>33.712895876151947</v>
      </c>
      <c r="AA161" s="184">
        <v>43.816501164140412</v>
      </c>
      <c r="AB161" s="184">
        <v>47.129365201303536</v>
      </c>
      <c r="AC161" s="184">
        <v>66.899830313504552</v>
      </c>
      <c r="AD161" s="184">
        <v>56.807376654237537</v>
      </c>
      <c r="BB161" s="175">
        <v>121.68</v>
      </c>
      <c r="BC161" s="175">
        <v>121.6</v>
      </c>
      <c r="BD161" s="175">
        <v>121.7</v>
      </c>
      <c r="BE161" s="175">
        <v>121.98</v>
      </c>
      <c r="BF161" s="175">
        <v>121.82</v>
      </c>
      <c r="BG161" s="175">
        <v>121.92</v>
      </c>
      <c r="BH161" s="175">
        <v>121.93</v>
      </c>
      <c r="BI161" s="175">
        <v>121.81</v>
      </c>
      <c r="BJ161" s="175">
        <v>122.3</v>
      </c>
      <c r="BK161" s="175">
        <v>121.94</v>
      </c>
      <c r="BM161" s="184">
        <v>38.68804724053328</v>
      </c>
      <c r="BN161" s="184">
        <v>40.380723675418416</v>
      </c>
      <c r="BO161" s="184">
        <v>42.664062970826564</v>
      </c>
      <c r="BP161" s="184">
        <v>40.871186708862218</v>
      </c>
      <c r="BQ161" s="184">
        <v>40.323741908516972</v>
      </c>
      <c r="BR161" s="184">
        <v>33.712895876151947</v>
      </c>
      <c r="BS161" s="184">
        <v>43.816501164140412</v>
      </c>
      <c r="BT161" s="184">
        <v>47.129365201303536</v>
      </c>
      <c r="BU161" s="184">
        <v>66.899830313504552</v>
      </c>
      <c r="BV161" s="184">
        <v>56.807376654237537</v>
      </c>
    </row>
    <row r="162" spans="1:74" x14ac:dyDescent="0.25">
      <c r="A162" s="180">
        <v>42844</v>
      </c>
      <c r="B162" s="181">
        <v>0.61493055555555554</v>
      </c>
      <c r="C162" s="182">
        <v>122.33</v>
      </c>
      <c r="D162" s="182">
        <v>122.08</v>
      </c>
      <c r="E162" s="182">
        <v>121.88</v>
      </c>
      <c r="F162" s="182">
        <v>122.15</v>
      </c>
      <c r="H162" s="183">
        <v>122.1</v>
      </c>
      <c r="I162" s="184">
        <v>0.2</v>
      </c>
      <c r="J162" s="184">
        <v>0</v>
      </c>
      <c r="K162" s="184">
        <v>-0.2</v>
      </c>
      <c r="L162" s="184">
        <v>0.1</v>
      </c>
      <c r="N162" s="182">
        <v>121.72</v>
      </c>
      <c r="O162" s="182">
        <v>121.66</v>
      </c>
      <c r="P162" s="182">
        <v>121.75</v>
      </c>
      <c r="Q162" s="182">
        <v>122.00999999999999</v>
      </c>
      <c r="R162" s="182">
        <v>121.86</v>
      </c>
      <c r="S162" s="182">
        <v>122.07</v>
      </c>
      <c r="U162" s="184">
        <v>39.264773869443829</v>
      </c>
      <c r="V162" s="184">
        <v>40.94953731833013</v>
      </c>
      <c r="W162" s="184">
        <v>43.244787277746738</v>
      </c>
      <c r="X162" s="184">
        <v>41.487739125476672</v>
      </c>
      <c r="Y162" s="184">
        <v>40.919362912530659</v>
      </c>
      <c r="Z162" s="184">
        <v>34.338025391260807</v>
      </c>
      <c r="AA162" s="184">
        <v>44.480198393005281</v>
      </c>
      <c r="AB162" s="184">
        <v>47.755935788774245</v>
      </c>
      <c r="AC162" s="184">
        <v>67.49820057915818</v>
      </c>
      <c r="AD162" s="184">
        <v>57.444128194745872</v>
      </c>
      <c r="BB162" s="175">
        <v>121.72</v>
      </c>
      <c r="BC162" s="175">
        <v>121.66</v>
      </c>
      <c r="BD162" s="175">
        <v>121.75</v>
      </c>
      <c r="BE162" s="175">
        <v>122.00999999999999</v>
      </c>
      <c r="BF162" s="175">
        <v>121.86</v>
      </c>
      <c r="BG162" s="175">
        <v>122.07</v>
      </c>
      <c r="BH162" s="175">
        <v>122.33</v>
      </c>
      <c r="BI162" s="175">
        <v>122.08</v>
      </c>
      <c r="BJ162" s="175">
        <v>121.88</v>
      </c>
      <c r="BK162" s="175">
        <v>122.15</v>
      </c>
      <c r="BM162" s="184">
        <v>39.264773869443829</v>
      </c>
      <c r="BN162" s="184">
        <v>40.94953731833013</v>
      </c>
      <c r="BO162" s="184">
        <v>43.244787277746738</v>
      </c>
      <c r="BP162" s="184">
        <v>41.487739125476672</v>
      </c>
      <c r="BQ162" s="184">
        <v>40.919362912530659</v>
      </c>
      <c r="BR162" s="184">
        <v>34.338025391260807</v>
      </c>
      <c r="BS162" s="184">
        <v>44.480198393005281</v>
      </c>
      <c r="BT162" s="184">
        <v>47.755935788774245</v>
      </c>
      <c r="BU162" s="184">
        <v>67.49820057915818</v>
      </c>
      <c r="BV162" s="184">
        <v>57.444128194745872</v>
      </c>
    </row>
    <row r="163" spans="1:74" x14ac:dyDescent="0.25">
      <c r="A163" s="180">
        <v>42844</v>
      </c>
      <c r="B163" s="181">
        <v>0.61527777777777781</v>
      </c>
      <c r="C163" s="182">
        <v>122.3</v>
      </c>
      <c r="D163" s="182">
        <v>122.8</v>
      </c>
      <c r="E163" s="182">
        <v>122.21</v>
      </c>
      <c r="F163" s="182">
        <v>122</v>
      </c>
      <c r="H163" s="183">
        <v>122.3</v>
      </c>
      <c r="I163" s="184">
        <v>0</v>
      </c>
      <c r="J163" s="184">
        <v>0.5</v>
      </c>
      <c r="K163" s="184">
        <v>-0.1</v>
      </c>
      <c r="L163" s="184">
        <v>-0.3</v>
      </c>
      <c r="N163" s="182">
        <v>121.69</v>
      </c>
      <c r="O163" s="182">
        <v>121.63</v>
      </c>
      <c r="P163" s="182">
        <v>121.72</v>
      </c>
      <c r="Q163" s="182">
        <v>121.99</v>
      </c>
      <c r="R163" s="182">
        <v>121.83</v>
      </c>
      <c r="S163" s="182">
        <v>122.02</v>
      </c>
      <c r="U163" s="184">
        <v>39.837530340166595</v>
      </c>
      <c r="V163" s="184">
        <v>41.514435275666528</v>
      </c>
      <c r="W163" s="184">
        <v>43.821513906657287</v>
      </c>
      <c r="X163" s="184">
        <v>42.101458741055879</v>
      </c>
      <c r="Y163" s="184">
        <v>41.510883690393243</v>
      </c>
      <c r="Z163" s="184">
        <v>34.955999107983061</v>
      </c>
      <c r="AA163" s="184">
        <v>45.139326762283488</v>
      </c>
      <c r="AB163" s="184">
        <v>48.495489982858352</v>
      </c>
      <c r="AC163" s="184">
        <v>68.143810215964947</v>
      </c>
      <c r="AD163" s="184">
        <v>58.059262580152065</v>
      </c>
      <c r="BB163" s="175">
        <v>121.69</v>
      </c>
      <c r="BC163" s="175">
        <v>121.63</v>
      </c>
      <c r="BD163" s="175">
        <v>121.72</v>
      </c>
      <c r="BE163" s="175">
        <v>121.99</v>
      </c>
      <c r="BF163" s="175">
        <v>121.83</v>
      </c>
      <c r="BG163" s="175">
        <v>122.02</v>
      </c>
      <c r="BH163" s="175">
        <v>122.3</v>
      </c>
      <c r="BI163" s="175">
        <v>122.8</v>
      </c>
      <c r="BJ163" s="175">
        <v>122.21</v>
      </c>
      <c r="BK163" s="175">
        <v>122</v>
      </c>
      <c r="BM163" s="184">
        <v>39.837530340166595</v>
      </c>
      <c r="BN163" s="184">
        <v>41.514435275666528</v>
      </c>
      <c r="BO163" s="184">
        <v>43.821513906657287</v>
      </c>
      <c r="BP163" s="184">
        <v>42.101458741055879</v>
      </c>
      <c r="BQ163" s="184">
        <v>41.510883690393243</v>
      </c>
      <c r="BR163" s="184">
        <v>34.955999107983061</v>
      </c>
      <c r="BS163" s="184">
        <v>45.139326762283488</v>
      </c>
      <c r="BT163" s="184">
        <v>48.495489982858352</v>
      </c>
      <c r="BU163" s="184">
        <v>68.143810215964947</v>
      </c>
      <c r="BV163" s="184">
        <v>58.059262580152065</v>
      </c>
    </row>
    <row r="164" spans="1:74" x14ac:dyDescent="0.25">
      <c r="A164" s="176">
        <v>42844</v>
      </c>
      <c r="B164" s="177">
        <v>0.61562499999999998</v>
      </c>
      <c r="C164" s="178">
        <v>121.04</v>
      </c>
      <c r="D164" s="178">
        <v>120.35</v>
      </c>
      <c r="E164" s="178">
        <v>116.32</v>
      </c>
      <c r="F164" s="178">
        <v>121.39</v>
      </c>
      <c r="H164" s="179">
        <v>119.8</v>
      </c>
      <c r="I164" s="178">
        <v>1.2</v>
      </c>
      <c r="J164" s="178">
        <v>0.5</v>
      </c>
      <c r="K164" s="178">
        <v>-3.5</v>
      </c>
      <c r="L164" s="178">
        <v>1.6</v>
      </c>
      <c r="N164" s="178">
        <v>121.35</v>
      </c>
      <c r="O164" s="178">
        <v>121.34</v>
      </c>
      <c r="P164" s="178">
        <v>121.5</v>
      </c>
      <c r="Q164" s="178">
        <v>121.77</v>
      </c>
      <c r="R164" s="178">
        <v>121.67</v>
      </c>
      <c r="S164" s="178">
        <v>121.57</v>
      </c>
      <c r="U164" s="178">
        <v>40.367157202755237</v>
      </c>
      <c r="V164" s="178">
        <v>42.042844030273358</v>
      </c>
      <c r="W164" s="178">
        <v>44.369753004728878</v>
      </c>
      <c r="X164" s="178">
        <v>42.68486354958636</v>
      </c>
      <c r="Y164" s="178">
        <v>42.08100858417383</v>
      </c>
      <c r="Z164" s="178">
        <v>35.513146374778927</v>
      </c>
      <c r="AA164" s="178">
        <v>45.632466505099096</v>
      </c>
      <c r="AB164" s="178">
        <v>48.916187553680949</v>
      </c>
      <c r="AC164" s="178">
        <v>68.310139992611951</v>
      </c>
      <c r="AD164" s="178">
        <v>58.593790019763397</v>
      </c>
      <c r="BB164" s="175">
        <v>121.35</v>
      </c>
      <c r="BC164" s="175">
        <v>121.34</v>
      </c>
      <c r="BD164" s="175">
        <v>121.5</v>
      </c>
      <c r="BE164" s="175">
        <v>121.77</v>
      </c>
      <c r="BF164" s="175">
        <v>121.67</v>
      </c>
      <c r="BG164" s="175">
        <v>121.57</v>
      </c>
      <c r="BH164" s="175">
        <v>121.04</v>
      </c>
      <c r="BI164" s="175">
        <v>120.35</v>
      </c>
      <c r="BJ164" s="175">
        <v>116.32</v>
      </c>
      <c r="BK164" s="175">
        <v>121.39</v>
      </c>
      <c r="BM164" s="178">
        <v>40.367157202755237</v>
      </c>
      <c r="BN164" s="178">
        <v>42.042844030273358</v>
      </c>
      <c r="BO164" s="178">
        <v>44.369753004728878</v>
      </c>
      <c r="BP164" s="178">
        <v>42.68486354958636</v>
      </c>
      <c r="BQ164" s="178">
        <v>42.08100858417383</v>
      </c>
      <c r="BR164" s="178">
        <v>35.513146374778927</v>
      </c>
      <c r="BS164" s="178">
        <v>45.632466505099096</v>
      </c>
      <c r="BT164" s="178">
        <v>48.916187553680949</v>
      </c>
      <c r="BU164" s="178">
        <v>68.310139992611951</v>
      </c>
      <c r="BV164" s="178">
        <v>58.593790019763397</v>
      </c>
    </row>
    <row r="165" spans="1:74" x14ac:dyDescent="0.25">
      <c r="A165" s="176">
        <v>42844</v>
      </c>
      <c r="B165" s="177">
        <v>0.61597222222222225</v>
      </c>
      <c r="C165" s="178">
        <v>118.94</v>
      </c>
      <c r="D165" s="178">
        <v>118.77</v>
      </c>
      <c r="E165" s="178">
        <v>109.95</v>
      </c>
      <c r="F165" s="178">
        <v>119.62</v>
      </c>
      <c r="H165" s="179">
        <v>116.8</v>
      </c>
      <c r="I165" s="178">
        <v>2.1</v>
      </c>
      <c r="J165" s="178">
        <v>2</v>
      </c>
      <c r="K165" s="178">
        <v>-6.8</v>
      </c>
      <c r="L165" s="178">
        <v>2.8</v>
      </c>
      <c r="N165" s="178">
        <v>120.41</v>
      </c>
      <c r="O165" s="178">
        <v>120.57</v>
      </c>
      <c r="P165" s="178">
        <v>120.78</v>
      </c>
      <c r="Q165" s="178">
        <v>121.17</v>
      </c>
      <c r="R165" s="178">
        <v>121.12</v>
      </c>
      <c r="S165" s="178">
        <v>120.79</v>
      </c>
      <c r="U165" s="178">
        <v>40.793707259764034</v>
      </c>
      <c r="V165" s="178">
        <v>42.485401835188775</v>
      </c>
      <c r="W165" s="178">
        <v>44.834236198118845</v>
      </c>
      <c r="X165" s="178">
        <v>43.192987896021712</v>
      </c>
      <c r="Y165" s="178">
        <v>42.583316479313027</v>
      </c>
      <c r="Z165" s="178">
        <v>35.978700312512842</v>
      </c>
      <c r="AA165" s="178">
        <v>45.936534005738451</v>
      </c>
      <c r="AB165" s="178">
        <v>49.208582595753192</v>
      </c>
      <c r="AC165" s="178">
        <v>68.348508067080047</v>
      </c>
      <c r="AD165" s="178">
        <v>58.949396776590063</v>
      </c>
      <c r="BB165" s="175">
        <v>120.41</v>
      </c>
      <c r="BC165" s="175">
        <v>120.57</v>
      </c>
      <c r="BD165" s="175">
        <v>120.78</v>
      </c>
      <c r="BE165" s="175">
        <v>121.17</v>
      </c>
      <c r="BF165" s="175">
        <v>121.12</v>
      </c>
      <c r="BG165" s="175">
        <v>120.79</v>
      </c>
      <c r="BH165" s="175">
        <v>118.94</v>
      </c>
      <c r="BI165" s="175">
        <v>118.77</v>
      </c>
      <c r="BJ165" s="175">
        <v>109.95</v>
      </c>
      <c r="BK165" s="175">
        <v>119.62</v>
      </c>
      <c r="BM165" s="178">
        <v>40.793707259764034</v>
      </c>
      <c r="BN165" s="178">
        <v>42.485401835188775</v>
      </c>
      <c r="BO165" s="178">
        <v>44.834236198118845</v>
      </c>
      <c r="BP165" s="178">
        <v>43.192987896021712</v>
      </c>
      <c r="BQ165" s="178">
        <v>42.583316479313027</v>
      </c>
      <c r="BR165" s="178">
        <v>35.978700312512842</v>
      </c>
      <c r="BS165" s="178">
        <v>45.936534005738451</v>
      </c>
      <c r="BT165" s="178">
        <v>49.208582595753192</v>
      </c>
      <c r="BU165" s="178">
        <v>68.348508067080047</v>
      </c>
      <c r="BV165" s="178">
        <v>58.949396776590063</v>
      </c>
    </row>
    <row r="166" spans="1:74" x14ac:dyDescent="0.25">
      <c r="A166" s="176">
        <v>42844</v>
      </c>
      <c r="B166" s="177">
        <v>0.61631944444444442</v>
      </c>
      <c r="C166" s="178">
        <v>117.66</v>
      </c>
      <c r="D166" s="178">
        <v>115.29</v>
      </c>
      <c r="E166" s="178">
        <v>105.22</v>
      </c>
      <c r="F166" s="178">
        <v>117.11</v>
      </c>
      <c r="H166" s="179">
        <v>113.8</v>
      </c>
      <c r="I166" s="178">
        <v>3.9</v>
      </c>
      <c r="J166" s="178">
        <v>1.5</v>
      </c>
      <c r="K166" s="178">
        <v>-8.6</v>
      </c>
      <c r="L166" s="178">
        <v>3.3</v>
      </c>
      <c r="N166" s="178">
        <v>119.22</v>
      </c>
      <c r="O166" s="178">
        <v>119.47</v>
      </c>
      <c r="P166" s="178">
        <v>119.78</v>
      </c>
      <c r="Q166" s="178">
        <v>120.27</v>
      </c>
      <c r="R166" s="178">
        <v>120.2</v>
      </c>
      <c r="S166" s="178">
        <v>119.93</v>
      </c>
      <c r="U166" s="178">
        <v>41.118024476538153</v>
      </c>
      <c r="V166" s="178">
        <v>42.828936055195889</v>
      </c>
      <c r="W166" s="178">
        <v>45.203188313183396</v>
      </c>
      <c r="X166" s="178">
        <v>43.606006870810305</v>
      </c>
      <c r="Y166" s="178">
        <v>42.989731737395076</v>
      </c>
      <c r="Z166" s="178">
        <v>36.360618204301687</v>
      </c>
      <c r="AA166" s="178">
        <v>46.162982795690262</v>
      </c>
      <c r="AB166" s="178">
        <v>49.339793522922413</v>
      </c>
      <c r="AC166" s="178">
        <v>68.361419368033225</v>
      </c>
      <c r="AD166" s="178">
        <v>59.148909227771135</v>
      </c>
      <c r="BB166" s="175">
        <v>119.22</v>
      </c>
      <c r="BC166" s="175">
        <v>119.47</v>
      </c>
      <c r="BD166" s="175">
        <v>119.78</v>
      </c>
      <c r="BE166" s="175">
        <v>120.27</v>
      </c>
      <c r="BF166" s="175">
        <v>120.2</v>
      </c>
      <c r="BG166" s="175">
        <v>119.93</v>
      </c>
      <c r="BH166" s="175">
        <v>117.66</v>
      </c>
      <c r="BI166" s="175">
        <v>115.29</v>
      </c>
      <c r="BJ166" s="175">
        <v>105.22</v>
      </c>
      <c r="BK166" s="175">
        <v>117.11</v>
      </c>
      <c r="BM166" s="178">
        <v>41.118024476538153</v>
      </c>
      <c r="BN166" s="178">
        <v>42.828936055195889</v>
      </c>
      <c r="BO166" s="178">
        <v>45.203188313183396</v>
      </c>
      <c r="BP166" s="178">
        <v>43.606006870810305</v>
      </c>
      <c r="BQ166" s="178">
        <v>42.989731737395076</v>
      </c>
      <c r="BR166" s="178">
        <v>36.360618204301687</v>
      </c>
      <c r="BS166" s="178">
        <v>46.162982795690262</v>
      </c>
      <c r="BT166" s="178">
        <v>49.339793522922413</v>
      </c>
      <c r="BU166" s="178">
        <v>68.361419368033225</v>
      </c>
      <c r="BV166" s="178">
        <v>59.148909227771135</v>
      </c>
    </row>
    <row r="167" spans="1:74" x14ac:dyDescent="0.25">
      <c r="A167" s="176">
        <v>42844</v>
      </c>
      <c r="B167" s="177">
        <v>0.6166666666666667</v>
      </c>
      <c r="C167" s="178">
        <v>117.11</v>
      </c>
      <c r="D167" s="178">
        <v>111.44</v>
      </c>
      <c r="E167" s="178">
        <v>104.58</v>
      </c>
      <c r="F167" s="178">
        <v>114.26</v>
      </c>
      <c r="H167" s="179">
        <v>111.8</v>
      </c>
      <c r="I167" s="178">
        <v>5.3</v>
      </c>
      <c r="J167" s="178">
        <v>-0.4</v>
      </c>
      <c r="K167" s="178">
        <v>-7.2</v>
      </c>
      <c r="L167" s="178">
        <v>2.5</v>
      </c>
      <c r="N167" s="178">
        <v>117.98</v>
      </c>
      <c r="O167" s="178">
        <v>118.17</v>
      </c>
      <c r="P167" s="178">
        <v>118.65</v>
      </c>
      <c r="Q167" s="178">
        <v>119.17999999999999</v>
      </c>
      <c r="R167" s="178">
        <v>119.09</v>
      </c>
      <c r="S167" s="178">
        <v>119.19</v>
      </c>
      <c r="U167" s="178">
        <v>41.361788721589846</v>
      </c>
      <c r="V167" s="178">
        <v>43.08360149072449</v>
      </c>
      <c r="W167" s="178">
        <v>45.48761477860532</v>
      </c>
      <c r="X167" s="178">
        <v>43.927350729468813</v>
      </c>
      <c r="Y167" s="178">
        <v>43.304484828823675</v>
      </c>
      <c r="Z167" s="178">
        <v>36.682702837059274</v>
      </c>
      <c r="AA167" s="178">
        <v>46.362495246871333</v>
      </c>
      <c r="AB167" s="178">
        <v>49.393865220487307</v>
      </c>
      <c r="AC167" s="178">
        <v>68.372561543779582</v>
      </c>
      <c r="AD167" s="178">
        <v>59.252416295210686</v>
      </c>
      <c r="BB167" s="175">
        <v>117.98</v>
      </c>
      <c r="BC167" s="175">
        <v>118.17</v>
      </c>
      <c r="BD167" s="175">
        <v>118.65</v>
      </c>
      <c r="BE167" s="175">
        <v>119.17999999999999</v>
      </c>
      <c r="BF167" s="175">
        <v>119.09</v>
      </c>
      <c r="BG167" s="175">
        <v>119.19</v>
      </c>
      <c r="BH167" s="175">
        <v>117.11</v>
      </c>
      <c r="BI167" s="175">
        <v>111.44</v>
      </c>
      <c r="BJ167" s="175">
        <v>104.58</v>
      </c>
      <c r="BK167" s="175">
        <v>114.26</v>
      </c>
      <c r="BM167" s="178">
        <v>41.361788721589846</v>
      </c>
      <c r="BN167" s="178">
        <v>43.08360149072449</v>
      </c>
      <c r="BO167" s="178">
        <v>45.48761477860532</v>
      </c>
      <c r="BP167" s="178">
        <v>43.927350729468813</v>
      </c>
      <c r="BQ167" s="178">
        <v>43.304484828823675</v>
      </c>
      <c r="BR167" s="178">
        <v>36.682702837059274</v>
      </c>
      <c r="BS167" s="178">
        <v>46.362495246871333</v>
      </c>
      <c r="BT167" s="178">
        <v>49.393865220487307</v>
      </c>
      <c r="BU167" s="178">
        <v>68.372561543779582</v>
      </c>
      <c r="BV167" s="178">
        <v>59.252416295210686</v>
      </c>
    </row>
    <row r="168" spans="1:74" x14ac:dyDescent="0.25">
      <c r="A168" s="176">
        <v>42844</v>
      </c>
      <c r="B168" s="177">
        <v>0.61701388888888886</v>
      </c>
      <c r="C168" s="178">
        <v>116.54</v>
      </c>
      <c r="D168" s="178">
        <v>107.71</v>
      </c>
      <c r="E168" s="178">
        <v>104.82</v>
      </c>
      <c r="F168" s="178">
        <v>111.44</v>
      </c>
      <c r="H168" s="179">
        <v>110.1</v>
      </c>
      <c r="I168" s="178">
        <v>6.4</v>
      </c>
      <c r="J168" s="178">
        <v>-2.4</v>
      </c>
      <c r="K168" s="178">
        <v>-5.3</v>
      </c>
      <c r="L168" s="178">
        <v>1.3</v>
      </c>
      <c r="N168" s="178">
        <v>116.69</v>
      </c>
      <c r="O168" s="178">
        <v>116.72</v>
      </c>
      <c r="P168" s="178">
        <v>117.5</v>
      </c>
      <c r="Q168" s="178">
        <v>118.07</v>
      </c>
      <c r="R168" s="178">
        <v>117.94</v>
      </c>
      <c r="S168" s="178">
        <v>118.61</v>
      </c>
      <c r="U168" s="178">
        <v>41.542910220798198</v>
      </c>
      <c r="V168" s="178">
        <v>43.265978464187292</v>
      </c>
      <c r="W168" s="178">
        <v>45.7058726947254</v>
      </c>
      <c r="X168" s="178">
        <v>44.176219271958281</v>
      </c>
      <c r="Y168" s="178">
        <v>43.546014229843564</v>
      </c>
      <c r="Z168" s="178">
        <v>36.964521664972253</v>
      </c>
      <c r="AA168" s="178">
        <v>46.537467830385509</v>
      </c>
      <c r="AB168" s="178">
        <v>49.416772314823035</v>
      </c>
      <c r="AC168" s="178">
        <v>68.384336790199058</v>
      </c>
      <c r="AD168" s="178">
        <v>59.30648799277558</v>
      </c>
      <c r="BB168" s="175">
        <v>116.69</v>
      </c>
      <c r="BC168" s="175">
        <v>116.72</v>
      </c>
      <c r="BD168" s="175">
        <v>117.5</v>
      </c>
      <c r="BE168" s="175">
        <v>118.07</v>
      </c>
      <c r="BF168" s="175">
        <v>117.94</v>
      </c>
      <c r="BG168" s="175">
        <v>118.61</v>
      </c>
      <c r="BH168" s="175">
        <v>116.54</v>
      </c>
      <c r="BI168" s="175">
        <v>107.71</v>
      </c>
      <c r="BJ168" s="175">
        <v>104.82</v>
      </c>
      <c r="BK168" s="175">
        <v>111.44</v>
      </c>
      <c r="BM168" s="178">
        <v>41.542910220798198</v>
      </c>
      <c r="BN168" s="178">
        <v>43.265978464187292</v>
      </c>
      <c r="BO168" s="178">
        <v>45.7058726947254</v>
      </c>
      <c r="BP168" s="178">
        <v>44.176219271958281</v>
      </c>
      <c r="BQ168" s="178">
        <v>43.546014229843564</v>
      </c>
      <c r="BR168" s="178">
        <v>36.964521664972253</v>
      </c>
      <c r="BS168" s="178">
        <v>46.537467830385509</v>
      </c>
      <c r="BT168" s="178">
        <v>49.416772314823035</v>
      </c>
      <c r="BU168" s="178">
        <v>68.384336790199058</v>
      </c>
      <c r="BV168" s="178">
        <v>59.30648799277558</v>
      </c>
    </row>
    <row r="169" spans="1:74" x14ac:dyDescent="0.25">
      <c r="A169" s="176">
        <v>42844</v>
      </c>
      <c r="B169" s="177">
        <v>0.61736111111111114</v>
      </c>
      <c r="C169" s="178">
        <v>116.04</v>
      </c>
      <c r="D169" s="178">
        <v>104.37</v>
      </c>
      <c r="E169" s="178">
        <v>105.73</v>
      </c>
      <c r="F169" s="178">
        <v>109.03</v>
      </c>
      <c r="H169" s="179">
        <v>108.8</v>
      </c>
      <c r="I169" s="178">
        <v>7.2</v>
      </c>
      <c r="J169" s="178">
        <v>-4.4000000000000004</v>
      </c>
      <c r="K169" s="178">
        <v>-3.1</v>
      </c>
      <c r="L169" s="178">
        <v>0.2</v>
      </c>
      <c r="N169" s="178">
        <v>115.43</v>
      </c>
      <c r="O169" s="178">
        <v>115.27</v>
      </c>
      <c r="P169" s="178">
        <v>116.4</v>
      </c>
      <c r="Q169" s="178">
        <v>117</v>
      </c>
      <c r="R169" s="178">
        <v>116.81</v>
      </c>
      <c r="S169" s="178">
        <v>118.06</v>
      </c>
      <c r="U169" s="178">
        <v>41.678419802392739</v>
      </c>
      <c r="V169" s="178">
        <v>43.396586531907253</v>
      </c>
      <c r="W169" s="178">
        <v>45.875294772795002</v>
      </c>
      <c r="X169" s="178">
        <v>44.370741844455424</v>
      </c>
      <c r="Y169" s="178">
        <v>43.732210082970852</v>
      </c>
      <c r="Z169" s="178">
        <v>37.212817825697421</v>
      </c>
      <c r="AA169" s="178">
        <v>46.693412309590208</v>
      </c>
      <c r="AB169" s="178">
        <v>49.427388537133034</v>
      </c>
      <c r="AC169" s="178">
        <v>68.398856903471383</v>
      </c>
      <c r="AD169" s="178">
        <v>59.337531444487084</v>
      </c>
      <c r="BB169" s="175">
        <v>115.43</v>
      </c>
      <c r="BC169" s="175">
        <v>115.27</v>
      </c>
      <c r="BD169" s="175">
        <v>116.4</v>
      </c>
      <c r="BE169" s="175">
        <v>117</v>
      </c>
      <c r="BF169" s="175">
        <v>116.81</v>
      </c>
      <c r="BG169" s="175">
        <v>118.06</v>
      </c>
      <c r="BH169" s="175">
        <v>116.04</v>
      </c>
      <c r="BI169" s="175">
        <v>104.37</v>
      </c>
      <c r="BJ169" s="175">
        <v>105.73</v>
      </c>
      <c r="BK169" s="175">
        <v>109.03</v>
      </c>
      <c r="BM169" s="178">
        <v>41.678419802392739</v>
      </c>
      <c r="BN169" s="178">
        <v>43.396586531907253</v>
      </c>
      <c r="BO169" s="178">
        <v>45.875294772795002</v>
      </c>
      <c r="BP169" s="178">
        <v>44.370741844455424</v>
      </c>
      <c r="BQ169" s="178">
        <v>43.732210082970852</v>
      </c>
      <c r="BR169" s="178">
        <v>37.212817825697421</v>
      </c>
      <c r="BS169" s="178">
        <v>46.693412309590208</v>
      </c>
      <c r="BT169" s="178">
        <v>49.427388537133034</v>
      </c>
      <c r="BU169" s="178">
        <v>68.398856903471383</v>
      </c>
      <c r="BV169" s="178">
        <v>59.337531444487084</v>
      </c>
    </row>
    <row r="170" spans="1:74" x14ac:dyDescent="0.25">
      <c r="A170" s="176">
        <v>42844</v>
      </c>
      <c r="B170" s="177">
        <v>0.6177083333333333</v>
      </c>
      <c r="C170" s="178">
        <v>115.59</v>
      </c>
      <c r="D170" s="178">
        <v>101.82</v>
      </c>
      <c r="E170" s="178">
        <v>106.11</v>
      </c>
      <c r="F170" s="178">
        <v>106.95</v>
      </c>
      <c r="H170" s="179">
        <v>107.6</v>
      </c>
      <c r="I170" s="178">
        <v>8</v>
      </c>
      <c r="J170" s="178">
        <v>-5.8</v>
      </c>
      <c r="K170" s="178">
        <v>-1.5</v>
      </c>
      <c r="L170" s="178">
        <v>-0.6</v>
      </c>
      <c r="N170" s="178">
        <v>114.25</v>
      </c>
      <c r="O170" s="178">
        <v>113.9</v>
      </c>
      <c r="P170" s="178">
        <v>115.39</v>
      </c>
      <c r="Q170" s="178">
        <v>116.03999999999999</v>
      </c>
      <c r="R170" s="178">
        <v>115.73</v>
      </c>
      <c r="S170" s="178">
        <v>117.56</v>
      </c>
      <c r="U170" s="178">
        <v>41.781688810183269</v>
      </c>
      <c r="V170" s="178">
        <v>43.491859567805413</v>
      </c>
      <c r="W170" s="178">
        <v>46.009561995077924</v>
      </c>
      <c r="X170" s="178">
        <v>44.526686323660122</v>
      </c>
      <c r="Y170" s="178">
        <v>43.877411215694075</v>
      </c>
      <c r="Z170" s="178">
        <v>37.434112011878732</v>
      </c>
      <c r="AA170" s="178">
        <v>46.834007351110152</v>
      </c>
      <c r="AB170" s="178">
        <v>49.433290140311293</v>
      </c>
      <c r="AC170" s="178">
        <v>68.414704740786604</v>
      </c>
      <c r="AD170" s="178">
        <v>59.356761033589351</v>
      </c>
      <c r="BB170" s="175">
        <v>114.25</v>
      </c>
      <c r="BC170" s="175">
        <v>113.9</v>
      </c>
      <c r="BD170" s="175">
        <v>115.39</v>
      </c>
      <c r="BE170" s="175">
        <v>116.03999999999999</v>
      </c>
      <c r="BF170" s="175">
        <v>115.73</v>
      </c>
      <c r="BG170" s="175">
        <v>117.56</v>
      </c>
      <c r="BH170" s="175">
        <v>115.59</v>
      </c>
      <c r="BI170" s="175">
        <v>101.82</v>
      </c>
      <c r="BJ170" s="175">
        <v>106.11</v>
      </c>
      <c r="BK170" s="175">
        <v>106.95</v>
      </c>
      <c r="BM170" s="178">
        <v>41.781688810183269</v>
      </c>
      <c r="BN170" s="178">
        <v>43.491859567805413</v>
      </c>
      <c r="BO170" s="178">
        <v>46.009561995077924</v>
      </c>
      <c r="BP170" s="178">
        <v>44.526686323660122</v>
      </c>
      <c r="BQ170" s="178">
        <v>43.877411215694075</v>
      </c>
      <c r="BR170" s="178">
        <v>37.434112011878732</v>
      </c>
      <c r="BS170" s="178">
        <v>46.834007351110152</v>
      </c>
      <c r="BT170" s="178">
        <v>49.433290140311293</v>
      </c>
      <c r="BU170" s="178">
        <v>68.414704740786604</v>
      </c>
      <c r="BV170" s="178">
        <v>59.356761033589351</v>
      </c>
    </row>
    <row r="171" spans="1:74" x14ac:dyDescent="0.25">
      <c r="A171" s="176">
        <v>42844</v>
      </c>
      <c r="B171" s="177">
        <v>0.61805555555555558</v>
      </c>
      <c r="C171" s="178">
        <v>115.29</v>
      </c>
      <c r="D171" s="178">
        <v>99.86</v>
      </c>
      <c r="E171" s="178">
        <v>105.62</v>
      </c>
      <c r="F171" s="178">
        <v>105.13</v>
      </c>
      <c r="H171" s="179">
        <v>106.5</v>
      </c>
      <c r="I171" s="178">
        <v>8.8000000000000007</v>
      </c>
      <c r="J171" s="178">
        <v>-6.6</v>
      </c>
      <c r="K171" s="178">
        <v>-0.9</v>
      </c>
      <c r="L171" s="178">
        <v>-1.4</v>
      </c>
      <c r="N171" s="178">
        <v>113.18</v>
      </c>
      <c r="O171" s="178">
        <v>112.65</v>
      </c>
      <c r="P171" s="178">
        <v>114.49</v>
      </c>
      <c r="Q171" s="178">
        <v>115.17</v>
      </c>
      <c r="R171" s="178">
        <v>114.73</v>
      </c>
      <c r="S171" s="178">
        <v>117.15</v>
      </c>
      <c r="U171" s="178">
        <v>41.862406738024596</v>
      </c>
      <c r="V171" s="178">
        <v>43.56330426573097</v>
      </c>
      <c r="W171" s="178">
        <v>46.118698490670077</v>
      </c>
      <c r="X171" s="178">
        <v>44.654321388793186</v>
      </c>
      <c r="Y171" s="178">
        <v>43.992748575130079</v>
      </c>
      <c r="Z171" s="178">
        <v>37.635470529041463</v>
      </c>
      <c r="AA171" s="178">
        <v>46.965218278279373</v>
      </c>
      <c r="AB171" s="178">
        <v>49.437048254781381</v>
      </c>
      <c r="AC171" s="178">
        <v>68.428861700765594</v>
      </c>
      <c r="AD171" s="178">
        <v>59.369407523571581</v>
      </c>
      <c r="BB171" s="175">
        <v>113.18</v>
      </c>
      <c r="BC171" s="175">
        <v>112.65</v>
      </c>
      <c r="BD171" s="175">
        <v>114.49</v>
      </c>
      <c r="BE171" s="175">
        <v>115.17</v>
      </c>
      <c r="BF171" s="175">
        <v>114.73</v>
      </c>
      <c r="BG171" s="175">
        <v>117.15</v>
      </c>
      <c r="BH171" s="175">
        <v>115.29</v>
      </c>
      <c r="BI171" s="175">
        <v>99.86</v>
      </c>
      <c r="BJ171" s="175">
        <v>105.62</v>
      </c>
      <c r="BK171" s="175">
        <v>105.13</v>
      </c>
      <c r="BM171" s="178">
        <v>41.862406738024596</v>
      </c>
      <c r="BN171" s="178">
        <v>43.56330426573097</v>
      </c>
      <c r="BO171" s="178">
        <v>46.118698490670077</v>
      </c>
      <c r="BP171" s="178">
        <v>44.654321388793186</v>
      </c>
      <c r="BQ171" s="178">
        <v>43.992748575130079</v>
      </c>
      <c r="BR171" s="178">
        <v>37.635470529041463</v>
      </c>
      <c r="BS171" s="178">
        <v>46.965218278279373</v>
      </c>
      <c r="BT171" s="178">
        <v>49.437048254781381</v>
      </c>
      <c r="BU171" s="178">
        <v>68.428861700765594</v>
      </c>
      <c r="BV171" s="178">
        <v>59.369407523571581</v>
      </c>
    </row>
    <row r="172" spans="1:74" x14ac:dyDescent="0.25">
      <c r="A172" s="176">
        <v>42844</v>
      </c>
      <c r="B172" s="177">
        <v>0.61840277777777775</v>
      </c>
      <c r="C172" s="178">
        <v>115.02</v>
      </c>
      <c r="D172" s="178">
        <v>98.52</v>
      </c>
      <c r="E172" s="178">
        <v>90.26</v>
      </c>
      <c r="F172" s="178">
        <v>103.52</v>
      </c>
      <c r="H172" s="179">
        <v>101.8</v>
      </c>
      <c r="I172" s="178">
        <v>13.2</v>
      </c>
      <c r="J172" s="178">
        <v>-3.3</v>
      </c>
      <c r="K172" s="178">
        <v>-11.5</v>
      </c>
      <c r="L172" s="178">
        <v>1.7</v>
      </c>
      <c r="N172" s="178">
        <v>112.2</v>
      </c>
      <c r="O172" s="178">
        <v>111.51</v>
      </c>
      <c r="P172" s="178">
        <v>113.68</v>
      </c>
      <c r="Q172" s="178">
        <v>114.39</v>
      </c>
      <c r="R172" s="178">
        <v>113.8</v>
      </c>
      <c r="S172" s="178">
        <v>116.77</v>
      </c>
      <c r="U172" s="178">
        <v>41.92681921560925</v>
      </c>
      <c r="V172" s="178">
        <v>43.618254557702599</v>
      </c>
      <c r="W172" s="178">
        <v>46.209265495301061</v>
      </c>
      <c r="X172" s="178">
        <v>44.760973634450515</v>
      </c>
      <c r="Y172" s="178">
        <v>44.085852931963224</v>
      </c>
      <c r="Z172" s="178">
        <v>37.81995932832654</v>
      </c>
      <c r="AA172" s="178">
        <v>47.08852024514109</v>
      </c>
      <c r="AB172" s="178">
        <v>49.439808641977784</v>
      </c>
      <c r="AC172" s="178">
        <v>68.429273769823098</v>
      </c>
      <c r="AD172" s="178">
        <v>59.378136634336187</v>
      </c>
      <c r="BB172" s="175">
        <v>112.2</v>
      </c>
      <c r="BC172" s="175">
        <v>111.51</v>
      </c>
      <c r="BD172" s="175">
        <v>113.68</v>
      </c>
      <c r="BE172" s="175">
        <v>114.39</v>
      </c>
      <c r="BF172" s="175">
        <v>113.8</v>
      </c>
      <c r="BG172" s="175">
        <v>116.77</v>
      </c>
      <c r="BH172" s="175">
        <v>115.02</v>
      </c>
      <c r="BI172" s="175">
        <v>98.52</v>
      </c>
      <c r="BJ172" s="175">
        <v>90.26</v>
      </c>
      <c r="BK172" s="175">
        <v>103.52</v>
      </c>
      <c r="BM172" s="178">
        <v>41.92681921560925</v>
      </c>
      <c r="BN172" s="178">
        <v>43.618254557702599</v>
      </c>
      <c r="BO172" s="178">
        <v>46.209265495301061</v>
      </c>
      <c r="BP172" s="178">
        <v>44.760973634450515</v>
      </c>
      <c r="BQ172" s="178">
        <v>44.085852931963224</v>
      </c>
      <c r="BR172" s="178">
        <v>37.81995932832654</v>
      </c>
      <c r="BS172" s="178">
        <v>47.08852024514109</v>
      </c>
      <c r="BT172" s="178">
        <v>49.439808641977784</v>
      </c>
      <c r="BU172" s="178">
        <v>68.429273769823098</v>
      </c>
      <c r="BV172" s="178">
        <v>59.378136634336187</v>
      </c>
    </row>
    <row r="173" spans="1:74" x14ac:dyDescent="0.25">
      <c r="A173" s="176">
        <v>42844</v>
      </c>
      <c r="B173" s="177">
        <v>0.61875000000000002</v>
      </c>
      <c r="C173" s="178">
        <v>114.25</v>
      </c>
      <c r="D173" s="178">
        <v>96.72</v>
      </c>
      <c r="E173" s="178">
        <v>47.96</v>
      </c>
      <c r="F173" s="178">
        <v>101.18</v>
      </c>
      <c r="H173" s="179">
        <v>90</v>
      </c>
      <c r="I173" s="178">
        <v>24.3</v>
      </c>
      <c r="J173" s="178">
        <v>6.7</v>
      </c>
      <c r="K173" s="178">
        <v>-42</v>
      </c>
      <c r="L173" s="178">
        <v>11.2</v>
      </c>
      <c r="N173" s="178">
        <v>111.28</v>
      </c>
      <c r="O173" s="178">
        <v>110.47</v>
      </c>
      <c r="P173" s="178">
        <v>112.93</v>
      </c>
      <c r="Q173" s="178">
        <v>113.66</v>
      </c>
      <c r="R173" s="178">
        <v>112.9</v>
      </c>
      <c r="S173" s="178">
        <v>116.2</v>
      </c>
      <c r="U173" s="178">
        <v>41.978935087078916</v>
      </c>
      <c r="V173" s="178">
        <v>43.661502953641381</v>
      </c>
      <c r="W173" s="178">
        <v>46.285468132990928</v>
      </c>
      <c r="X173" s="178">
        <v>44.851124521493496</v>
      </c>
      <c r="Y173" s="178">
        <v>44.161530994385032</v>
      </c>
      <c r="Z173" s="178">
        <v>37.981756156791356</v>
      </c>
      <c r="AA173" s="178">
        <v>47.191789252931621</v>
      </c>
      <c r="AB173" s="178">
        <v>49.441632411712412</v>
      </c>
      <c r="AC173" s="178">
        <v>68.429273794087521</v>
      </c>
      <c r="AD173" s="178">
        <v>59.383229591276461</v>
      </c>
      <c r="BB173" s="175">
        <v>111.28</v>
      </c>
      <c r="BC173" s="175">
        <v>110.47</v>
      </c>
      <c r="BD173" s="175">
        <v>112.93</v>
      </c>
      <c r="BE173" s="175">
        <v>113.66</v>
      </c>
      <c r="BF173" s="175">
        <v>112.9</v>
      </c>
      <c r="BG173" s="175">
        <v>116.2</v>
      </c>
      <c r="BH173" s="175">
        <v>114.25</v>
      </c>
      <c r="BI173" s="175">
        <v>96.72</v>
      </c>
      <c r="BJ173" s="175">
        <v>47.96</v>
      </c>
      <c r="BK173" s="175">
        <v>101.18</v>
      </c>
      <c r="BM173" s="178">
        <v>41.978935087078916</v>
      </c>
      <c r="BN173" s="178">
        <v>43.661502953641381</v>
      </c>
      <c r="BO173" s="178">
        <v>46.285468132990928</v>
      </c>
      <c r="BP173" s="178">
        <v>44.851124521493496</v>
      </c>
      <c r="BQ173" s="178">
        <v>44.161530994385032</v>
      </c>
      <c r="BR173" s="178">
        <v>37.981756156791356</v>
      </c>
      <c r="BS173" s="178">
        <v>47.191789252931621</v>
      </c>
      <c r="BT173" s="178">
        <v>49.441632411712412</v>
      </c>
      <c r="BU173" s="178">
        <v>68.429273794087521</v>
      </c>
      <c r="BV173" s="178">
        <v>59.383229591276461</v>
      </c>
    </row>
    <row r="174" spans="1:74" x14ac:dyDescent="0.25">
      <c r="A174" s="176">
        <v>42844</v>
      </c>
      <c r="B174" s="177">
        <v>0.61909722222222219</v>
      </c>
      <c r="C174" s="178">
        <v>112.1</v>
      </c>
      <c r="D174" s="178">
        <v>93.01</v>
      </c>
      <c r="E174" s="178">
        <v>43.95</v>
      </c>
      <c r="F174" s="178">
        <v>98.22</v>
      </c>
      <c r="H174" s="179">
        <v>86.8</v>
      </c>
      <c r="I174" s="178">
        <v>25.3</v>
      </c>
      <c r="J174" s="178">
        <v>6.2</v>
      </c>
      <c r="K174" s="178">
        <v>-42.9</v>
      </c>
      <c r="L174" s="178">
        <v>11.4</v>
      </c>
      <c r="N174" s="178">
        <v>110.31</v>
      </c>
      <c r="O174" s="178">
        <v>109.27</v>
      </c>
      <c r="P174" s="178">
        <v>112.08</v>
      </c>
      <c r="Q174" s="178">
        <v>112.77</v>
      </c>
      <c r="R174" s="178">
        <v>111.99</v>
      </c>
      <c r="S174" s="178">
        <v>115.21</v>
      </c>
      <c r="U174" s="178">
        <v>42.020619146309897</v>
      </c>
      <c r="V174" s="178">
        <v>43.694310216956524</v>
      </c>
      <c r="W174" s="178">
        <v>46.348125191737999</v>
      </c>
      <c r="X174" s="178">
        <v>44.92457083537569</v>
      </c>
      <c r="Y174" s="178">
        <v>44.222902955942949</v>
      </c>
      <c r="Z174" s="178">
        <v>38.110572214641486</v>
      </c>
      <c r="AA174" s="178">
        <v>47.254735523521326</v>
      </c>
      <c r="AB174" s="178">
        <v>49.442408605217388</v>
      </c>
      <c r="AC174" s="178">
        <v>68.429273803725152</v>
      </c>
      <c r="AD174" s="178">
        <v>59.385805734499371</v>
      </c>
      <c r="BB174" s="175">
        <v>110.31</v>
      </c>
      <c r="BC174" s="175">
        <v>109.27</v>
      </c>
      <c r="BD174" s="175">
        <v>112.08</v>
      </c>
      <c r="BE174" s="175">
        <v>112.77</v>
      </c>
      <c r="BF174" s="175">
        <v>111.99</v>
      </c>
      <c r="BG174" s="175">
        <v>115.21</v>
      </c>
      <c r="BH174" s="175">
        <v>112.1</v>
      </c>
      <c r="BI174" s="175">
        <v>93.01</v>
      </c>
      <c r="BJ174" s="175">
        <v>43.95</v>
      </c>
      <c r="BK174" s="175">
        <v>98.22</v>
      </c>
      <c r="BM174" s="178">
        <v>42.020619146309897</v>
      </c>
      <c r="BN174" s="178">
        <v>43.694310216956524</v>
      </c>
      <c r="BO174" s="178">
        <v>46.348125191737999</v>
      </c>
      <c r="BP174" s="178">
        <v>44.92457083537569</v>
      </c>
      <c r="BQ174" s="178">
        <v>44.222902955942949</v>
      </c>
      <c r="BR174" s="178">
        <v>38.110572214641486</v>
      </c>
      <c r="BS174" s="178">
        <v>47.254735523521326</v>
      </c>
      <c r="BT174" s="178">
        <v>49.442408605217388</v>
      </c>
      <c r="BU174" s="178">
        <v>68.429273803725152</v>
      </c>
      <c r="BV174" s="178">
        <v>59.385805734499371</v>
      </c>
    </row>
    <row r="175" spans="1:74" x14ac:dyDescent="0.25">
      <c r="A175" s="176">
        <v>42844</v>
      </c>
      <c r="B175" s="177">
        <v>0.61944444444444446</v>
      </c>
      <c r="C175" s="178">
        <v>105.89</v>
      </c>
      <c r="D175" s="178">
        <v>87.81</v>
      </c>
      <c r="E175" s="178">
        <v>36.229999999999997</v>
      </c>
      <c r="F175" s="178">
        <v>94.85</v>
      </c>
      <c r="H175" s="179">
        <v>81.2</v>
      </c>
      <c r="I175" s="178">
        <v>24.7</v>
      </c>
      <c r="J175" s="178">
        <v>6.6</v>
      </c>
      <c r="K175" s="178">
        <v>-45</v>
      </c>
      <c r="L175" s="178">
        <v>13.7</v>
      </c>
      <c r="N175" s="178">
        <v>109.29</v>
      </c>
      <c r="O175" s="178">
        <v>107.92</v>
      </c>
      <c r="P175" s="178">
        <v>111.05</v>
      </c>
      <c r="Q175" s="178">
        <v>111.33</v>
      </c>
      <c r="R175" s="178">
        <v>110.9</v>
      </c>
      <c r="S175" s="178">
        <v>113.29</v>
      </c>
      <c r="U175" s="178">
        <v>42.053577841072112</v>
      </c>
      <c r="V175" s="178">
        <v>43.718352184379007</v>
      </c>
      <c r="W175" s="178">
        <v>46.397552846470845</v>
      </c>
      <c r="X175" s="178">
        <v>44.977290180195254</v>
      </c>
      <c r="Y175" s="178">
        <v>44.270652585244022</v>
      </c>
      <c r="Z175" s="178">
        <v>38.193360712814965</v>
      </c>
      <c r="AA175" s="178">
        <v>47.269800553642256</v>
      </c>
      <c r="AB175" s="178">
        <v>49.442643011908459</v>
      </c>
      <c r="AC175" s="178">
        <v>68.429273805354342</v>
      </c>
      <c r="AD175" s="178">
        <v>59.386991421352199</v>
      </c>
      <c r="BB175" s="175">
        <v>109.29</v>
      </c>
      <c r="BC175" s="175">
        <v>107.92</v>
      </c>
      <c r="BD175" s="175">
        <v>111.05</v>
      </c>
      <c r="BE175" s="175">
        <v>111.33</v>
      </c>
      <c r="BF175" s="175">
        <v>110.9</v>
      </c>
      <c r="BG175" s="175">
        <v>113.29</v>
      </c>
      <c r="BH175" s="175">
        <v>105.89</v>
      </c>
      <c r="BI175" s="175">
        <v>87.81</v>
      </c>
      <c r="BJ175" s="175">
        <v>36.229999999999997</v>
      </c>
      <c r="BK175" s="175">
        <v>94.85</v>
      </c>
      <c r="BM175" s="178">
        <v>42.053577841072112</v>
      </c>
      <c r="BN175" s="178">
        <v>43.718352184379007</v>
      </c>
      <c r="BO175" s="178">
        <v>46.397552846470845</v>
      </c>
      <c r="BP175" s="178">
        <v>44.977290180195254</v>
      </c>
      <c r="BQ175" s="178">
        <v>44.270652585244022</v>
      </c>
      <c r="BR175" s="178">
        <v>38.193360712814965</v>
      </c>
      <c r="BS175" s="178">
        <v>47.269800553642256</v>
      </c>
      <c r="BT175" s="178">
        <v>49.442643011908459</v>
      </c>
      <c r="BU175" s="178">
        <v>68.429273805354342</v>
      </c>
      <c r="BV175" s="178">
        <v>59.386991421352199</v>
      </c>
    </row>
    <row r="176" spans="1:74" x14ac:dyDescent="0.25">
      <c r="A176" s="176">
        <v>42844</v>
      </c>
      <c r="B176" s="177">
        <v>0.61979166666666663</v>
      </c>
      <c r="C176" s="178">
        <v>99.03</v>
      </c>
      <c r="D176" s="178">
        <v>79.790000000000006</v>
      </c>
      <c r="E176" s="178">
        <v>32.46</v>
      </c>
      <c r="F176" s="178">
        <v>90.64</v>
      </c>
      <c r="H176" s="179">
        <v>75.5</v>
      </c>
      <c r="I176" s="178">
        <v>23.5</v>
      </c>
      <c r="J176" s="178">
        <v>4.3</v>
      </c>
      <c r="K176" s="178">
        <v>-43</v>
      </c>
      <c r="L176" s="178">
        <v>15.1</v>
      </c>
      <c r="N176" s="178">
        <v>108.2</v>
      </c>
      <c r="O176" s="178">
        <v>106.44</v>
      </c>
      <c r="P176" s="178">
        <v>109.92</v>
      </c>
      <c r="Q176" s="178">
        <v>109.11999999999999</v>
      </c>
      <c r="R176" s="178">
        <v>109.14</v>
      </c>
      <c r="S176" s="178">
        <v>111.04</v>
      </c>
      <c r="U176" s="178">
        <v>42.07922091027168</v>
      </c>
      <c r="V176" s="178">
        <v>43.735451156504695</v>
      </c>
      <c r="W176" s="178">
        <v>46.435656796972118</v>
      </c>
      <c r="X176" s="178">
        <v>45.008983665758102</v>
      </c>
      <c r="Y176" s="178">
        <v>44.302492361289417</v>
      </c>
      <c r="Z176" s="178">
        <v>38.242674687096525</v>
      </c>
      <c r="AA176" s="178">
        <v>47.272904898813408</v>
      </c>
      <c r="AB176" s="178">
        <v>49.442679992172209</v>
      </c>
      <c r="AC176" s="178">
        <v>68.429273806038211</v>
      </c>
      <c r="AD176" s="178">
        <v>59.387441170142964</v>
      </c>
      <c r="BB176" s="175">
        <v>108.2</v>
      </c>
      <c r="BC176" s="175">
        <v>106.44</v>
      </c>
      <c r="BD176" s="175">
        <v>109.92</v>
      </c>
      <c r="BE176" s="175">
        <v>109.11999999999999</v>
      </c>
      <c r="BF176" s="175">
        <v>109.14</v>
      </c>
      <c r="BG176" s="175">
        <v>111.04</v>
      </c>
      <c r="BH176" s="175">
        <v>99.03</v>
      </c>
      <c r="BI176" s="175">
        <v>79.790000000000006</v>
      </c>
      <c r="BJ176" s="175">
        <v>32.46</v>
      </c>
      <c r="BK176" s="175">
        <v>90.64</v>
      </c>
      <c r="BM176" s="178">
        <v>42.07922091027168</v>
      </c>
      <c r="BN176" s="178">
        <v>43.735451156504695</v>
      </c>
      <c r="BO176" s="178">
        <v>46.435656796972118</v>
      </c>
      <c r="BP176" s="178">
        <v>45.008983665758102</v>
      </c>
      <c r="BQ176" s="178">
        <v>44.302492361289417</v>
      </c>
      <c r="BR176" s="178">
        <v>38.242674687096525</v>
      </c>
      <c r="BS176" s="178">
        <v>47.272904898813408</v>
      </c>
      <c r="BT176" s="178">
        <v>49.442679992172209</v>
      </c>
      <c r="BU176" s="178">
        <v>68.429273806038211</v>
      </c>
      <c r="BV176" s="178">
        <v>59.387441170142964</v>
      </c>
    </row>
    <row r="177" spans="1:74" x14ac:dyDescent="0.25">
      <c r="A177" s="176">
        <v>42844</v>
      </c>
      <c r="B177" s="177">
        <v>0.62013888888888891</v>
      </c>
      <c r="C177" s="178">
        <v>93.1</v>
      </c>
      <c r="D177" s="178">
        <v>75</v>
      </c>
      <c r="E177" s="178">
        <v>33.83</v>
      </c>
      <c r="F177" s="178">
        <v>86.39</v>
      </c>
      <c r="H177" s="179">
        <v>72.099999999999994</v>
      </c>
      <c r="I177" s="178">
        <v>21</v>
      </c>
      <c r="J177" s="178">
        <v>2.9</v>
      </c>
      <c r="K177" s="178">
        <v>-38.299999999999997</v>
      </c>
      <c r="L177" s="178">
        <v>14.3</v>
      </c>
      <c r="N177" s="178">
        <v>107.36</v>
      </c>
      <c r="O177" s="178">
        <v>104.62</v>
      </c>
      <c r="P177" s="178">
        <v>108.17</v>
      </c>
      <c r="Q177" s="178">
        <v>106.57</v>
      </c>
      <c r="R177" s="178">
        <v>106.17</v>
      </c>
      <c r="S177" s="178">
        <v>108.9</v>
      </c>
      <c r="U177" s="178">
        <v>42.100354340984957</v>
      </c>
      <c r="V177" s="178">
        <v>43.746696429533877</v>
      </c>
      <c r="W177" s="178">
        <v>46.461123340524978</v>
      </c>
      <c r="X177" s="178">
        <v>45.026602209310226</v>
      </c>
      <c r="Y177" s="178">
        <v>44.318560663982616</v>
      </c>
      <c r="Z177" s="178">
        <v>38.272802666400246</v>
      </c>
      <c r="AA177" s="178">
        <v>47.273697345409637</v>
      </c>
      <c r="AB177" s="178">
        <v>49.442692265716786</v>
      </c>
      <c r="AC177" s="178">
        <v>68.429273806975715</v>
      </c>
      <c r="AD177" s="178">
        <v>59.387610202561063</v>
      </c>
      <c r="BB177" s="175">
        <v>107.36</v>
      </c>
      <c r="BC177" s="175">
        <v>104.62</v>
      </c>
      <c r="BD177" s="175">
        <v>108.17</v>
      </c>
      <c r="BE177" s="175">
        <v>106.57</v>
      </c>
      <c r="BF177" s="175">
        <v>106.17</v>
      </c>
      <c r="BG177" s="175">
        <v>108.9</v>
      </c>
      <c r="BH177" s="175">
        <v>93.1</v>
      </c>
      <c r="BI177" s="175">
        <v>75</v>
      </c>
      <c r="BJ177" s="175">
        <v>33.83</v>
      </c>
      <c r="BK177" s="175">
        <v>86.39</v>
      </c>
      <c r="BM177" s="178">
        <v>42.100354340984957</v>
      </c>
      <c r="BN177" s="178">
        <v>43.746696429533877</v>
      </c>
      <c r="BO177" s="178">
        <v>46.461123340524978</v>
      </c>
      <c r="BP177" s="178">
        <v>45.026602209310226</v>
      </c>
      <c r="BQ177" s="178">
        <v>44.318560663982616</v>
      </c>
      <c r="BR177" s="178">
        <v>38.272802666400246</v>
      </c>
      <c r="BS177" s="178">
        <v>47.273697345409637</v>
      </c>
      <c r="BT177" s="178">
        <v>49.442692265716786</v>
      </c>
      <c r="BU177" s="178">
        <v>68.429273806975715</v>
      </c>
      <c r="BV177" s="178">
        <v>59.387610202561063</v>
      </c>
    </row>
    <row r="178" spans="1:74" x14ac:dyDescent="0.25">
      <c r="A178" s="176">
        <v>42844</v>
      </c>
      <c r="B178" s="177">
        <v>0.62048611111111118</v>
      </c>
      <c r="C178" s="178">
        <v>88.64</v>
      </c>
      <c r="D178" s="178">
        <v>71.84</v>
      </c>
      <c r="E178" s="178">
        <v>33.76</v>
      </c>
      <c r="F178" s="178">
        <v>82.07</v>
      </c>
      <c r="H178" s="179">
        <v>69.099999999999994</v>
      </c>
      <c r="I178" s="178">
        <v>19.5</v>
      </c>
      <c r="J178" s="178">
        <v>2.7</v>
      </c>
      <c r="K178" s="178">
        <v>-35.299999999999997</v>
      </c>
      <c r="L178" s="178">
        <v>13</v>
      </c>
      <c r="N178" s="178">
        <v>106.38</v>
      </c>
      <c r="O178" s="178">
        <v>102.15</v>
      </c>
      <c r="P178" s="178">
        <v>105.82</v>
      </c>
      <c r="Q178" s="178">
        <v>103.77</v>
      </c>
      <c r="R178" s="178">
        <v>102.77</v>
      </c>
      <c r="S178" s="178">
        <v>106.68</v>
      </c>
      <c r="U178" s="178">
        <v>42.117218706417901</v>
      </c>
      <c r="V178" s="178">
        <v>43.753063944938958</v>
      </c>
      <c r="W178" s="178">
        <v>46.475947497472596</v>
      </c>
      <c r="X178" s="178">
        <v>45.03584855240512</v>
      </c>
      <c r="Y178" s="178">
        <v>44.325905295370838</v>
      </c>
      <c r="Z178" s="178">
        <v>38.290873159532225</v>
      </c>
      <c r="AA178" s="178">
        <v>47.273981117712339</v>
      </c>
      <c r="AB178" s="178">
        <v>49.442698194560528</v>
      </c>
      <c r="AC178" s="178">
        <v>68.429273807898227</v>
      </c>
      <c r="AD178" s="178">
        <v>59.387672715512572</v>
      </c>
      <c r="BB178" s="175">
        <v>106.38</v>
      </c>
      <c r="BC178" s="175">
        <v>102.15</v>
      </c>
      <c r="BD178" s="175">
        <v>105.82</v>
      </c>
      <c r="BE178" s="175">
        <v>103.77</v>
      </c>
      <c r="BF178" s="175">
        <v>102.77</v>
      </c>
      <c r="BG178" s="175">
        <v>106.68</v>
      </c>
      <c r="BH178" s="175">
        <v>88.64</v>
      </c>
      <c r="BI178" s="175">
        <v>71.84</v>
      </c>
      <c r="BJ178" s="175">
        <v>33.76</v>
      </c>
      <c r="BK178" s="175">
        <v>82.07</v>
      </c>
      <c r="BM178" s="178">
        <v>42.117218706417901</v>
      </c>
      <c r="BN178" s="178">
        <v>43.753063944938958</v>
      </c>
      <c r="BO178" s="178">
        <v>46.475947497472596</v>
      </c>
      <c r="BP178" s="178">
        <v>45.03584855240512</v>
      </c>
      <c r="BQ178" s="178">
        <v>44.325905295370838</v>
      </c>
      <c r="BR178" s="178">
        <v>38.290873159532225</v>
      </c>
      <c r="BS178" s="178">
        <v>47.273981117712339</v>
      </c>
      <c r="BT178" s="178">
        <v>49.442698194560528</v>
      </c>
      <c r="BU178" s="178">
        <v>68.429273807898227</v>
      </c>
      <c r="BV178" s="178">
        <v>59.387672715512572</v>
      </c>
    </row>
    <row r="179" spans="1:74" x14ac:dyDescent="0.25">
      <c r="A179" s="176">
        <v>42844</v>
      </c>
      <c r="B179" s="177">
        <v>0.62083333333333335</v>
      </c>
      <c r="C179" s="178">
        <v>84.52</v>
      </c>
      <c r="D179" s="178">
        <v>68.349999999999994</v>
      </c>
      <c r="E179" s="178">
        <v>34.03</v>
      </c>
      <c r="F179" s="178">
        <v>78.2</v>
      </c>
      <c r="H179" s="179">
        <v>66.3</v>
      </c>
      <c r="I179" s="178">
        <v>18.2</v>
      </c>
      <c r="J179" s="178">
        <v>2.1</v>
      </c>
      <c r="K179" s="178">
        <v>-32.299999999999997</v>
      </c>
      <c r="L179" s="178">
        <v>11.9</v>
      </c>
      <c r="N179" s="178">
        <v>102.01</v>
      </c>
      <c r="O179" s="178">
        <v>99.51</v>
      </c>
      <c r="P179" s="178">
        <v>93.68</v>
      </c>
      <c r="Q179" s="178">
        <v>100.91</v>
      </c>
      <c r="R179" s="178">
        <v>99.26</v>
      </c>
      <c r="S179" s="178">
        <v>104.48</v>
      </c>
      <c r="U179" s="178">
        <v>42.123384230584044</v>
      </c>
      <c r="V179" s="178">
        <v>43.756531073969043</v>
      </c>
      <c r="W179" s="178">
        <v>46.476853167518904</v>
      </c>
      <c r="X179" s="178">
        <v>45.040634522761593</v>
      </c>
      <c r="Y179" s="178">
        <v>44.329178476241175</v>
      </c>
      <c r="Z179" s="178">
        <v>38.30176170839399</v>
      </c>
      <c r="AA179" s="178">
        <v>47.27409101070598</v>
      </c>
      <c r="AB179" s="178">
        <v>49.442700848982746</v>
      </c>
      <c r="AC179" s="178">
        <v>68.429273808879913</v>
      </c>
      <c r="AD179" s="178">
        <v>59.387698358581773</v>
      </c>
      <c r="BB179" s="175">
        <v>102.01</v>
      </c>
      <c r="BC179" s="175">
        <v>99.51</v>
      </c>
      <c r="BD179" s="175">
        <v>93.68</v>
      </c>
      <c r="BE179" s="175">
        <v>100.91</v>
      </c>
      <c r="BF179" s="175">
        <v>99.26</v>
      </c>
      <c r="BG179" s="175">
        <v>104.48</v>
      </c>
      <c r="BH179" s="175">
        <v>84.52</v>
      </c>
      <c r="BI179" s="175">
        <v>68.349999999999994</v>
      </c>
      <c r="BJ179" s="175">
        <v>34.03</v>
      </c>
      <c r="BK179" s="175">
        <v>78.2</v>
      </c>
      <c r="BM179" s="178">
        <v>42.123384230584044</v>
      </c>
      <c r="BN179" s="178">
        <v>43.756531073969043</v>
      </c>
      <c r="BO179" s="178">
        <v>46.476853167518904</v>
      </c>
      <c r="BP179" s="178">
        <v>45.040634522761593</v>
      </c>
      <c r="BQ179" s="178">
        <v>44.329178476241175</v>
      </c>
      <c r="BR179" s="178">
        <v>38.30176170839399</v>
      </c>
      <c r="BS179" s="178">
        <v>47.27409101070598</v>
      </c>
      <c r="BT179" s="178">
        <v>49.442700848982746</v>
      </c>
      <c r="BU179" s="178">
        <v>68.429273808879913</v>
      </c>
      <c r="BV179" s="178">
        <v>59.387698358581773</v>
      </c>
    </row>
    <row r="180" spans="1:74" x14ac:dyDescent="0.25">
      <c r="A180" s="176">
        <v>42844</v>
      </c>
      <c r="B180" s="177">
        <v>0.62118055555555551</v>
      </c>
      <c r="C180" s="178">
        <v>81.12</v>
      </c>
      <c r="D180" s="178">
        <v>65.48</v>
      </c>
      <c r="E180" s="178">
        <v>33.33</v>
      </c>
      <c r="F180" s="178">
        <v>75.05</v>
      </c>
      <c r="H180" s="179">
        <v>63.7</v>
      </c>
      <c r="I180" s="178">
        <v>17.399999999999999</v>
      </c>
      <c r="J180" s="178">
        <v>1.8</v>
      </c>
      <c r="K180" s="178">
        <v>-30.4</v>
      </c>
      <c r="L180" s="178">
        <v>11.4</v>
      </c>
      <c r="N180" s="178">
        <v>86.16</v>
      </c>
      <c r="O180" s="178">
        <v>89.49</v>
      </c>
      <c r="P180" s="178">
        <v>79.040000000000006</v>
      </c>
      <c r="Q180" s="178">
        <v>97.899999999999991</v>
      </c>
      <c r="R180" s="178">
        <v>95.68</v>
      </c>
      <c r="S180" s="178">
        <v>97.27</v>
      </c>
      <c r="U180" s="178">
        <v>42.123544544050269</v>
      </c>
      <c r="V180" s="178">
        <v>43.756876193870966</v>
      </c>
      <c r="W180" s="178">
        <v>46.476884282533163</v>
      </c>
      <c r="X180" s="178">
        <v>45.043027673223207</v>
      </c>
      <c r="Y180" s="178">
        <v>44.33061386653219</v>
      </c>
      <c r="Z180" s="178">
        <v>38.303831706768086</v>
      </c>
      <c r="AA180" s="178">
        <v>47.274141241495492</v>
      </c>
      <c r="AB180" s="178">
        <v>49.442702219769835</v>
      </c>
      <c r="AC180" s="178">
        <v>68.429273809715454</v>
      </c>
      <c r="AD180" s="178">
        <v>59.387710774247296</v>
      </c>
      <c r="BB180" s="175">
        <v>86.16</v>
      </c>
      <c r="BC180" s="175">
        <v>89.49</v>
      </c>
      <c r="BD180" s="175">
        <v>79.040000000000006</v>
      </c>
      <c r="BE180" s="175">
        <v>97.899999999999991</v>
      </c>
      <c r="BF180" s="175">
        <v>95.68</v>
      </c>
      <c r="BG180" s="175">
        <v>97.27</v>
      </c>
      <c r="BH180" s="175">
        <v>81.12</v>
      </c>
      <c r="BI180" s="175">
        <v>65.48</v>
      </c>
      <c r="BJ180" s="175">
        <v>33.33</v>
      </c>
      <c r="BK180" s="175">
        <v>75.05</v>
      </c>
      <c r="BM180" s="178">
        <v>42.123544544050269</v>
      </c>
      <c r="BN180" s="178">
        <v>43.756876193870966</v>
      </c>
      <c r="BO180" s="178">
        <v>46.476884282533163</v>
      </c>
      <c r="BP180" s="178">
        <v>45.043027673223207</v>
      </c>
      <c r="BQ180" s="178">
        <v>44.33061386653219</v>
      </c>
      <c r="BR180" s="178">
        <v>38.303831706768086</v>
      </c>
      <c r="BS180" s="178">
        <v>47.274141241495492</v>
      </c>
      <c r="BT180" s="178">
        <v>49.442702219769835</v>
      </c>
      <c r="BU180" s="178">
        <v>68.429273809715454</v>
      </c>
      <c r="BV180" s="178">
        <v>59.387710774247296</v>
      </c>
    </row>
    <row r="181" spans="1:74" x14ac:dyDescent="0.25">
      <c r="A181" s="176">
        <v>42844</v>
      </c>
      <c r="B181" s="177">
        <v>0.62152777777777779</v>
      </c>
      <c r="C181" s="178">
        <v>77.540000000000006</v>
      </c>
      <c r="D181" s="178">
        <v>62.75</v>
      </c>
      <c r="E181" s="178">
        <v>33.58</v>
      </c>
      <c r="F181" s="178">
        <v>72.27</v>
      </c>
      <c r="H181" s="179">
        <v>61.5</v>
      </c>
      <c r="I181" s="178">
        <v>16</v>
      </c>
      <c r="J181" s="178">
        <v>1.3</v>
      </c>
      <c r="K181" s="178">
        <v>-27.9</v>
      </c>
      <c r="L181" s="178">
        <v>10.8</v>
      </c>
      <c r="N181" s="178">
        <v>73.3</v>
      </c>
      <c r="O181" s="178">
        <v>75.72</v>
      </c>
      <c r="P181" s="178">
        <v>66.87</v>
      </c>
      <c r="Q181" s="178">
        <v>87.27</v>
      </c>
      <c r="R181" s="178">
        <v>90.23</v>
      </c>
      <c r="S181" s="178">
        <v>77.03</v>
      </c>
      <c r="U181" s="178">
        <v>42.123552841984804</v>
      </c>
      <c r="V181" s="178">
        <v>43.756890680588903</v>
      </c>
      <c r="W181" s="178">
        <v>46.476886170394117</v>
      </c>
      <c r="X181" s="178">
        <v>45.043234673060617</v>
      </c>
      <c r="Y181" s="178">
        <v>44.331023098926259</v>
      </c>
      <c r="Z181" s="178">
        <v>38.303851293861939</v>
      </c>
      <c r="AA181" s="178">
        <v>47.27416326923867</v>
      </c>
      <c r="AB181" s="178">
        <v>49.442702950858425</v>
      </c>
      <c r="AC181" s="178">
        <v>68.429273810600506</v>
      </c>
      <c r="AD181" s="178">
        <v>59.387717320156909</v>
      </c>
      <c r="BB181" s="175">
        <v>73.3</v>
      </c>
      <c r="BC181" s="175">
        <v>75.72</v>
      </c>
      <c r="BD181" s="175">
        <v>66.87</v>
      </c>
      <c r="BE181" s="175">
        <v>87.27</v>
      </c>
      <c r="BF181" s="175">
        <v>90.23</v>
      </c>
      <c r="BG181" s="175">
        <v>77.03</v>
      </c>
      <c r="BH181" s="175">
        <v>77.540000000000006</v>
      </c>
      <c r="BI181" s="175">
        <v>62.75</v>
      </c>
      <c r="BJ181" s="175">
        <v>33.58</v>
      </c>
      <c r="BK181" s="175">
        <v>72.27</v>
      </c>
      <c r="BM181" s="178">
        <v>42.123552841984804</v>
      </c>
      <c r="BN181" s="178">
        <v>43.756890680588903</v>
      </c>
      <c r="BO181" s="178">
        <v>46.476886170394117</v>
      </c>
      <c r="BP181" s="178">
        <v>45.043234673060617</v>
      </c>
      <c r="BQ181" s="178">
        <v>44.331023098926259</v>
      </c>
      <c r="BR181" s="178">
        <v>38.303851293861939</v>
      </c>
      <c r="BS181" s="178">
        <v>47.27416326923867</v>
      </c>
      <c r="BT181" s="178">
        <v>49.442702950858425</v>
      </c>
      <c r="BU181" s="178">
        <v>68.429273810600506</v>
      </c>
      <c r="BV181" s="178">
        <v>59.387717320156909</v>
      </c>
    </row>
    <row r="182" spans="1:74" x14ac:dyDescent="0.25">
      <c r="A182" s="176">
        <v>42844</v>
      </c>
      <c r="B182" s="177">
        <v>0.62187500000000007</v>
      </c>
      <c r="C182" s="178">
        <v>41.93</v>
      </c>
      <c r="D182" s="178">
        <v>60.35</v>
      </c>
      <c r="E182" s="178">
        <v>34.86</v>
      </c>
      <c r="F182" s="178">
        <v>69.78</v>
      </c>
      <c r="H182" s="179">
        <v>51.7</v>
      </c>
      <c r="I182" s="178">
        <v>-9.8000000000000007</v>
      </c>
      <c r="J182" s="178">
        <v>8.6999999999999993</v>
      </c>
      <c r="K182" s="178">
        <v>-16.8</v>
      </c>
      <c r="L182" s="178">
        <v>18.100000000000001</v>
      </c>
      <c r="N182" s="178">
        <v>63.86</v>
      </c>
      <c r="O182" s="178">
        <v>65.430000000000007</v>
      </c>
      <c r="P182" s="178">
        <v>58.33</v>
      </c>
      <c r="Q182" s="178">
        <v>75.009999999999991</v>
      </c>
      <c r="R182" s="178">
        <v>76.61</v>
      </c>
      <c r="S182" s="178">
        <v>69.87</v>
      </c>
      <c r="U182" s="178">
        <v>42.123553785980477</v>
      </c>
      <c r="V182" s="178">
        <v>43.756892035684722</v>
      </c>
      <c r="W182" s="178">
        <v>46.476886434616745</v>
      </c>
      <c r="X182" s="178">
        <v>45.043246974898636</v>
      </c>
      <c r="Y182" s="178">
        <v>44.331040880492189</v>
      </c>
      <c r="Z182" s="178">
        <v>38.303855060639755</v>
      </c>
      <c r="AA182" s="178">
        <v>47.274163275291663</v>
      </c>
      <c r="AB182" s="178">
        <v>49.442703371555993</v>
      </c>
      <c r="AC182" s="178">
        <v>68.429273811788931</v>
      </c>
      <c r="AD182" s="178">
        <v>59.38772100967806</v>
      </c>
      <c r="BB182" s="175">
        <v>63.86</v>
      </c>
      <c r="BC182" s="175">
        <v>65.430000000000007</v>
      </c>
      <c r="BD182" s="175">
        <v>58.33</v>
      </c>
      <c r="BE182" s="175">
        <v>75.009999999999991</v>
      </c>
      <c r="BF182" s="175">
        <v>76.61</v>
      </c>
      <c r="BG182" s="175">
        <v>69.87</v>
      </c>
      <c r="BH182" s="175">
        <v>41.93</v>
      </c>
      <c r="BI182" s="175">
        <v>60.35</v>
      </c>
      <c r="BJ182" s="175">
        <v>34.86</v>
      </c>
      <c r="BK182" s="175">
        <v>69.78</v>
      </c>
      <c r="BM182" s="178">
        <v>42.123553785980477</v>
      </c>
      <c r="BN182" s="178">
        <v>43.756892035684722</v>
      </c>
      <c r="BO182" s="178">
        <v>46.476886434616745</v>
      </c>
      <c r="BP182" s="178">
        <v>45.043246974898636</v>
      </c>
      <c r="BQ182" s="178">
        <v>44.331040880492189</v>
      </c>
      <c r="BR182" s="178">
        <v>38.303855060639755</v>
      </c>
      <c r="BS182" s="178">
        <v>47.274163275291663</v>
      </c>
      <c r="BT182" s="178">
        <v>49.442703371555993</v>
      </c>
      <c r="BU182" s="178">
        <v>68.429273811788931</v>
      </c>
      <c r="BV182" s="178">
        <v>59.38772100967806</v>
      </c>
    </row>
    <row r="183" spans="1:74" x14ac:dyDescent="0.25">
      <c r="A183" s="176">
        <v>42844</v>
      </c>
      <c r="B183" s="177">
        <v>0.62222222222222223</v>
      </c>
      <c r="C183" s="178">
        <v>40.340000000000003</v>
      </c>
      <c r="D183" s="178">
        <v>42.43</v>
      </c>
      <c r="E183" s="178">
        <v>33.909999999999997</v>
      </c>
      <c r="F183" s="178">
        <v>67.53</v>
      </c>
      <c r="H183" s="179">
        <v>46.1</v>
      </c>
      <c r="I183" s="178">
        <v>-5.8</v>
      </c>
      <c r="J183" s="178">
        <v>-3.7</v>
      </c>
      <c r="K183" s="178">
        <v>-12.2</v>
      </c>
      <c r="L183" s="178">
        <v>21.4</v>
      </c>
      <c r="N183" s="178">
        <v>56.71</v>
      </c>
      <c r="O183" s="178">
        <v>54.88</v>
      </c>
      <c r="P183" s="178">
        <v>52.07</v>
      </c>
      <c r="Q183" s="178">
        <v>65.3</v>
      </c>
      <c r="R183" s="178">
        <v>66.489999999999995</v>
      </c>
      <c r="S183" s="178">
        <v>66.02</v>
      </c>
      <c r="U183" s="178">
        <v>42.123553967937994</v>
      </c>
      <c r="V183" s="178">
        <v>43.756892155075285</v>
      </c>
      <c r="W183" s="178">
        <v>46.476886497129698</v>
      </c>
      <c r="X183" s="178">
        <v>45.043248290032629</v>
      </c>
      <c r="Y183" s="178">
        <v>44.33104261018908</v>
      </c>
      <c r="Z183" s="178">
        <v>38.303856612919546</v>
      </c>
      <c r="AA183" s="178">
        <v>47.27416327948896</v>
      </c>
      <c r="AB183" s="178">
        <v>49.442703378347559</v>
      </c>
      <c r="AC183" s="178">
        <v>68.429273812743858</v>
      </c>
      <c r="AD183" s="178">
        <v>59.387723207386138</v>
      </c>
      <c r="BB183" s="175">
        <v>56.71</v>
      </c>
      <c r="BC183" s="175">
        <v>54.88</v>
      </c>
      <c r="BD183" s="175">
        <v>52.07</v>
      </c>
      <c r="BE183" s="175">
        <v>65.3</v>
      </c>
      <c r="BF183" s="175">
        <v>66.489999999999995</v>
      </c>
      <c r="BG183" s="175">
        <v>66.02</v>
      </c>
      <c r="BH183" s="175">
        <v>40.340000000000003</v>
      </c>
      <c r="BI183" s="175">
        <v>42.43</v>
      </c>
      <c r="BJ183" s="175">
        <v>33.909999999999997</v>
      </c>
      <c r="BK183" s="175">
        <v>67.53</v>
      </c>
      <c r="BM183" s="178">
        <v>42.123553967937994</v>
      </c>
      <c r="BN183" s="178">
        <v>43.756892155075285</v>
      </c>
      <c r="BO183" s="178">
        <v>46.476886497129698</v>
      </c>
      <c r="BP183" s="178">
        <v>45.043248290032629</v>
      </c>
      <c r="BQ183" s="178">
        <v>44.33104261018908</v>
      </c>
      <c r="BR183" s="178">
        <v>38.303856612919546</v>
      </c>
      <c r="BS183" s="178">
        <v>47.27416327948896</v>
      </c>
      <c r="BT183" s="178">
        <v>49.442703378347559</v>
      </c>
      <c r="BU183" s="178">
        <v>68.429273812743858</v>
      </c>
      <c r="BV183" s="178">
        <v>59.387723207386138</v>
      </c>
    </row>
    <row r="184" spans="1:74" x14ac:dyDescent="0.25">
      <c r="A184" s="185">
        <v>42844</v>
      </c>
      <c r="B184" s="186">
        <v>0.6225694444444444</v>
      </c>
      <c r="C184" s="187">
        <v>40.24</v>
      </c>
      <c r="D184" s="187">
        <v>39.58</v>
      </c>
      <c r="E184" s="187">
        <v>33.72</v>
      </c>
      <c r="F184" s="187">
        <v>65.52</v>
      </c>
      <c r="H184" s="188">
        <v>44.8</v>
      </c>
      <c r="I184" s="187">
        <v>-4.5999999999999996</v>
      </c>
      <c r="J184" s="187">
        <v>-5.2</v>
      </c>
      <c r="K184" s="187">
        <v>-11.1</v>
      </c>
      <c r="L184" s="187">
        <v>20.7</v>
      </c>
      <c r="N184" s="187">
        <v>47.54</v>
      </c>
      <c r="O184" s="187">
        <v>46.2</v>
      </c>
      <c r="P184" s="187">
        <v>45.66</v>
      </c>
      <c r="Q184" s="187">
        <v>50.989999999999995</v>
      </c>
      <c r="R184" s="187">
        <v>55.28</v>
      </c>
      <c r="S184" s="187">
        <v>56.25</v>
      </c>
      <c r="U184" s="187">
        <v>42.123553989965735</v>
      </c>
      <c r="V184" s="187">
        <v>43.756892171254968</v>
      </c>
      <c r="W184" s="187">
        <v>46.476886511417653</v>
      </c>
      <c r="X184" s="187">
        <v>45.043248338782114</v>
      </c>
      <c r="Y184" s="187">
        <v>44.33104274109823</v>
      </c>
      <c r="Z184" s="187">
        <v>38.303856776589896</v>
      </c>
      <c r="AA184" s="187">
        <v>47.274163283590717</v>
      </c>
      <c r="AB184" s="187">
        <v>49.442703381871027</v>
      </c>
      <c r="AC184" s="187">
        <v>68.429273813657915</v>
      </c>
      <c r="AD184" s="187">
        <v>59.387724590856962</v>
      </c>
      <c r="BB184" s="175">
        <v>47.54</v>
      </c>
      <c r="BC184" s="175">
        <v>46.2</v>
      </c>
      <c r="BD184" s="175">
        <v>45.66</v>
      </c>
      <c r="BE184" s="175">
        <v>50.989999999999995</v>
      </c>
      <c r="BF184" s="175">
        <v>55.28</v>
      </c>
      <c r="BG184" s="175">
        <v>56.25</v>
      </c>
      <c r="BH184" s="175">
        <v>40.24</v>
      </c>
      <c r="BI184" s="175">
        <v>39.58</v>
      </c>
      <c r="BJ184" s="175">
        <v>33.72</v>
      </c>
      <c r="BK184" s="175">
        <v>65.52</v>
      </c>
      <c r="BM184" s="187">
        <v>42.123553989965735</v>
      </c>
      <c r="BN184" s="187">
        <v>43.756892171254968</v>
      </c>
      <c r="BO184" s="187">
        <v>46.476886511417653</v>
      </c>
      <c r="BP184" s="187">
        <v>45.043248338782114</v>
      </c>
      <c r="BQ184" s="187">
        <v>44.33104274109823</v>
      </c>
      <c r="BR184" s="187">
        <v>38.303856776589896</v>
      </c>
      <c r="BS184" s="187">
        <v>47.274163283590717</v>
      </c>
      <c r="BT184" s="187">
        <v>49.442703381871027</v>
      </c>
      <c r="BU184" s="187">
        <v>68.429273813657915</v>
      </c>
      <c r="BV184" s="187">
        <v>59.387724590856962</v>
      </c>
    </row>
  </sheetData>
  <mergeCells count="5">
    <mergeCell ref="C1:Q1"/>
    <mergeCell ref="C2:Q2"/>
    <mergeCell ref="C3:Q3"/>
    <mergeCell ref="I29:L29"/>
    <mergeCell ref="U28:AD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B2BC3-682C-4AC9-8573-1037AF0E66ED}">
  <sheetPr codeName="Hoja9"/>
  <dimension ref="A1:T29"/>
  <sheetViews>
    <sheetView workbookViewId="0"/>
  </sheetViews>
  <sheetFormatPr baseColWidth="10" defaultRowHeight="14.25" x14ac:dyDescent="0.2"/>
  <cols>
    <col min="1" max="1" width="25.7109375" style="123" customWidth="1"/>
    <col min="2" max="2" width="15.7109375" style="123" customWidth="1"/>
    <col min="3" max="18" width="11.42578125" style="123"/>
    <col min="19" max="19" width="15.7109375" style="123" customWidth="1"/>
    <col min="20" max="16384" width="11.42578125" style="123"/>
  </cols>
  <sheetData>
    <row r="1" spans="2:20" x14ac:dyDescent="0.2">
      <c r="C1" s="141" t="s">
        <v>152</v>
      </c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3"/>
      <c r="S1" s="126" t="s">
        <v>151</v>
      </c>
    </row>
    <row r="2" spans="2:20" x14ac:dyDescent="0.2">
      <c r="C2" s="144" t="s">
        <v>142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6"/>
      <c r="S2" s="125" t="s">
        <v>159</v>
      </c>
    </row>
    <row r="3" spans="2:20" x14ac:dyDescent="0.2">
      <c r="C3" s="147" t="s">
        <v>143</v>
      </c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9"/>
      <c r="S3" s="125" t="s">
        <v>160</v>
      </c>
    </row>
    <row r="4" spans="2:20" x14ac:dyDescent="0.2">
      <c r="S4" s="125" t="s">
        <v>147</v>
      </c>
      <c r="T4" s="125">
        <v>2</v>
      </c>
    </row>
    <row r="9" spans="2:20" x14ac:dyDescent="0.2">
      <c r="B9" s="125" t="s">
        <v>148</v>
      </c>
    </row>
    <row r="10" spans="2:20" x14ac:dyDescent="0.2">
      <c r="B10" s="125" t="s">
        <v>103</v>
      </c>
    </row>
    <row r="11" spans="2:20" x14ac:dyDescent="0.2">
      <c r="B11" s="125" t="s">
        <v>149</v>
      </c>
    </row>
    <row r="12" spans="2:20" x14ac:dyDescent="0.2">
      <c r="B12" s="125" t="s">
        <v>150</v>
      </c>
    </row>
    <row r="27" spans="1:2" x14ac:dyDescent="0.2">
      <c r="A27" s="123" t="s">
        <v>145</v>
      </c>
    </row>
    <row r="28" spans="1:2" x14ac:dyDescent="0.2">
      <c r="A28" s="123" t="s">
        <v>144</v>
      </c>
    </row>
    <row r="29" spans="1:2" x14ac:dyDescent="0.2">
      <c r="A29" s="123" t="s">
        <v>146</v>
      </c>
      <c r="B29" s="124" t="s">
        <v>158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0E30-2B91-496F-A032-0F44B0B727D3}">
  <sheetPr codeName="Hoja10"/>
  <dimension ref="A1:CV184"/>
  <sheetViews>
    <sheetView workbookViewId="0">
      <selection activeCell="B16" sqref="B16"/>
    </sheetView>
  </sheetViews>
  <sheetFormatPr baseColWidth="10" defaultRowHeight="14.25" x14ac:dyDescent="0.2"/>
  <cols>
    <col min="1" max="1" width="25.7109375" style="123" customWidth="1"/>
    <col min="2" max="2" width="15.7109375" style="123" customWidth="1"/>
    <col min="3" max="18" width="11.42578125" style="123"/>
    <col min="19" max="19" width="15.7109375" style="123" customWidth="1"/>
    <col min="20" max="16384" width="11.42578125" style="123"/>
  </cols>
  <sheetData>
    <row r="1" spans="1:100" x14ac:dyDescent="0.2">
      <c r="C1" s="141" t="s">
        <v>153</v>
      </c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3"/>
      <c r="S1" s="125" t="s">
        <v>151</v>
      </c>
      <c r="T1" s="128">
        <v>1</v>
      </c>
      <c r="CV1" s="123">
        <v>6</v>
      </c>
    </row>
    <row r="2" spans="1:100" x14ac:dyDescent="0.2">
      <c r="A2" s="123">
        <v>10</v>
      </c>
      <c r="C2" s="144" t="s">
        <v>142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6"/>
      <c r="S2" s="125"/>
      <c r="CV2" s="123">
        <v>0</v>
      </c>
    </row>
    <row r="3" spans="1:100" x14ac:dyDescent="0.2">
      <c r="C3" s="147" t="s">
        <v>143</v>
      </c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9"/>
      <c r="S3" s="125"/>
      <c r="CV3" s="123">
        <v>4</v>
      </c>
    </row>
    <row r="4" spans="1:100" x14ac:dyDescent="0.2">
      <c r="S4" s="125" t="s">
        <v>147</v>
      </c>
      <c r="T4" s="125">
        <v>3</v>
      </c>
      <c r="CV4" s="123">
        <v>0</v>
      </c>
    </row>
    <row r="9" spans="1:100" x14ac:dyDescent="0.2">
      <c r="B9" s="125" t="s">
        <v>148</v>
      </c>
    </row>
    <row r="10" spans="1:100" x14ac:dyDescent="0.2">
      <c r="B10" s="125" t="s">
        <v>103</v>
      </c>
    </row>
    <row r="11" spans="1:100" x14ac:dyDescent="0.2">
      <c r="B11" s="125" t="s">
        <v>149</v>
      </c>
    </row>
    <row r="12" spans="1:100" x14ac:dyDescent="0.2">
      <c r="B12" s="125" t="s">
        <v>150</v>
      </c>
    </row>
    <row r="27" spans="1:63" x14ac:dyDescent="0.2">
      <c r="A27" s="123" t="s">
        <v>145</v>
      </c>
    </row>
    <row r="28" spans="1:63" x14ac:dyDescent="0.2">
      <c r="A28" s="123" t="s">
        <v>144</v>
      </c>
      <c r="C28" s="123" t="s">
        <v>157</v>
      </c>
      <c r="BB28" s="123" t="s">
        <v>154</v>
      </c>
      <c r="BC28" s="123" t="s">
        <v>154</v>
      </c>
      <c r="BD28" s="123" t="s">
        <v>154</v>
      </c>
      <c r="BE28" s="123" t="s">
        <v>154</v>
      </c>
      <c r="BF28" s="123" t="s">
        <v>157</v>
      </c>
      <c r="BG28" s="123" t="s">
        <v>157</v>
      </c>
      <c r="BH28" s="123" t="s">
        <v>157</v>
      </c>
      <c r="BI28" s="123" t="s">
        <v>157</v>
      </c>
      <c r="BJ28" s="123" t="s">
        <v>157</v>
      </c>
      <c r="BK28" s="123" t="s">
        <v>157</v>
      </c>
    </row>
    <row r="29" spans="1:63" ht="15" x14ac:dyDescent="0.25">
      <c r="A29" s="123" t="s">
        <v>146</v>
      </c>
      <c r="B29" s="129"/>
      <c r="C29" s="129">
        <v>5</v>
      </c>
      <c r="BB29" s="129">
        <v>1</v>
      </c>
      <c r="BC29" s="129">
        <v>2</v>
      </c>
      <c r="BD29" s="129">
        <v>3</v>
      </c>
      <c r="BE29" s="129">
        <v>4</v>
      </c>
      <c r="BF29" s="129">
        <v>5</v>
      </c>
      <c r="BG29" s="129">
        <v>6</v>
      </c>
      <c r="BH29" s="129">
        <v>7</v>
      </c>
      <c r="BI29" s="129">
        <v>8</v>
      </c>
      <c r="BJ29" s="129">
        <v>9</v>
      </c>
      <c r="BK29" s="129">
        <v>10</v>
      </c>
    </row>
    <row r="30" spans="1:63" ht="15" x14ac:dyDescent="0.25">
      <c r="A30" s="123" t="s">
        <v>156</v>
      </c>
      <c r="B30" s="129" t="s">
        <v>155</v>
      </c>
      <c r="C30" s="130" t="s">
        <v>67</v>
      </c>
      <c r="BB30" s="130" t="s">
        <v>63</v>
      </c>
      <c r="BC30" s="130" t="s">
        <v>64</v>
      </c>
      <c r="BD30" s="130" t="s">
        <v>65</v>
      </c>
      <c r="BE30" s="130" t="s">
        <v>66</v>
      </c>
      <c r="BF30" s="130" t="s">
        <v>67</v>
      </c>
      <c r="BG30" s="130" t="s">
        <v>70</v>
      </c>
      <c r="BH30" s="130" t="s">
        <v>68</v>
      </c>
      <c r="BI30" s="130" t="s">
        <v>72</v>
      </c>
      <c r="BJ30" s="130" t="s">
        <v>69</v>
      </c>
      <c r="BK30" s="130" t="s">
        <v>71</v>
      </c>
    </row>
    <row r="31" spans="1:63" ht="15" x14ac:dyDescent="0.25">
      <c r="A31" s="127">
        <v>42844</v>
      </c>
      <c r="B31" s="131">
        <v>0.56944444444444442</v>
      </c>
      <c r="C31" s="132">
        <v>26.8</v>
      </c>
      <c r="BB31" s="132">
        <v>29.24</v>
      </c>
      <c r="BC31" s="132">
        <v>26.28</v>
      </c>
      <c r="BD31" s="132">
        <v>25.48</v>
      </c>
      <c r="BE31" s="132">
        <v>24.92</v>
      </c>
      <c r="BF31" s="132">
        <v>26.8</v>
      </c>
      <c r="BG31" s="132">
        <v>29.51</v>
      </c>
      <c r="BH31" s="132">
        <v>28.47</v>
      </c>
      <c r="BI31" s="132">
        <v>25.92</v>
      </c>
      <c r="BJ31" s="132">
        <v>89.74</v>
      </c>
      <c r="BK31" s="132">
        <v>90.25</v>
      </c>
    </row>
    <row r="32" spans="1:63" ht="15" x14ac:dyDescent="0.25">
      <c r="A32" s="127">
        <v>42844</v>
      </c>
      <c r="B32" s="131">
        <v>0.5697916666666667</v>
      </c>
      <c r="C32" s="132">
        <v>26.72</v>
      </c>
      <c r="BB32" s="132">
        <v>29.07</v>
      </c>
      <c r="BC32" s="132">
        <v>26.21</v>
      </c>
      <c r="BD32" s="132">
        <v>25.41</v>
      </c>
      <c r="BE32" s="132">
        <v>24.82</v>
      </c>
      <c r="BF32" s="132">
        <v>26.72</v>
      </c>
      <c r="BG32" s="132">
        <v>29.34</v>
      </c>
      <c r="BH32" s="132">
        <v>28.32</v>
      </c>
      <c r="BI32" s="132">
        <v>25.85</v>
      </c>
      <c r="BJ32" s="132">
        <v>89.69</v>
      </c>
      <c r="BK32" s="132">
        <v>90.2</v>
      </c>
    </row>
    <row r="33" spans="1:63" ht="15" x14ac:dyDescent="0.25">
      <c r="A33" s="127">
        <v>42844</v>
      </c>
      <c r="B33" s="131">
        <v>0.57013888888888886</v>
      </c>
      <c r="C33" s="132">
        <v>26.64</v>
      </c>
      <c r="BB33" s="132">
        <v>28.91</v>
      </c>
      <c r="BC33" s="132">
        <v>26.14</v>
      </c>
      <c r="BD33" s="132">
        <v>25.34</v>
      </c>
      <c r="BE33" s="132">
        <v>24.740000000000002</v>
      </c>
      <c r="BF33" s="132">
        <v>26.64</v>
      </c>
      <c r="BG33" s="132">
        <v>29.17</v>
      </c>
      <c r="BH33" s="132">
        <v>28.18</v>
      </c>
      <c r="BI33" s="132">
        <v>25.79</v>
      </c>
      <c r="BJ33" s="132">
        <v>89.61</v>
      </c>
      <c r="BK33" s="132">
        <v>90.14</v>
      </c>
    </row>
    <row r="34" spans="1:63" ht="15" x14ac:dyDescent="0.25">
      <c r="A34" s="127">
        <v>42844</v>
      </c>
      <c r="B34" s="131">
        <v>0.57048611111111114</v>
      </c>
      <c r="C34" s="132">
        <v>26.56</v>
      </c>
      <c r="BB34" s="132">
        <v>28.76</v>
      </c>
      <c r="BC34" s="132">
        <v>26.07</v>
      </c>
      <c r="BD34" s="132">
        <v>25.28</v>
      </c>
      <c r="BE34" s="132">
        <v>24.66</v>
      </c>
      <c r="BF34" s="132">
        <v>26.56</v>
      </c>
      <c r="BG34" s="132">
        <v>28.99</v>
      </c>
      <c r="BH34" s="132">
        <v>28.06</v>
      </c>
      <c r="BI34" s="132">
        <v>25.73</v>
      </c>
      <c r="BJ34" s="132">
        <v>89.55</v>
      </c>
      <c r="BK34" s="132">
        <v>90.08</v>
      </c>
    </row>
    <row r="35" spans="1:63" ht="15" x14ac:dyDescent="0.25">
      <c r="A35" s="127">
        <v>42844</v>
      </c>
      <c r="B35" s="131">
        <v>0.5708333333333333</v>
      </c>
      <c r="C35" s="132">
        <v>26.48</v>
      </c>
      <c r="BB35" s="132">
        <v>28.61</v>
      </c>
      <c r="BC35" s="132">
        <v>26</v>
      </c>
      <c r="BD35" s="132">
        <v>25.22</v>
      </c>
      <c r="BE35" s="132">
        <v>24.580000000000002</v>
      </c>
      <c r="BF35" s="132">
        <v>26.48</v>
      </c>
      <c r="BG35" s="132">
        <v>28.84</v>
      </c>
      <c r="BH35" s="132">
        <v>27.93</v>
      </c>
      <c r="BI35" s="132">
        <v>25.64</v>
      </c>
      <c r="BJ35" s="132">
        <v>89.49</v>
      </c>
      <c r="BK35" s="132">
        <v>90.02</v>
      </c>
    </row>
    <row r="36" spans="1:63" ht="15" x14ac:dyDescent="0.25">
      <c r="A36" s="127">
        <v>42844</v>
      </c>
      <c r="B36" s="131">
        <v>0.57118055555555558</v>
      </c>
      <c r="C36" s="132">
        <v>26.41</v>
      </c>
      <c r="BB36" s="132">
        <v>28.47</v>
      </c>
      <c r="BC36" s="132">
        <v>25.93</v>
      </c>
      <c r="BD36" s="132">
        <v>25.15</v>
      </c>
      <c r="BE36" s="132">
        <v>24.5</v>
      </c>
      <c r="BF36" s="132">
        <v>26.41</v>
      </c>
      <c r="BG36" s="132">
        <v>28.68</v>
      </c>
      <c r="BH36" s="132">
        <v>27.79</v>
      </c>
      <c r="BI36" s="132">
        <v>25.56</v>
      </c>
      <c r="BJ36" s="132">
        <v>89.39</v>
      </c>
      <c r="BK36" s="132">
        <v>89.96</v>
      </c>
    </row>
    <row r="37" spans="1:63" ht="15" x14ac:dyDescent="0.25">
      <c r="A37" s="127">
        <v>42844</v>
      </c>
      <c r="B37" s="131">
        <v>0.57152777777777775</v>
      </c>
      <c r="C37" s="132">
        <v>26.34</v>
      </c>
      <c r="BB37" s="132">
        <v>28.33</v>
      </c>
      <c r="BC37" s="132">
        <v>25.86</v>
      </c>
      <c r="BD37" s="132">
        <v>25.1</v>
      </c>
      <c r="BE37" s="132">
        <v>24.43</v>
      </c>
      <c r="BF37" s="132">
        <v>26.34</v>
      </c>
      <c r="BG37" s="132">
        <v>28.53</v>
      </c>
      <c r="BH37" s="132">
        <v>27.67</v>
      </c>
      <c r="BI37" s="132">
        <v>25.52</v>
      </c>
      <c r="BJ37" s="132">
        <v>89.32</v>
      </c>
      <c r="BK37" s="132">
        <v>89.9</v>
      </c>
    </row>
    <row r="38" spans="1:63" ht="15" x14ac:dyDescent="0.25">
      <c r="A38" s="127">
        <v>42844</v>
      </c>
      <c r="B38" s="131">
        <v>0.57187500000000002</v>
      </c>
      <c r="C38" s="132">
        <v>26.26</v>
      </c>
      <c r="BB38" s="132">
        <v>28.19</v>
      </c>
      <c r="BC38" s="132">
        <v>25.8</v>
      </c>
      <c r="BD38" s="132">
        <v>25.04</v>
      </c>
      <c r="BE38" s="132">
        <v>24.36</v>
      </c>
      <c r="BF38" s="132">
        <v>26.26</v>
      </c>
      <c r="BG38" s="132">
        <v>28.39</v>
      </c>
      <c r="BH38" s="132">
        <v>27.55</v>
      </c>
      <c r="BI38" s="132">
        <v>25.47</v>
      </c>
      <c r="BJ38" s="132">
        <v>89.27</v>
      </c>
      <c r="BK38" s="132">
        <v>89.84</v>
      </c>
    </row>
    <row r="39" spans="1:63" ht="15" x14ac:dyDescent="0.25">
      <c r="A39" s="127">
        <v>42844</v>
      </c>
      <c r="B39" s="131">
        <v>0.57222222222222219</v>
      </c>
      <c r="C39" s="132">
        <v>26.19</v>
      </c>
      <c r="BB39" s="132">
        <v>28.06</v>
      </c>
      <c r="BC39" s="132">
        <v>25.74</v>
      </c>
      <c r="BD39" s="132">
        <v>24.98</v>
      </c>
      <c r="BE39" s="132">
        <v>24.29</v>
      </c>
      <c r="BF39" s="132">
        <v>26.19</v>
      </c>
      <c r="BG39" s="132">
        <v>28.24</v>
      </c>
      <c r="BH39" s="132">
        <v>27.42</v>
      </c>
      <c r="BI39" s="132">
        <v>25.39</v>
      </c>
      <c r="BJ39" s="132">
        <v>89.18</v>
      </c>
      <c r="BK39" s="132">
        <v>89.78</v>
      </c>
    </row>
    <row r="40" spans="1:63" ht="15" x14ac:dyDescent="0.25">
      <c r="A40" s="127">
        <v>42844</v>
      </c>
      <c r="B40" s="131">
        <v>0.57256944444444446</v>
      </c>
      <c r="C40" s="132">
        <v>26.12</v>
      </c>
      <c r="BB40" s="132">
        <v>27.93</v>
      </c>
      <c r="BC40" s="132">
        <v>25.67</v>
      </c>
      <c r="BD40" s="132">
        <v>24.93</v>
      </c>
      <c r="BE40" s="132">
        <v>24.21</v>
      </c>
      <c r="BF40" s="132">
        <v>26.12</v>
      </c>
      <c r="BG40" s="132">
        <v>28.11</v>
      </c>
      <c r="BH40" s="132">
        <v>27.31</v>
      </c>
      <c r="BI40" s="132">
        <v>25.35</v>
      </c>
      <c r="BJ40" s="132">
        <v>89.07</v>
      </c>
      <c r="BK40" s="132">
        <v>89.71</v>
      </c>
    </row>
    <row r="41" spans="1:63" ht="15" x14ac:dyDescent="0.25">
      <c r="A41" s="127">
        <v>42844</v>
      </c>
      <c r="B41" s="131">
        <v>0.57291666666666663</v>
      </c>
      <c r="C41" s="132">
        <v>26.06</v>
      </c>
      <c r="BB41" s="132">
        <v>27.8</v>
      </c>
      <c r="BC41" s="132">
        <v>25.62</v>
      </c>
      <c r="BD41" s="132">
        <v>24.88</v>
      </c>
      <c r="BE41" s="132">
        <v>24.14</v>
      </c>
      <c r="BF41" s="132">
        <v>26.06</v>
      </c>
      <c r="BG41" s="132">
        <v>27.97</v>
      </c>
      <c r="BH41" s="132">
        <v>27.19</v>
      </c>
      <c r="BI41" s="132">
        <v>25.29</v>
      </c>
      <c r="BJ41" s="132">
        <v>89</v>
      </c>
      <c r="BK41" s="132">
        <v>89.65</v>
      </c>
    </row>
    <row r="42" spans="1:63" ht="15" x14ac:dyDescent="0.25">
      <c r="A42" s="127">
        <v>42844</v>
      </c>
      <c r="B42" s="131">
        <v>0.57326388888888891</v>
      </c>
      <c r="C42" s="132">
        <v>25.99</v>
      </c>
      <c r="BB42" s="132">
        <v>27.68</v>
      </c>
      <c r="BC42" s="132">
        <v>25.56</v>
      </c>
      <c r="BD42" s="132">
        <v>24.83</v>
      </c>
      <c r="BE42" s="132">
        <v>24.080000000000002</v>
      </c>
      <c r="BF42" s="132">
        <v>25.99</v>
      </c>
      <c r="BG42" s="132">
        <v>27.84</v>
      </c>
      <c r="BH42" s="132">
        <v>27.08</v>
      </c>
      <c r="BI42" s="132">
        <v>25.19</v>
      </c>
      <c r="BJ42" s="132">
        <v>88.91</v>
      </c>
      <c r="BK42" s="132">
        <v>89.59</v>
      </c>
    </row>
    <row r="43" spans="1:63" ht="15" x14ac:dyDescent="0.25">
      <c r="A43" s="127">
        <v>42844</v>
      </c>
      <c r="B43" s="131">
        <v>0.57361111111111118</v>
      </c>
      <c r="C43" s="132">
        <v>25.93</v>
      </c>
      <c r="BB43" s="132">
        <v>27.55</v>
      </c>
      <c r="BC43" s="132">
        <v>25.5</v>
      </c>
      <c r="BD43" s="132">
        <v>24.78</v>
      </c>
      <c r="BE43" s="132">
        <v>24.02</v>
      </c>
      <c r="BF43" s="132">
        <v>25.93</v>
      </c>
      <c r="BG43" s="132">
        <v>27.72</v>
      </c>
      <c r="BH43" s="132">
        <v>26.97</v>
      </c>
      <c r="BI43" s="132">
        <v>25.18</v>
      </c>
      <c r="BJ43" s="132">
        <v>88.81</v>
      </c>
      <c r="BK43" s="132">
        <v>89.52</v>
      </c>
    </row>
    <row r="44" spans="1:63" ht="15" x14ac:dyDescent="0.25">
      <c r="A44" s="127">
        <v>42844</v>
      </c>
      <c r="B44" s="131">
        <v>0.57395833333333335</v>
      </c>
      <c r="C44" s="132">
        <v>25.87</v>
      </c>
      <c r="BB44" s="132">
        <v>27.43</v>
      </c>
      <c r="BC44" s="132">
        <v>25.44</v>
      </c>
      <c r="BD44" s="132">
        <v>24.73</v>
      </c>
      <c r="BE44" s="132">
        <v>23.95</v>
      </c>
      <c r="BF44" s="132">
        <v>25.87</v>
      </c>
      <c r="BG44" s="132">
        <v>27.5</v>
      </c>
      <c r="BH44" s="132">
        <v>26.87</v>
      </c>
      <c r="BI44" s="132">
        <v>25.14</v>
      </c>
      <c r="BJ44" s="132">
        <v>51.44</v>
      </c>
      <c r="BK44" s="132">
        <v>89.23</v>
      </c>
    </row>
    <row r="45" spans="1:63" ht="15" x14ac:dyDescent="0.25">
      <c r="A45" s="127">
        <v>42844</v>
      </c>
      <c r="B45" s="131">
        <v>0.57430555555555551</v>
      </c>
      <c r="C45" s="132">
        <v>25.81</v>
      </c>
      <c r="BB45" s="132">
        <v>27.31</v>
      </c>
      <c r="BC45" s="132">
        <v>25.89</v>
      </c>
      <c r="BD45" s="132">
        <v>24.69</v>
      </c>
      <c r="BE45" s="132">
        <v>23.89</v>
      </c>
      <c r="BF45" s="132">
        <v>25.81</v>
      </c>
      <c r="BG45" s="132">
        <v>27.53</v>
      </c>
      <c r="BH45" s="132">
        <v>26.68</v>
      </c>
      <c r="BI45" s="132">
        <v>25</v>
      </c>
      <c r="BJ45" s="132">
        <v>40.24</v>
      </c>
      <c r="BK45" s="132">
        <v>88.07</v>
      </c>
    </row>
    <row r="46" spans="1:63" ht="15" x14ac:dyDescent="0.25">
      <c r="A46" s="127">
        <v>42844</v>
      </c>
      <c r="B46" s="131">
        <v>0.57465277777777779</v>
      </c>
      <c r="C46" s="132">
        <v>26.08</v>
      </c>
      <c r="BB46" s="132">
        <v>27.45</v>
      </c>
      <c r="BC46" s="132">
        <v>27.13</v>
      </c>
      <c r="BD46" s="132">
        <v>24.92</v>
      </c>
      <c r="BE46" s="132">
        <v>24.150000000000002</v>
      </c>
      <c r="BF46" s="132">
        <v>26.08</v>
      </c>
      <c r="BG46" s="132">
        <v>27.72</v>
      </c>
      <c r="BH46" s="132">
        <v>26.91</v>
      </c>
      <c r="BI46" s="132">
        <v>25.09</v>
      </c>
      <c r="BJ46" s="132">
        <v>38.909999999999997</v>
      </c>
      <c r="BK46" s="132">
        <v>86.8</v>
      </c>
    </row>
    <row r="47" spans="1:63" ht="15" x14ac:dyDescent="0.25">
      <c r="A47" s="127">
        <v>42844</v>
      </c>
      <c r="B47" s="131">
        <v>0.57500000000000007</v>
      </c>
      <c r="C47" s="132">
        <v>26.74</v>
      </c>
      <c r="BB47" s="132">
        <v>27.85</v>
      </c>
      <c r="BC47" s="132">
        <v>28.58</v>
      </c>
      <c r="BD47" s="132">
        <v>25.48</v>
      </c>
      <c r="BE47" s="132">
        <v>24.89</v>
      </c>
      <c r="BF47" s="132">
        <v>26.74</v>
      </c>
      <c r="BG47" s="132">
        <v>27.99</v>
      </c>
      <c r="BH47" s="132">
        <v>27.63</v>
      </c>
      <c r="BI47" s="132">
        <v>25.56</v>
      </c>
      <c r="BJ47" s="132">
        <v>39.44</v>
      </c>
      <c r="BK47" s="132">
        <v>85.48</v>
      </c>
    </row>
    <row r="48" spans="1:63" ht="15" x14ac:dyDescent="0.25">
      <c r="A48" s="127">
        <v>42844</v>
      </c>
      <c r="B48" s="131">
        <v>0.57534722222222223</v>
      </c>
      <c r="C48" s="132">
        <v>27.56</v>
      </c>
      <c r="BB48" s="132">
        <v>28.76</v>
      </c>
      <c r="BC48" s="132">
        <v>29.54</v>
      </c>
      <c r="BD48" s="132">
        <v>26.18</v>
      </c>
      <c r="BE48" s="132">
        <v>25.810000000000002</v>
      </c>
      <c r="BF48" s="132">
        <v>27.56</v>
      </c>
      <c r="BG48" s="132">
        <v>28.35</v>
      </c>
      <c r="BH48" s="132">
        <v>28.43</v>
      </c>
      <c r="BI48" s="132">
        <v>26.17</v>
      </c>
      <c r="BJ48" s="132">
        <v>39.159999999999997</v>
      </c>
      <c r="BK48" s="132">
        <v>84.13</v>
      </c>
    </row>
    <row r="49" spans="1:63" ht="15" x14ac:dyDescent="0.25">
      <c r="A49" s="127">
        <v>42844</v>
      </c>
      <c r="B49" s="131">
        <v>0.5756944444444444</v>
      </c>
      <c r="C49" s="132">
        <v>28.46</v>
      </c>
      <c r="BB49" s="132">
        <v>30.09</v>
      </c>
      <c r="BC49" s="132">
        <v>30.28</v>
      </c>
      <c r="BD49" s="132">
        <v>27.04</v>
      </c>
      <c r="BE49" s="132">
        <v>26.77</v>
      </c>
      <c r="BF49" s="132">
        <v>28.46</v>
      </c>
      <c r="BG49" s="132">
        <v>28.82</v>
      </c>
      <c r="BH49" s="132">
        <v>29.35</v>
      </c>
      <c r="BI49" s="132">
        <v>26.92</v>
      </c>
      <c r="BJ49" s="132">
        <v>38.49</v>
      </c>
      <c r="BK49" s="132">
        <v>82.81</v>
      </c>
    </row>
    <row r="50" spans="1:63" ht="15" x14ac:dyDescent="0.25">
      <c r="A50" s="127">
        <v>42844</v>
      </c>
      <c r="B50" s="131">
        <v>0.57604166666666667</v>
      </c>
      <c r="C50" s="132">
        <v>29.41</v>
      </c>
      <c r="BB50" s="132">
        <v>31.64</v>
      </c>
      <c r="BC50" s="132">
        <v>31.18</v>
      </c>
      <c r="BD50" s="132">
        <v>27.9</v>
      </c>
      <c r="BE50" s="132">
        <v>27.76</v>
      </c>
      <c r="BF50" s="132">
        <v>29.41</v>
      </c>
      <c r="BG50" s="132">
        <v>29.43</v>
      </c>
      <c r="BH50" s="132">
        <v>30.37</v>
      </c>
      <c r="BI50" s="132">
        <v>27.72</v>
      </c>
      <c r="BJ50" s="132">
        <v>39.42</v>
      </c>
      <c r="BK50" s="132">
        <v>81.53</v>
      </c>
    </row>
    <row r="51" spans="1:63" ht="15" x14ac:dyDescent="0.25">
      <c r="A51" s="127">
        <v>42844</v>
      </c>
      <c r="B51" s="131">
        <v>0.57638888888888895</v>
      </c>
      <c r="C51" s="132">
        <v>30.4</v>
      </c>
      <c r="BB51" s="132">
        <v>34.869999999999997</v>
      </c>
      <c r="BC51" s="132">
        <v>32.17</v>
      </c>
      <c r="BD51" s="132">
        <v>28.78</v>
      </c>
      <c r="BE51" s="132">
        <v>28.75</v>
      </c>
      <c r="BF51" s="132">
        <v>30.4</v>
      </c>
      <c r="BG51" s="132">
        <v>30.09</v>
      </c>
      <c r="BH51" s="132">
        <v>31.43</v>
      </c>
      <c r="BI51" s="132">
        <v>28.51</v>
      </c>
      <c r="BJ51" s="132">
        <v>39.26</v>
      </c>
      <c r="BK51" s="132">
        <v>80.27</v>
      </c>
    </row>
    <row r="52" spans="1:63" ht="15" x14ac:dyDescent="0.25">
      <c r="A52" s="127">
        <v>42844</v>
      </c>
      <c r="B52" s="131">
        <v>0.57673611111111112</v>
      </c>
      <c r="C52" s="132">
        <v>31.46</v>
      </c>
      <c r="BB52" s="132">
        <v>36.549999999999997</v>
      </c>
      <c r="BC52" s="132">
        <v>33.11</v>
      </c>
      <c r="BD52" s="132">
        <v>29.7</v>
      </c>
      <c r="BE52" s="132">
        <v>29.740000000000002</v>
      </c>
      <c r="BF52" s="132">
        <v>31.46</v>
      </c>
      <c r="BG52" s="132">
        <v>30.82</v>
      </c>
      <c r="BH52" s="132">
        <v>32.53</v>
      </c>
      <c r="BI52" s="132">
        <v>29.32</v>
      </c>
      <c r="BJ52" s="132">
        <v>41.13</v>
      </c>
      <c r="BK52" s="132">
        <v>79.09</v>
      </c>
    </row>
    <row r="53" spans="1:63" ht="15" x14ac:dyDescent="0.25">
      <c r="A53" s="127">
        <v>42844</v>
      </c>
      <c r="B53" s="131">
        <v>0.57708333333333328</v>
      </c>
      <c r="C53" s="132">
        <v>32.54</v>
      </c>
      <c r="BB53" s="132">
        <v>38.130000000000003</v>
      </c>
      <c r="BC53" s="132">
        <v>34.07</v>
      </c>
      <c r="BD53" s="132">
        <v>30.65</v>
      </c>
      <c r="BE53" s="132">
        <v>30.720000000000002</v>
      </c>
      <c r="BF53" s="132">
        <v>32.54</v>
      </c>
      <c r="BG53" s="132">
        <v>31.7</v>
      </c>
      <c r="BH53" s="132">
        <v>33.659999999999997</v>
      </c>
      <c r="BI53" s="132">
        <v>30.19</v>
      </c>
      <c r="BJ53" s="132">
        <v>41.97</v>
      </c>
      <c r="BK53" s="132">
        <v>77.989999999999995</v>
      </c>
    </row>
    <row r="54" spans="1:63" ht="15" x14ac:dyDescent="0.25">
      <c r="A54" s="127">
        <v>42844</v>
      </c>
      <c r="B54" s="131">
        <v>0.57743055555555556</v>
      </c>
      <c r="C54" s="132">
        <v>33.64</v>
      </c>
      <c r="BB54" s="132">
        <v>39.15</v>
      </c>
      <c r="BC54" s="132">
        <v>34.97</v>
      </c>
      <c r="BD54" s="132">
        <v>31.63</v>
      </c>
      <c r="BE54" s="132">
        <v>31.720000000000002</v>
      </c>
      <c r="BF54" s="132">
        <v>33.64</v>
      </c>
      <c r="BG54" s="132">
        <v>32.44</v>
      </c>
      <c r="BH54" s="132">
        <v>34.79</v>
      </c>
      <c r="BI54" s="132">
        <v>31.08</v>
      </c>
      <c r="BJ54" s="132">
        <v>42.43</v>
      </c>
      <c r="BK54" s="132">
        <v>76.97</v>
      </c>
    </row>
    <row r="55" spans="1:63" ht="15" x14ac:dyDescent="0.25">
      <c r="A55" s="127">
        <v>42844</v>
      </c>
      <c r="B55" s="131">
        <v>0.57777777777777783</v>
      </c>
      <c r="C55" s="132">
        <v>34.74</v>
      </c>
      <c r="BB55" s="132">
        <v>39.590000000000003</v>
      </c>
      <c r="BC55" s="132">
        <v>35.82</v>
      </c>
      <c r="BD55" s="132">
        <v>32.619999999999997</v>
      </c>
      <c r="BE55" s="132">
        <v>32.729999999999997</v>
      </c>
      <c r="BF55" s="132">
        <v>34.74</v>
      </c>
      <c r="BG55" s="132">
        <v>33.36</v>
      </c>
      <c r="BH55" s="132">
        <v>36.119999999999997</v>
      </c>
      <c r="BI55" s="132">
        <v>31.99</v>
      </c>
      <c r="BJ55" s="132">
        <v>54.15</v>
      </c>
      <c r="BK55" s="132">
        <v>76.11</v>
      </c>
    </row>
    <row r="56" spans="1:63" ht="15" x14ac:dyDescent="0.25">
      <c r="A56" s="127">
        <v>42844</v>
      </c>
      <c r="B56" s="131">
        <v>0.578125</v>
      </c>
      <c r="C56" s="132">
        <v>35.96</v>
      </c>
      <c r="BB56" s="132">
        <v>40.17</v>
      </c>
      <c r="BC56" s="132">
        <v>37.01</v>
      </c>
      <c r="BD56" s="132">
        <v>33.72</v>
      </c>
      <c r="BE56" s="132">
        <v>33.909999999999997</v>
      </c>
      <c r="BF56" s="132">
        <v>35.96</v>
      </c>
      <c r="BG56" s="132">
        <v>34.78</v>
      </c>
      <c r="BH56" s="132">
        <v>39.24</v>
      </c>
      <c r="BI56" s="132">
        <v>33.39</v>
      </c>
      <c r="BJ56" s="132">
        <v>75.25</v>
      </c>
      <c r="BK56" s="132">
        <v>75.03</v>
      </c>
    </row>
    <row r="57" spans="1:63" ht="15" x14ac:dyDescent="0.25">
      <c r="A57" s="127">
        <v>42844</v>
      </c>
      <c r="B57" s="131">
        <v>0.57847222222222217</v>
      </c>
      <c r="C57" s="132">
        <v>38.479999999999997</v>
      </c>
      <c r="BB57" s="132">
        <v>42.87</v>
      </c>
      <c r="BC57" s="132">
        <v>40.26</v>
      </c>
      <c r="BD57" s="132">
        <v>36.03</v>
      </c>
      <c r="BE57" s="132">
        <v>36.199999999999996</v>
      </c>
      <c r="BF57" s="132">
        <v>38.479999999999997</v>
      </c>
      <c r="BG57" s="132">
        <v>41.2</v>
      </c>
      <c r="BH57" s="132">
        <v>56.02</v>
      </c>
      <c r="BI57" s="132">
        <v>39.950000000000003</v>
      </c>
      <c r="BJ57" s="132">
        <v>92.07</v>
      </c>
      <c r="BK57" s="132">
        <v>77.42</v>
      </c>
    </row>
    <row r="58" spans="1:63" ht="15" x14ac:dyDescent="0.25">
      <c r="A58" s="127">
        <v>42844</v>
      </c>
      <c r="B58" s="131">
        <v>0.57881944444444444</v>
      </c>
      <c r="C58" s="132">
        <v>43.38</v>
      </c>
      <c r="BB58" s="132">
        <v>48.6</v>
      </c>
      <c r="BC58" s="132">
        <v>44.57</v>
      </c>
      <c r="BD58" s="132">
        <v>40.619999999999997</v>
      </c>
      <c r="BE58" s="132">
        <v>40.879999999999995</v>
      </c>
      <c r="BF58" s="132">
        <v>43.38</v>
      </c>
      <c r="BG58" s="132">
        <v>51.2</v>
      </c>
      <c r="BH58" s="132">
        <v>74.14</v>
      </c>
      <c r="BI58" s="132">
        <v>53.93</v>
      </c>
      <c r="BJ58" s="132">
        <v>99.07</v>
      </c>
      <c r="BK58" s="132">
        <v>83.15</v>
      </c>
    </row>
    <row r="59" spans="1:63" ht="15" x14ac:dyDescent="0.25">
      <c r="A59" s="127">
        <v>42844</v>
      </c>
      <c r="B59" s="131">
        <v>0.57916666666666672</v>
      </c>
      <c r="C59" s="132">
        <v>49.49</v>
      </c>
      <c r="BB59" s="132">
        <v>56.36</v>
      </c>
      <c r="BC59" s="132">
        <v>49.29</v>
      </c>
      <c r="BD59" s="132">
        <v>47.31</v>
      </c>
      <c r="BE59" s="132">
        <v>46.849999999999994</v>
      </c>
      <c r="BF59" s="132">
        <v>49.49</v>
      </c>
      <c r="BG59" s="132">
        <v>60.17</v>
      </c>
      <c r="BH59" s="132">
        <v>83.49</v>
      </c>
      <c r="BI59" s="132">
        <v>65.53</v>
      </c>
      <c r="BJ59" s="132">
        <v>104.69</v>
      </c>
      <c r="BK59" s="132">
        <v>88.8</v>
      </c>
    </row>
    <row r="60" spans="1:63" ht="15" x14ac:dyDescent="0.25">
      <c r="A60" s="127">
        <v>42844</v>
      </c>
      <c r="B60" s="131">
        <v>0.57951388888888888</v>
      </c>
      <c r="C60" s="132">
        <v>56.08</v>
      </c>
      <c r="BB60" s="132">
        <v>62.23</v>
      </c>
      <c r="BC60" s="132">
        <v>55.38</v>
      </c>
      <c r="BD60" s="132">
        <v>54.82</v>
      </c>
      <c r="BE60" s="132">
        <v>53.26</v>
      </c>
      <c r="BF60" s="132">
        <v>56.08</v>
      </c>
      <c r="BG60" s="132">
        <v>67.48</v>
      </c>
      <c r="BH60" s="132">
        <v>90.66</v>
      </c>
      <c r="BI60" s="132">
        <v>75.84</v>
      </c>
      <c r="BJ60" s="132">
        <v>108.61</v>
      </c>
      <c r="BK60" s="132">
        <v>93.94</v>
      </c>
    </row>
    <row r="61" spans="1:63" ht="15" x14ac:dyDescent="0.25">
      <c r="A61" s="127">
        <v>42844</v>
      </c>
      <c r="B61" s="131">
        <v>0.57986111111111105</v>
      </c>
      <c r="C61" s="132">
        <v>62.69</v>
      </c>
      <c r="BB61" s="132">
        <v>66.64</v>
      </c>
      <c r="BC61" s="132">
        <v>62.32</v>
      </c>
      <c r="BD61" s="132">
        <v>62.08</v>
      </c>
      <c r="BE61" s="132">
        <v>59.849999999999994</v>
      </c>
      <c r="BF61" s="132">
        <v>62.69</v>
      </c>
      <c r="BG61" s="132">
        <v>73.56</v>
      </c>
      <c r="BH61" s="132">
        <v>96.1</v>
      </c>
      <c r="BI61" s="132">
        <v>85.28</v>
      </c>
      <c r="BJ61" s="132">
        <v>111.96</v>
      </c>
      <c r="BK61" s="132">
        <v>98.45</v>
      </c>
    </row>
    <row r="62" spans="1:63" ht="15" x14ac:dyDescent="0.25">
      <c r="A62" s="127">
        <v>42844</v>
      </c>
      <c r="B62" s="131">
        <v>0.58020833333333333</v>
      </c>
      <c r="C62" s="132">
        <v>69.099999999999994</v>
      </c>
      <c r="BB62" s="132">
        <v>70.069999999999993</v>
      </c>
      <c r="BC62" s="132">
        <v>69.17</v>
      </c>
      <c r="BD62" s="132">
        <v>69.09</v>
      </c>
      <c r="BE62" s="132">
        <v>66.19</v>
      </c>
      <c r="BF62" s="132">
        <v>69.099999999999994</v>
      </c>
      <c r="BG62" s="132">
        <v>78.36</v>
      </c>
      <c r="BH62" s="132">
        <v>99.56</v>
      </c>
      <c r="BI62" s="132">
        <v>92.23</v>
      </c>
      <c r="BJ62" s="132">
        <v>114.37</v>
      </c>
      <c r="BK62" s="132">
        <v>102.3</v>
      </c>
    </row>
    <row r="63" spans="1:63" ht="15" x14ac:dyDescent="0.25">
      <c r="A63" s="127">
        <v>42844</v>
      </c>
      <c r="B63" s="131">
        <v>0.5805555555555556</v>
      </c>
      <c r="C63" s="132">
        <v>74.989999999999995</v>
      </c>
      <c r="BB63" s="132">
        <v>73.25</v>
      </c>
      <c r="BC63" s="132">
        <v>75.680000000000007</v>
      </c>
      <c r="BD63" s="132">
        <v>75.8</v>
      </c>
      <c r="BE63" s="132">
        <v>72.149999999999991</v>
      </c>
      <c r="BF63" s="132">
        <v>74.989999999999995</v>
      </c>
      <c r="BG63" s="132">
        <v>82.4</v>
      </c>
      <c r="BH63" s="132">
        <v>102.39</v>
      </c>
      <c r="BI63" s="132">
        <v>92.23</v>
      </c>
      <c r="BJ63" s="132">
        <v>116.47</v>
      </c>
      <c r="BK63" s="132">
        <v>105.63</v>
      </c>
    </row>
    <row r="64" spans="1:63" ht="15" x14ac:dyDescent="0.25">
      <c r="A64" s="127">
        <v>42844</v>
      </c>
      <c r="B64" s="131">
        <v>0.58090277777777777</v>
      </c>
      <c r="C64" s="132">
        <v>80.209999999999994</v>
      </c>
      <c r="BB64" s="132">
        <v>76.62</v>
      </c>
      <c r="BC64" s="132">
        <v>81.680000000000007</v>
      </c>
      <c r="BD64" s="132">
        <v>81.88</v>
      </c>
      <c r="BE64" s="132">
        <v>77.709999999999994</v>
      </c>
      <c r="BF64" s="132">
        <v>80.209999999999994</v>
      </c>
      <c r="BG64" s="132">
        <v>85.92</v>
      </c>
      <c r="BH64" s="132">
        <v>104.74</v>
      </c>
      <c r="BI64" s="132">
        <v>103.99</v>
      </c>
      <c r="BJ64" s="132">
        <v>118.24</v>
      </c>
      <c r="BK64" s="132">
        <v>108.51</v>
      </c>
    </row>
    <row r="65" spans="1:63" ht="15" x14ac:dyDescent="0.25">
      <c r="A65" s="127">
        <v>42844</v>
      </c>
      <c r="B65" s="131">
        <v>0.58124999999999993</v>
      </c>
      <c r="C65" s="132">
        <v>85.06</v>
      </c>
      <c r="BB65" s="132">
        <v>80.52</v>
      </c>
      <c r="BC65" s="132">
        <v>87.09</v>
      </c>
      <c r="BD65" s="132">
        <v>87.42</v>
      </c>
      <c r="BE65" s="132">
        <v>82.57</v>
      </c>
      <c r="BF65" s="132">
        <v>85.06</v>
      </c>
      <c r="BG65" s="132">
        <v>89.1</v>
      </c>
      <c r="BH65" s="132">
        <v>106.88</v>
      </c>
      <c r="BI65" s="132">
        <v>107.99</v>
      </c>
      <c r="BJ65" s="132">
        <v>119.86</v>
      </c>
      <c r="BK65" s="132">
        <v>111.04</v>
      </c>
    </row>
    <row r="66" spans="1:63" ht="15" x14ac:dyDescent="0.25">
      <c r="A66" s="127">
        <v>42844</v>
      </c>
      <c r="B66" s="131">
        <v>0.58159722222222221</v>
      </c>
      <c r="C66" s="132">
        <v>89.47</v>
      </c>
      <c r="BB66" s="132">
        <v>84.87</v>
      </c>
      <c r="BC66" s="132">
        <v>91.96</v>
      </c>
      <c r="BD66" s="132">
        <v>92.45</v>
      </c>
      <c r="BE66" s="132">
        <v>87.09</v>
      </c>
      <c r="BF66" s="132">
        <v>89.47</v>
      </c>
      <c r="BG66" s="132">
        <v>92.14</v>
      </c>
      <c r="BH66" s="132">
        <v>109.06</v>
      </c>
      <c r="BI66" s="132">
        <v>111.24</v>
      </c>
      <c r="BJ66" s="132">
        <v>123.67</v>
      </c>
      <c r="BK66" s="132">
        <v>113.35</v>
      </c>
    </row>
    <row r="67" spans="1:63" ht="15" x14ac:dyDescent="0.25">
      <c r="A67" s="127">
        <v>42844</v>
      </c>
      <c r="B67" s="131">
        <v>0.58194444444444449</v>
      </c>
      <c r="C67" s="132">
        <v>92.64</v>
      </c>
      <c r="BB67" s="132">
        <v>89.53</v>
      </c>
      <c r="BC67" s="132">
        <v>96.29</v>
      </c>
      <c r="BD67" s="132">
        <v>96.83</v>
      </c>
      <c r="BE67" s="132">
        <v>91.53</v>
      </c>
      <c r="BF67" s="132">
        <v>92.64</v>
      </c>
      <c r="BG67" s="132">
        <v>95.12</v>
      </c>
      <c r="BH67" s="132">
        <v>111.25</v>
      </c>
      <c r="BI67" s="132">
        <v>113.89</v>
      </c>
      <c r="BJ67" s="132">
        <v>124.92</v>
      </c>
      <c r="BK67" s="132">
        <v>115.48</v>
      </c>
    </row>
    <row r="68" spans="1:63" ht="15" x14ac:dyDescent="0.25">
      <c r="A68" s="127">
        <v>42844</v>
      </c>
      <c r="B68" s="131">
        <v>0.58229166666666665</v>
      </c>
      <c r="C68" s="132">
        <v>94.75</v>
      </c>
      <c r="BB68" s="132">
        <v>93.83</v>
      </c>
      <c r="BC68" s="132">
        <v>100.03</v>
      </c>
      <c r="BD68" s="132">
        <v>100.52</v>
      </c>
      <c r="BE68" s="132">
        <v>95.25</v>
      </c>
      <c r="BF68" s="132">
        <v>94.75</v>
      </c>
      <c r="BG68" s="132">
        <v>98.05</v>
      </c>
      <c r="BH68" s="132">
        <v>113.41</v>
      </c>
      <c r="BI68" s="132">
        <v>116.12</v>
      </c>
      <c r="BJ68" s="132">
        <v>126.95</v>
      </c>
      <c r="BK68" s="132">
        <v>117.42</v>
      </c>
    </row>
    <row r="69" spans="1:63" ht="15" x14ac:dyDescent="0.25">
      <c r="A69" s="127">
        <v>42844</v>
      </c>
      <c r="B69" s="131">
        <v>0.58263888888888882</v>
      </c>
      <c r="C69" s="132">
        <v>97.92</v>
      </c>
      <c r="BB69" s="132">
        <v>97.55</v>
      </c>
      <c r="BC69" s="132">
        <v>103.12</v>
      </c>
      <c r="BD69" s="132">
        <v>103.44</v>
      </c>
      <c r="BE69" s="132">
        <v>97.22</v>
      </c>
      <c r="BF69" s="132">
        <v>97.92</v>
      </c>
      <c r="BG69" s="132">
        <v>100.46</v>
      </c>
      <c r="BH69" s="132">
        <v>114.4</v>
      </c>
      <c r="BI69" s="132">
        <v>117.47</v>
      </c>
      <c r="BJ69" s="132">
        <v>121.58</v>
      </c>
      <c r="BK69" s="132">
        <v>118.92</v>
      </c>
    </row>
    <row r="70" spans="1:63" ht="15" x14ac:dyDescent="0.25">
      <c r="A70" s="127">
        <v>42844</v>
      </c>
      <c r="B70" s="131">
        <v>0.58298611111111109</v>
      </c>
      <c r="C70" s="132">
        <v>100.67</v>
      </c>
      <c r="BB70" s="132">
        <v>100.51</v>
      </c>
      <c r="BC70" s="132">
        <v>105.29</v>
      </c>
      <c r="BD70" s="132">
        <v>105.5</v>
      </c>
      <c r="BE70" s="132">
        <v>99.789999999999992</v>
      </c>
      <c r="BF70" s="132">
        <v>100.67</v>
      </c>
      <c r="BG70" s="132">
        <v>101.95</v>
      </c>
      <c r="BH70" s="132">
        <v>114.41</v>
      </c>
      <c r="BI70" s="132">
        <v>116.42</v>
      </c>
      <c r="BJ70" s="132">
        <v>123.39</v>
      </c>
      <c r="BK70" s="132">
        <v>119.24</v>
      </c>
    </row>
    <row r="71" spans="1:63" ht="15" x14ac:dyDescent="0.25">
      <c r="A71" s="127">
        <v>42844</v>
      </c>
      <c r="B71" s="131">
        <v>0.58333333333333337</v>
      </c>
      <c r="C71" s="132">
        <v>101.53</v>
      </c>
      <c r="BB71" s="132">
        <v>103.33</v>
      </c>
      <c r="BC71" s="132">
        <v>107.17</v>
      </c>
      <c r="BD71" s="132">
        <v>107.9</v>
      </c>
      <c r="BE71" s="132">
        <v>100.28</v>
      </c>
      <c r="BF71" s="132">
        <v>101.53</v>
      </c>
      <c r="BG71" s="132">
        <v>103.43</v>
      </c>
      <c r="BH71" s="132">
        <v>114.87</v>
      </c>
      <c r="BI71" s="132">
        <v>117.26</v>
      </c>
      <c r="BJ71" s="132">
        <v>121.02</v>
      </c>
      <c r="BK71" s="132">
        <v>120.02</v>
      </c>
    </row>
    <row r="72" spans="1:63" ht="15" x14ac:dyDescent="0.25">
      <c r="A72" s="127">
        <v>42844</v>
      </c>
      <c r="B72" s="131">
        <v>0.58368055555555554</v>
      </c>
      <c r="C72" s="132">
        <v>103.01</v>
      </c>
      <c r="BB72" s="132">
        <v>105.47</v>
      </c>
      <c r="BC72" s="132">
        <v>108.63</v>
      </c>
      <c r="BD72" s="132">
        <v>110.18</v>
      </c>
      <c r="BE72" s="132">
        <v>101.89</v>
      </c>
      <c r="BF72" s="132">
        <v>103.01</v>
      </c>
      <c r="BG72" s="132">
        <v>104.76</v>
      </c>
      <c r="BH72" s="132">
        <v>115.56</v>
      </c>
      <c r="BI72" s="132">
        <v>117.01</v>
      </c>
      <c r="BJ72" s="132">
        <v>123.61</v>
      </c>
      <c r="BK72" s="132">
        <v>120.39</v>
      </c>
    </row>
    <row r="73" spans="1:63" ht="15" x14ac:dyDescent="0.25">
      <c r="A73" s="127">
        <v>42844</v>
      </c>
      <c r="B73" s="131">
        <v>0.58402777777777781</v>
      </c>
      <c r="C73" s="132">
        <v>105.19</v>
      </c>
      <c r="BB73" s="132">
        <v>107.31</v>
      </c>
      <c r="BC73" s="132">
        <v>110.04</v>
      </c>
      <c r="BD73" s="132">
        <v>112.33</v>
      </c>
      <c r="BE73" s="132">
        <v>103.77</v>
      </c>
      <c r="BF73" s="132">
        <v>105.19</v>
      </c>
      <c r="BG73" s="132">
        <v>105.47</v>
      </c>
      <c r="BH73" s="132">
        <v>115.28</v>
      </c>
      <c r="BI73" s="132">
        <v>117.59</v>
      </c>
      <c r="BJ73" s="132">
        <v>120.71</v>
      </c>
      <c r="BK73" s="132">
        <v>120.63</v>
      </c>
    </row>
    <row r="74" spans="1:63" ht="15" x14ac:dyDescent="0.25">
      <c r="A74" s="127">
        <v>42844</v>
      </c>
      <c r="B74" s="131">
        <v>0.58437499999999998</v>
      </c>
      <c r="C74" s="132">
        <v>106.93</v>
      </c>
      <c r="BB74" s="132">
        <v>108.99</v>
      </c>
      <c r="BC74" s="132">
        <v>112.59</v>
      </c>
      <c r="BD74" s="132">
        <v>113.68</v>
      </c>
      <c r="BE74" s="132">
        <v>106</v>
      </c>
      <c r="BF74" s="132">
        <v>106.93</v>
      </c>
      <c r="BG74" s="132">
        <v>106.79</v>
      </c>
      <c r="BH74" s="132">
        <v>116.45</v>
      </c>
      <c r="BI74" s="132">
        <v>117.75</v>
      </c>
      <c r="BJ74" s="132">
        <v>123.04</v>
      </c>
      <c r="BK74" s="132">
        <v>121.07</v>
      </c>
    </row>
    <row r="75" spans="1:63" ht="15" x14ac:dyDescent="0.25">
      <c r="A75" s="127">
        <v>42844</v>
      </c>
      <c r="B75" s="131">
        <v>0.58472222222222225</v>
      </c>
      <c r="C75" s="132">
        <v>108.28</v>
      </c>
      <c r="BB75" s="132">
        <v>110.27</v>
      </c>
      <c r="BC75" s="132">
        <v>113.8</v>
      </c>
      <c r="BD75" s="132">
        <v>114.73</v>
      </c>
      <c r="BE75" s="132">
        <v>107.11</v>
      </c>
      <c r="BF75" s="132">
        <v>108.28</v>
      </c>
      <c r="BG75" s="132">
        <v>107.24</v>
      </c>
      <c r="BH75" s="132">
        <v>116.05</v>
      </c>
      <c r="BI75" s="132">
        <v>117.81</v>
      </c>
      <c r="BJ75" s="132">
        <v>122.41</v>
      </c>
      <c r="BK75" s="132">
        <v>121.03</v>
      </c>
    </row>
    <row r="76" spans="1:63" ht="15" x14ac:dyDescent="0.25">
      <c r="A76" s="127">
        <v>42844</v>
      </c>
      <c r="B76" s="131">
        <v>0.58506944444444442</v>
      </c>
      <c r="C76" s="132">
        <v>109.5</v>
      </c>
      <c r="BB76" s="132">
        <v>111.58</v>
      </c>
      <c r="BC76" s="132">
        <v>114.87</v>
      </c>
      <c r="BD76" s="132">
        <v>115.73</v>
      </c>
      <c r="BE76" s="132">
        <v>108.61</v>
      </c>
      <c r="BF76" s="132">
        <v>109.5</v>
      </c>
      <c r="BG76" s="132">
        <v>108.45</v>
      </c>
      <c r="BH76" s="132">
        <v>117.06</v>
      </c>
      <c r="BI76" s="132">
        <v>118.35</v>
      </c>
      <c r="BJ76" s="132">
        <v>122.29</v>
      </c>
      <c r="BK76" s="132">
        <v>121.5</v>
      </c>
    </row>
    <row r="77" spans="1:63" ht="15" x14ac:dyDescent="0.25">
      <c r="A77" s="127">
        <v>42844</v>
      </c>
      <c r="B77" s="131">
        <v>0.5854166666666667</v>
      </c>
      <c r="C77" s="132">
        <v>110.34</v>
      </c>
      <c r="BB77" s="132">
        <v>112.52</v>
      </c>
      <c r="BC77" s="132">
        <v>115.6</v>
      </c>
      <c r="BD77" s="132">
        <v>116.44</v>
      </c>
      <c r="BE77" s="132">
        <v>109.75999999999999</v>
      </c>
      <c r="BF77" s="132">
        <v>110.34</v>
      </c>
      <c r="BG77" s="132">
        <v>108.93</v>
      </c>
      <c r="BH77" s="132">
        <v>116.99</v>
      </c>
      <c r="BI77" s="132">
        <v>118.07</v>
      </c>
      <c r="BJ77" s="132">
        <v>123.2</v>
      </c>
      <c r="BK77" s="132">
        <v>121.38</v>
      </c>
    </row>
    <row r="78" spans="1:63" ht="15" x14ac:dyDescent="0.25">
      <c r="A78" s="127">
        <v>42844</v>
      </c>
      <c r="B78" s="131">
        <v>0.58576388888888886</v>
      </c>
      <c r="C78" s="132">
        <v>111.42</v>
      </c>
      <c r="BB78" s="132">
        <v>113.49</v>
      </c>
      <c r="BC78" s="132">
        <v>116.34</v>
      </c>
      <c r="BD78" s="132">
        <v>117.16</v>
      </c>
      <c r="BE78" s="132">
        <v>110.92999999999999</v>
      </c>
      <c r="BF78" s="132">
        <v>111.42</v>
      </c>
      <c r="BG78" s="132">
        <v>109.79</v>
      </c>
      <c r="BH78" s="132">
        <v>117.48</v>
      </c>
      <c r="BI78" s="132">
        <v>118.73</v>
      </c>
      <c r="BJ78" s="132">
        <v>121.62</v>
      </c>
      <c r="BK78" s="132">
        <v>121.72</v>
      </c>
    </row>
    <row r="79" spans="1:63" ht="15" x14ac:dyDescent="0.25">
      <c r="A79" s="127">
        <v>42844</v>
      </c>
      <c r="B79" s="131">
        <v>0.58611111111111114</v>
      </c>
      <c r="C79" s="132">
        <v>112.36</v>
      </c>
      <c r="BB79" s="132">
        <v>114.24</v>
      </c>
      <c r="BC79" s="132">
        <v>116.89</v>
      </c>
      <c r="BD79" s="132">
        <v>117.67</v>
      </c>
      <c r="BE79" s="132">
        <v>112.03999999999999</v>
      </c>
      <c r="BF79" s="132">
        <v>112.36</v>
      </c>
      <c r="BG79" s="132">
        <v>110.42</v>
      </c>
      <c r="BH79" s="132">
        <v>117.85</v>
      </c>
      <c r="BI79" s="132">
        <v>118.45</v>
      </c>
      <c r="BJ79" s="132">
        <v>123.04</v>
      </c>
      <c r="BK79" s="132">
        <v>121.7</v>
      </c>
    </row>
    <row r="80" spans="1:63" ht="15" x14ac:dyDescent="0.25">
      <c r="A80" s="127">
        <v>42844</v>
      </c>
      <c r="B80" s="131">
        <v>0.5864583333333333</v>
      </c>
      <c r="C80" s="132">
        <v>113.26</v>
      </c>
      <c r="BB80" s="132">
        <v>114.93</v>
      </c>
      <c r="BC80" s="132">
        <v>117.39</v>
      </c>
      <c r="BD80" s="132">
        <v>118.18</v>
      </c>
      <c r="BE80" s="132">
        <v>113.09</v>
      </c>
      <c r="BF80" s="132">
        <v>113.26</v>
      </c>
      <c r="BG80" s="132">
        <v>110.89</v>
      </c>
      <c r="BH80" s="132">
        <v>117.75</v>
      </c>
      <c r="BI80" s="132">
        <v>118.99</v>
      </c>
      <c r="BJ80" s="132">
        <v>121.06</v>
      </c>
      <c r="BK80" s="132">
        <v>121.81</v>
      </c>
    </row>
    <row r="81" spans="1:63" ht="15" x14ac:dyDescent="0.25">
      <c r="A81" s="127">
        <v>42844</v>
      </c>
      <c r="B81" s="131">
        <v>0.58680555555555558</v>
      </c>
      <c r="C81" s="132">
        <v>114.15</v>
      </c>
      <c r="BB81" s="132">
        <v>115.55</v>
      </c>
      <c r="BC81" s="132">
        <v>117.81</v>
      </c>
      <c r="BD81" s="132">
        <v>118.57</v>
      </c>
      <c r="BE81" s="132">
        <v>114.06</v>
      </c>
      <c r="BF81" s="132">
        <v>114.15</v>
      </c>
      <c r="BG81" s="132">
        <v>111.59</v>
      </c>
      <c r="BH81" s="132">
        <v>118.37</v>
      </c>
      <c r="BI81" s="132">
        <v>118.9</v>
      </c>
      <c r="BJ81" s="132">
        <v>123.12</v>
      </c>
      <c r="BK81" s="132">
        <v>121.91</v>
      </c>
    </row>
    <row r="82" spans="1:63" ht="15" x14ac:dyDescent="0.25">
      <c r="A82" s="127">
        <v>42844</v>
      </c>
      <c r="B82" s="131">
        <v>0.58715277777777775</v>
      </c>
      <c r="C82" s="132">
        <v>116.23</v>
      </c>
      <c r="BB82" s="132">
        <v>116.04</v>
      </c>
      <c r="BC82" s="132">
        <v>118.12</v>
      </c>
      <c r="BD82" s="132">
        <v>118.9</v>
      </c>
      <c r="BE82" s="132">
        <v>115.41</v>
      </c>
      <c r="BF82" s="132">
        <v>116.23</v>
      </c>
      <c r="BG82" s="132">
        <v>111.82</v>
      </c>
      <c r="BH82" s="132">
        <v>117.9</v>
      </c>
      <c r="BI82" s="132">
        <v>119.06</v>
      </c>
      <c r="BJ82" s="132">
        <v>121.39</v>
      </c>
      <c r="BK82" s="132">
        <v>121.83</v>
      </c>
    </row>
    <row r="83" spans="1:63" ht="15" x14ac:dyDescent="0.25">
      <c r="A83" s="127">
        <v>42844</v>
      </c>
      <c r="B83" s="131">
        <v>0.58750000000000002</v>
      </c>
      <c r="C83" s="132">
        <v>117.22</v>
      </c>
      <c r="BB83" s="132">
        <v>116.57</v>
      </c>
      <c r="BC83" s="132">
        <v>118.48</v>
      </c>
      <c r="BD83" s="132">
        <v>119.22</v>
      </c>
      <c r="BE83" s="132">
        <v>116.61</v>
      </c>
      <c r="BF83" s="132">
        <v>117.22</v>
      </c>
      <c r="BG83" s="132">
        <v>112.62</v>
      </c>
      <c r="BH83" s="132">
        <v>118.78</v>
      </c>
      <c r="BI83" s="132">
        <v>119.3</v>
      </c>
      <c r="BJ83" s="132">
        <v>122.73</v>
      </c>
      <c r="BK83" s="132">
        <v>122.06</v>
      </c>
    </row>
    <row r="84" spans="1:63" ht="15" x14ac:dyDescent="0.25">
      <c r="A84" s="127">
        <v>42844</v>
      </c>
      <c r="B84" s="131">
        <v>0.58784722222222219</v>
      </c>
      <c r="C84" s="132">
        <v>117.77</v>
      </c>
      <c r="BB84" s="132">
        <v>116.91</v>
      </c>
      <c r="BC84" s="132">
        <v>118.66</v>
      </c>
      <c r="BD84" s="132">
        <v>119.42</v>
      </c>
      <c r="BE84" s="132">
        <v>117.21</v>
      </c>
      <c r="BF84" s="132">
        <v>117.77</v>
      </c>
      <c r="BG84" s="132">
        <v>112.76</v>
      </c>
      <c r="BH84" s="132">
        <v>118.33</v>
      </c>
      <c r="BI84" s="132">
        <v>119.2</v>
      </c>
      <c r="BJ84" s="132">
        <v>122.29</v>
      </c>
      <c r="BK84" s="132">
        <v>121.85</v>
      </c>
    </row>
    <row r="85" spans="1:63" ht="15" x14ac:dyDescent="0.25">
      <c r="A85" s="127">
        <v>42844</v>
      </c>
      <c r="B85" s="131">
        <v>0.58819444444444446</v>
      </c>
      <c r="C85" s="132">
        <v>118.25</v>
      </c>
      <c r="BB85" s="132">
        <v>117.35</v>
      </c>
      <c r="BC85" s="132">
        <v>118.95</v>
      </c>
      <c r="BD85" s="132">
        <v>119.71</v>
      </c>
      <c r="BE85" s="132">
        <v>117.78</v>
      </c>
      <c r="BF85" s="132">
        <v>118.25</v>
      </c>
      <c r="BG85" s="132">
        <v>113.55</v>
      </c>
      <c r="BH85" s="132">
        <v>119.05</v>
      </c>
      <c r="BI85" s="132">
        <v>119.65</v>
      </c>
      <c r="BJ85" s="132">
        <v>122.74</v>
      </c>
      <c r="BK85" s="132">
        <v>122.13</v>
      </c>
    </row>
    <row r="86" spans="1:63" ht="15" x14ac:dyDescent="0.25">
      <c r="A86" s="127">
        <v>42844</v>
      </c>
      <c r="B86" s="131">
        <v>0.58854166666666663</v>
      </c>
      <c r="C86" s="132">
        <v>118.59</v>
      </c>
      <c r="BB86" s="132">
        <v>117.61</v>
      </c>
      <c r="BC86" s="132">
        <v>119.08</v>
      </c>
      <c r="BD86" s="132">
        <v>119.85</v>
      </c>
      <c r="BE86" s="132">
        <v>118.17999999999999</v>
      </c>
      <c r="BF86" s="132">
        <v>118.59</v>
      </c>
      <c r="BG86" s="132">
        <v>113.72</v>
      </c>
      <c r="BH86" s="132">
        <v>118.73</v>
      </c>
      <c r="BI86" s="132">
        <v>119.4</v>
      </c>
      <c r="BJ86" s="132">
        <v>122.75</v>
      </c>
      <c r="BK86" s="132">
        <v>121.9</v>
      </c>
    </row>
    <row r="87" spans="1:63" ht="15" x14ac:dyDescent="0.25">
      <c r="A87" s="127">
        <v>42844</v>
      </c>
      <c r="B87" s="131">
        <v>0.58888888888888891</v>
      </c>
      <c r="C87" s="132">
        <v>118.93</v>
      </c>
      <c r="BB87" s="132">
        <v>117.95</v>
      </c>
      <c r="BC87" s="132">
        <v>119.31</v>
      </c>
      <c r="BD87" s="132">
        <v>120.05</v>
      </c>
      <c r="BE87" s="132">
        <v>118.58</v>
      </c>
      <c r="BF87" s="132">
        <v>118.93</v>
      </c>
      <c r="BG87" s="132">
        <v>114.33</v>
      </c>
      <c r="BH87" s="132">
        <v>119.14</v>
      </c>
      <c r="BI87" s="132">
        <v>119.88</v>
      </c>
      <c r="BJ87" s="132">
        <v>122.28</v>
      </c>
      <c r="BK87" s="132">
        <v>122.11</v>
      </c>
    </row>
    <row r="88" spans="1:63" ht="15" x14ac:dyDescent="0.25">
      <c r="A88" s="127">
        <v>42844</v>
      </c>
      <c r="B88" s="131">
        <v>0.58923611111111118</v>
      </c>
      <c r="C88" s="132">
        <v>119.16</v>
      </c>
      <c r="BB88" s="132">
        <v>118.17</v>
      </c>
      <c r="BC88" s="132">
        <v>119.42</v>
      </c>
      <c r="BD88" s="132">
        <v>120.14</v>
      </c>
      <c r="BE88" s="132">
        <v>118.86</v>
      </c>
      <c r="BF88" s="132">
        <v>119.16</v>
      </c>
      <c r="BG88" s="132">
        <v>114.66</v>
      </c>
      <c r="BH88" s="132">
        <v>119.22</v>
      </c>
      <c r="BI88" s="132">
        <v>119.63</v>
      </c>
      <c r="BJ88" s="132">
        <v>123.41</v>
      </c>
      <c r="BK88" s="132">
        <v>121.99</v>
      </c>
    </row>
    <row r="89" spans="1:63" ht="15" x14ac:dyDescent="0.25">
      <c r="A89" s="127">
        <v>42844</v>
      </c>
      <c r="B89" s="131">
        <v>0.58958333333333335</v>
      </c>
      <c r="C89" s="132">
        <v>119.43</v>
      </c>
      <c r="BB89" s="132">
        <v>118.42</v>
      </c>
      <c r="BC89" s="132">
        <v>119.56</v>
      </c>
      <c r="BD89" s="132">
        <v>120.3</v>
      </c>
      <c r="BE89" s="132">
        <v>119.14999999999999</v>
      </c>
      <c r="BF89" s="132">
        <v>119.43</v>
      </c>
      <c r="BG89" s="132">
        <v>115.04</v>
      </c>
      <c r="BH89" s="132">
        <v>119.21</v>
      </c>
      <c r="BI89" s="132">
        <v>120.05</v>
      </c>
      <c r="BJ89" s="132">
        <v>121.63</v>
      </c>
      <c r="BK89" s="132">
        <v>122.08</v>
      </c>
    </row>
    <row r="90" spans="1:63" ht="15" x14ac:dyDescent="0.25">
      <c r="A90" s="127">
        <v>42844</v>
      </c>
      <c r="B90" s="131">
        <v>0.58993055555555551</v>
      </c>
      <c r="C90" s="132">
        <v>119.6</v>
      </c>
      <c r="BB90" s="132">
        <v>118.63</v>
      </c>
      <c r="BC90" s="132">
        <v>119.68</v>
      </c>
      <c r="BD90" s="132">
        <v>120.39</v>
      </c>
      <c r="BE90" s="132">
        <v>119.39999999999999</v>
      </c>
      <c r="BF90" s="132">
        <v>119.6</v>
      </c>
      <c r="BG90" s="132">
        <v>115.51</v>
      </c>
      <c r="BH90" s="132">
        <v>119.58</v>
      </c>
      <c r="BI90" s="132">
        <v>119.91</v>
      </c>
      <c r="BJ90" s="132">
        <v>123.63</v>
      </c>
      <c r="BK90" s="132">
        <v>122.09</v>
      </c>
    </row>
    <row r="91" spans="1:63" ht="15" x14ac:dyDescent="0.25">
      <c r="A91" s="127">
        <v>42844</v>
      </c>
      <c r="B91" s="131">
        <v>0.59027777777777779</v>
      </c>
      <c r="C91" s="132">
        <v>119.78</v>
      </c>
      <c r="BB91" s="132">
        <v>118.78</v>
      </c>
      <c r="BC91" s="132">
        <v>119.74</v>
      </c>
      <c r="BD91" s="132">
        <v>120.47</v>
      </c>
      <c r="BE91" s="132">
        <v>119.57</v>
      </c>
      <c r="BF91" s="132">
        <v>119.78</v>
      </c>
      <c r="BG91" s="132">
        <v>115.6</v>
      </c>
      <c r="BH91" s="132">
        <v>119.11</v>
      </c>
      <c r="BI91" s="132">
        <v>120.1</v>
      </c>
      <c r="BJ91" s="132">
        <v>121.44</v>
      </c>
      <c r="BK91" s="132">
        <v>121.98</v>
      </c>
    </row>
    <row r="92" spans="1:63" ht="15" x14ac:dyDescent="0.25">
      <c r="A92" s="127">
        <v>42844</v>
      </c>
      <c r="B92" s="131">
        <v>0.59062500000000007</v>
      </c>
      <c r="C92" s="132">
        <v>119.94</v>
      </c>
      <c r="BB92" s="132">
        <v>119.03</v>
      </c>
      <c r="BC92" s="132">
        <v>119.91</v>
      </c>
      <c r="BD92" s="132">
        <v>120.59</v>
      </c>
      <c r="BE92" s="132">
        <v>119.78999999999999</v>
      </c>
      <c r="BF92" s="132">
        <v>119.94</v>
      </c>
      <c r="BG92" s="132">
        <v>116.23</v>
      </c>
      <c r="BH92" s="132">
        <v>119.88</v>
      </c>
      <c r="BI92" s="132">
        <v>120.3</v>
      </c>
      <c r="BJ92" s="132">
        <v>123.22</v>
      </c>
      <c r="BK92" s="132">
        <v>122.18</v>
      </c>
    </row>
    <row r="93" spans="1:63" ht="15" x14ac:dyDescent="0.25">
      <c r="A93" s="127">
        <v>42844</v>
      </c>
      <c r="B93" s="131">
        <v>0.59097222222222223</v>
      </c>
      <c r="C93" s="132">
        <v>120.07</v>
      </c>
      <c r="BB93" s="132">
        <v>119.17</v>
      </c>
      <c r="BC93" s="132">
        <v>120</v>
      </c>
      <c r="BD93" s="132">
        <v>120.64</v>
      </c>
      <c r="BE93" s="132">
        <v>119.92999999999999</v>
      </c>
      <c r="BF93" s="132">
        <v>120.07</v>
      </c>
      <c r="BG93" s="132">
        <v>116.25</v>
      </c>
      <c r="BH93" s="132">
        <v>119.43</v>
      </c>
      <c r="BI93" s="132">
        <v>120.26</v>
      </c>
      <c r="BJ93" s="132">
        <v>122.58</v>
      </c>
      <c r="BK93" s="132">
        <v>121.99</v>
      </c>
    </row>
    <row r="94" spans="1:63" ht="15" x14ac:dyDescent="0.25">
      <c r="A94" s="127">
        <v>42844</v>
      </c>
      <c r="B94" s="131">
        <v>0.5913194444444444</v>
      </c>
      <c r="C94" s="132">
        <v>120.23</v>
      </c>
      <c r="BB94" s="132">
        <v>119.39</v>
      </c>
      <c r="BC94" s="132">
        <v>120.19</v>
      </c>
      <c r="BD94" s="132">
        <v>120.76</v>
      </c>
      <c r="BE94" s="132">
        <v>120.14</v>
      </c>
      <c r="BF94" s="132">
        <v>120.23</v>
      </c>
      <c r="BG94" s="132">
        <v>116.76</v>
      </c>
      <c r="BH94" s="132">
        <v>119.89</v>
      </c>
      <c r="BI94" s="132">
        <v>120.56</v>
      </c>
      <c r="BJ94" s="132">
        <v>121.74</v>
      </c>
      <c r="BK94" s="132">
        <v>122.19</v>
      </c>
    </row>
    <row r="95" spans="1:63" ht="15" x14ac:dyDescent="0.25">
      <c r="A95" s="127">
        <v>42844</v>
      </c>
      <c r="B95" s="131">
        <v>0.59166666666666667</v>
      </c>
      <c r="C95" s="132">
        <v>120.32</v>
      </c>
      <c r="BB95" s="132">
        <v>119.54</v>
      </c>
      <c r="BC95" s="132">
        <v>120.3</v>
      </c>
      <c r="BD95" s="132">
        <v>120.79</v>
      </c>
      <c r="BE95" s="132">
        <v>120.25</v>
      </c>
      <c r="BF95" s="132">
        <v>120.32</v>
      </c>
      <c r="BG95" s="132">
        <v>117.05</v>
      </c>
      <c r="BH95" s="132">
        <v>120.06</v>
      </c>
      <c r="BI95" s="132">
        <v>120.43</v>
      </c>
      <c r="BJ95" s="132">
        <v>122.98</v>
      </c>
      <c r="BK95" s="132">
        <v>122.11</v>
      </c>
    </row>
    <row r="96" spans="1:63" ht="15" x14ac:dyDescent="0.25">
      <c r="A96" s="127">
        <v>42844</v>
      </c>
      <c r="B96" s="131">
        <v>0.59201388888888895</v>
      </c>
      <c r="C96" s="132">
        <v>120.43</v>
      </c>
      <c r="BB96" s="132">
        <v>119.68</v>
      </c>
      <c r="BC96" s="132">
        <v>120.39</v>
      </c>
      <c r="BD96" s="132">
        <v>120.84</v>
      </c>
      <c r="BE96" s="132">
        <v>120.36</v>
      </c>
      <c r="BF96" s="132">
        <v>120.43</v>
      </c>
      <c r="BG96" s="132">
        <v>117.16</v>
      </c>
      <c r="BH96" s="132">
        <v>119.75</v>
      </c>
      <c r="BI96" s="132">
        <v>120.62</v>
      </c>
      <c r="BJ96" s="132">
        <v>121.19</v>
      </c>
      <c r="BK96" s="132">
        <v>122.05</v>
      </c>
    </row>
    <row r="97" spans="1:63" ht="15" x14ac:dyDescent="0.25">
      <c r="A97" s="127">
        <v>42844</v>
      </c>
      <c r="B97" s="131">
        <v>0.59236111111111112</v>
      </c>
      <c r="C97" s="132">
        <v>120.53</v>
      </c>
      <c r="BB97" s="132">
        <v>119.87</v>
      </c>
      <c r="BC97" s="132">
        <v>120.54</v>
      </c>
      <c r="BD97" s="132">
        <v>120.92</v>
      </c>
      <c r="BE97" s="132">
        <v>120.50999999999999</v>
      </c>
      <c r="BF97" s="132">
        <v>120.53</v>
      </c>
      <c r="BG97" s="132">
        <v>117.63</v>
      </c>
      <c r="BH97" s="132">
        <v>120.34</v>
      </c>
      <c r="BI97" s="132">
        <v>120.74</v>
      </c>
      <c r="BJ97" s="132">
        <v>122.44</v>
      </c>
      <c r="BK97" s="132">
        <v>122.23</v>
      </c>
    </row>
    <row r="98" spans="1:63" ht="15" x14ac:dyDescent="0.25">
      <c r="A98" s="127">
        <v>42844</v>
      </c>
      <c r="B98" s="131">
        <v>0.59270833333333328</v>
      </c>
      <c r="C98" s="132">
        <v>120.57</v>
      </c>
      <c r="BB98" s="132">
        <v>119.97</v>
      </c>
      <c r="BC98" s="132">
        <v>120.58</v>
      </c>
      <c r="BD98" s="132">
        <v>120.92</v>
      </c>
      <c r="BE98" s="132">
        <v>120.56</v>
      </c>
      <c r="BF98" s="132">
        <v>120.57</v>
      </c>
      <c r="BG98" s="132">
        <v>117.63</v>
      </c>
      <c r="BH98" s="132">
        <v>120.05</v>
      </c>
      <c r="BI98" s="132">
        <v>120.7</v>
      </c>
      <c r="BJ98" s="132">
        <v>123.05</v>
      </c>
      <c r="BK98" s="132">
        <v>122.04</v>
      </c>
    </row>
    <row r="99" spans="1:63" ht="15" x14ac:dyDescent="0.25">
      <c r="A99" s="127">
        <v>42844</v>
      </c>
      <c r="B99" s="131">
        <v>0.59305555555555556</v>
      </c>
      <c r="C99" s="132">
        <v>120.68</v>
      </c>
      <c r="BB99" s="132">
        <v>120.13</v>
      </c>
      <c r="BC99" s="132">
        <v>120.69</v>
      </c>
      <c r="BD99" s="132">
        <v>121</v>
      </c>
      <c r="BE99" s="132">
        <v>120.69</v>
      </c>
      <c r="BF99" s="132">
        <v>120.68</v>
      </c>
      <c r="BG99" s="132">
        <v>118</v>
      </c>
      <c r="BH99" s="132">
        <v>120.31</v>
      </c>
      <c r="BI99" s="132">
        <v>120.94</v>
      </c>
      <c r="BJ99" s="132">
        <v>121.49</v>
      </c>
      <c r="BK99" s="132">
        <v>122.18</v>
      </c>
    </row>
    <row r="100" spans="1:63" ht="15" x14ac:dyDescent="0.25">
      <c r="A100" s="127">
        <v>42844</v>
      </c>
      <c r="B100" s="131">
        <v>0.59340277777777783</v>
      </c>
      <c r="C100" s="132">
        <v>120.72</v>
      </c>
      <c r="BB100" s="132">
        <v>120.24</v>
      </c>
      <c r="BC100" s="132">
        <v>120.75</v>
      </c>
      <c r="BD100" s="132">
        <v>121.01</v>
      </c>
      <c r="BE100" s="132">
        <v>120.74</v>
      </c>
      <c r="BF100" s="132">
        <v>120.72</v>
      </c>
      <c r="BG100" s="132">
        <v>118.26</v>
      </c>
      <c r="BH100" s="132">
        <v>120.55</v>
      </c>
      <c r="BI100" s="132">
        <v>120.87</v>
      </c>
      <c r="BJ100" s="132">
        <v>123.09</v>
      </c>
      <c r="BK100" s="132">
        <v>122.15</v>
      </c>
    </row>
    <row r="101" spans="1:63" ht="15" x14ac:dyDescent="0.25">
      <c r="A101" s="127">
        <v>42844</v>
      </c>
      <c r="B101" s="131">
        <v>0.59375</v>
      </c>
      <c r="C101" s="132">
        <v>120.79</v>
      </c>
      <c r="BB101" s="132">
        <v>120.33</v>
      </c>
      <c r="BC101" s="132">
        <v>120.78</v>
      </c>
      <c r="BD101" s="132">
        <v>121.05</v>
      </c>
      <c r="BE101" s="132">
        <v>120.8</v>
      </c>
      <c r="BF101" s="132">
        <v>120.79</v>
      </c>
      <c r="BG101" s="132">
        <v>118.31</v>
      </c>
      <c r="BH101" s="132">
        <v>120.23</v>
      </c>
      <c r="BI101" s="132">
        <v>121</v>
      </c>
      <c r="BJ101" s="132">
        <v>120.91</v>
      </c>
      <c r="BK101" s="132">
        <v>122.09</v>
      </c>
    </row>
    <row r="102" spans="1:63" ht="15" x14ac:dyDescent="0.25">
      <c r="A102" s="127">
        <v>42844</v>
      </c>
      <c r="B102" s="131">
        <v>0.59409722222222217</v>
      </c>
      <c r="C102" s="132">
        <v>120.83</v>
      </c>
      <c r="BB102" s="132">
        <v>120.44</v>
      </c>
      <c r="BC102" s="132">
        <v>120.85</v>
      </c>
      <c r="BD102" s="132">
        <v>121.07</v>
      </c>
      <c r="BE102" s="132">
        <v>120.86999999999999</v>
      </c>
      <c r="BF102" s="132">
        <v>120.83</v>
      </c>
      <c r="BG102" s="132">
        <v>118.62</v>
      </c>
      <c r="BH102" s="132">
        <v>120.67</v>
      </c>
      <c r="BI102" s="132">
        <v>121.06</v>
      </c>
      <c r="BJ102" s="132">
        <v>123.23</v>
      </c>
      <c r="BK102" s="132">
        <v>122.15</v>
      </c>
    </row>
    <row r="103" spans="1:63" ht="15" x14ac:dyDescent="0.25">
      <c r="A103" s="127">
        <v>42844</v>
      </c>
      <c r="B103" s="131">
        <v>0.59444444444444444</v>
      </c>
      <c r="C103" s="132">
        <v>120.9</v>
      </c>
      <c r="BB103" s="132">
        <v>120.52</v>
      </c>
      <c r="BC103" s="132">
        <v>120.89</v>
      </c>
      <c r="BD103" s="132">
        <v>121.12</v>
      </c>
      <c r="BE103" s="132">
        <v>120.92</v>
      </c>
      <c r="BF103" s="132">
        <v>120.9</v>
      </c>
      <c r="BG103" s="132">
        <v>118.67</v>
      </c>
      <c r="BH103" s="132">
        <v>120.37</v>
      </c>
      <c r="BI103" s="132">
        <v>121.14</v>
      </c>
      <c r="BJ103" s="132">
        <v>121.06</v>
      </c>
      <c r="BK103" s="132">
        <v>122.07</v>
      </c>
    </row>
    <row r="104" spans="1:63" ht="15" x14ac:dyDescent="0.25">
      <c r="A104" s="127">
        <v>42844</v>
      </c>
      <c r="B104" s="131">
        <v>0.59479166666666672</v>
      </c>
      <c r="C104" s="132">
        <v>120.92</v>
      </c>
      <c r="BB104" s="132">
        <v>120.61</v>
      </c>
      <c r="BC104" s="132">
        <v>120.94</v>
      </c>
      <c r="BD104" s="132">
        <v>121.13</v>
      </c>
      <c r="BE104" s="132">
        <v>120.97</v>
      </c>
      <c r="BF104" s="132">
        <v>120.92</v>
      </c>
      <c r="BG104" s="132">
        <v>118.94</v>
      </c>
      <c r="BH104" s="132">
        <v>120.75</v>
      </c>
      <c r="BI104" s="132">
        <v>121.14</v>
      </c>
      <c r="BJ104" s="132">
        <v>123.54</v>
      </c>
      <c r="BK104" s="132">
        <v>122.1</v>
      </c>
    </row>
    <row r="105" spans="1:63" ht="15" x14ac:dyDescent="0.25">
      <c r="A105" s="127">
        <v>42844</v>
      </c>
      <c r="B105" s="131">
        <v>0.59513888888888888</v>
      </c>
      <c r="C105" s="132">
        <v>121</v>
      </c>
      <c r="BB105" s="132">
        <v>120.69</v>
      </c>
      <c r="BC105" s="132">
        <v>120.97</v>
      </c>
      <c r="BD105" s="132">
        <v>121.18</v>
      </c>
      <c r="BE105" s="132">
        <v>121.02</v>
      </c>
      <c r="BF105" s="132">
        <v>121</v>
      </c>
      <c r="BG105" s="132">
        <v>119.03</v>
      </c>
      <c r="BH105" s="132">
        <v>120.59</v>
      </c>
      <c r="BI105" s="132">
        <v>121.27</v>
      </c>
      <c r="BJ105" s="132">
        <v>121.37</v>
      </c>
      <c r="BK105" s="132">
        <v>122.09</v>
      </c>
    </row>
    <row r="106" spans="1:63" ht="15" x14ac:dyDescent="0.25">
      <c r="A106" s="127">
        <v>42844</v>
      </c>
      <c r="B106" s="131">
        <v>0.59548611111111105</v>
      </c>
      <c r="C106" s="132">
        <v>121</v>
      </c>
      <c r="BB106" s="132">
        <v>120.73</v>
      </c>
      <c r="BC106" s="132">
        <v>120.98</v>
      </c>
      <c r="BD106" s="132">
        <v>121.17</v>
      </c>
      <c r="BE106" s="132">
        <v>121.03999999999999</v>
      </c>
      <c r="BF106" s="132">
        <v>121</v>
      </c>
      <c r="BG106" s="132">
        <v>119.16</v>
      </c>
      <c r="BH106" s="132">
        <v>120.67</v>
      </c>
      <c r="BI106" s="132">
        <v>121.03</v>
      </c>
      <c r="BJ106" s="132">
        <v>122.92</v>
      </c>
      <c r="BK106" s="132">
        <v>121.98</v>
      </c>
    </row>
    <row r="107" spans="1:63" ht="15" x14ac:dyDescent="0.25">
      <c r="A107" s="127">
        <v>42844</v>
      </c>
      <c r="B107" s="131">
        <v>0.59583333333333333</v>
      </c>
      <c r="C107" s="132">
        <v>121.09</v>
      </c>
      <c r="BB107" s="132">
        <v>120.85</v>
      </c>
      <c r="BC107" s="132">
        <v>121.06</v>
      </c>
      <c r="BD107" s="132">
        <v>121.25</v>
      </c>
      <c r="BE107" s="132">
        <v>121.11999999999999</v>
      </c>
      <c r="BF107" s="132">
        <v>121.09</v>
      </c>
      <c r="BG107" s="132">
        <v>119.43</v>
      </c>
      <c r="BH107" s="132">
        <v>120.98</v>
      </c>
      <c r="BI107" s="132">
        <v>121.46</v>
      </c>
      <c r="BJ107" s="132">
        <v>122.25</v>
      </c>
      <c r="BK107" s="132">
        <v>122.2</v>
      </c>
    </row>
    <row r="108" spans="1:63" ht="15" x14ac:dyDescent="0.25">
      <c r="A108" s="127">
        <v>42844</v>
      </c>
      <c r="B108" s="131">
        <v>0.5961805555555556</v>
      </c>
      <c r="C108" s="132">
        <v>121.07</v>
      </c>
      <c r="BB108" s="132">
        <v>120.86</v>
      </c>
      <c r="BC108" s="132">
        <v>121.02</v>
      </c>
      <c r="BD108" s="132">
        <v>121.21</v>
      </c>
      <c r="BE108" s="132">
        <v>121.09</v>
      </c>
      <c r="BF108" s="132">
        <v>121.07</v>
      </c>
      <c r="BG108" s="132">
        <v>119.35</v>
      </c>
      <c r="BH108" s="132">
        <v>120.56</v>
      </c>
      <c r="BI108" s="132">
        <v>121.09</v>
      </c>
      <c r="BJ108" s="132">
        <v>122.08</v>
      </c>
      <c r="BK108" s="132">
        <v>121.91</v>
      </c>
    </row>
    <row r="109" spans="1:63" ht="15" x14ac:dyDescent="0.25">
      <c r="A109" s="127">
        <v>42844</v>
      </c>
      <c r="B109" s="131">
        <v>0.59652777777777777</v>
      </c>
      <c r="C109" s="132">
        <v>121.13</v>
      </c>
      <c r="BB109" s="132">
        <v>120.95</v>
      </c>
      <c r="BC109" s="132">
        <v>121.1</v>
      </c>
      <c r="BD109" s="132">
        <v>121.28</v>
      </c>
      <c r="BE109" s="132">
        <v>121.17</v>
      </c>
      <c r="BF109" s="132">
        <v>121.13</v>
      </c>
      <c r="BG109" s="132">
        <v>119.72</v>
      </c>
      <c r="BH109" s="132">
        <v>121.13</v>
      </c>
      <c r="BI109" s="132">
        <v>121.29</v>
      </c>
      <c r="BJ109" s="132">
        <v>122.96</v>
      </c>
      <c r="BK109" s="132">
        <v>122.17</v>
      </c>
    </row>
    <row r="110" spans="1:63" ht="15" x14ac:dyDescent="0.25">
      <c r="A110" s="127">
        <v>42844</v>
      </c>
      <c r="B110" s="131">
        <v>0.59687499999999993</v>
      </c>
      <c r="C110" s="132">
        <v>121.12</v>
      </c>
      <c r="BB110" s="132">
        <v>120.96</v>
      </c>
      <c r="BC110" s="132">
        <v>121.06</v>
      </c>
      <c r="BD110" s="132">
        <v>121.25</v>
      </c>
      <c r="BE110" s="132">
        <v>121.14</v>
      </c>
      <c r="BF110" s="132">
        <v>121.12</v>
      </c>
      <c r="BG110" s="132">
        <v>119.61</v>
      </c>
      <c r="BH110" s="132">
        <v>120.69</v>
      </c>
      <c r="BI110" s="132">
        <v>121.24</v>
      </c>
      <c r="BJ110" s="132">
        <v>122.08</v>
      </c>
      <c r="BK110" s="132">
        <v>121.93</v>
      </c>
    </row>
    <row r="111" spans="1:63" ht="15" x14ac:dyDescent="0.25">
      <c r="A111" s="127">
        <v>42844</v>
      </c>
      <c r="B111" s="131">
        <v>0.59722222222222221</v>
      </c>
      <c r="C111" s="132">
        <v>121.18</v>
      </c>
      <c r="BB111" s="132">
        <v>121.05</v>
      </c>
      <c r="BC111" s="132">
        <v>121.13</v>
      </c>
      <c r="BD111" s="132">
        <v>121.32</v>
      </c>
      <c r="BE111" s="132">
        <v>121.23</v>
      </c>
      <c r="BF111" s="132">
        <v>121.18</v>
      </c>
      <c r="BG111" s="132">
        <v>119.97</v>
      </c>
      <c r="BH111" s="132">
        <v>121.24</v>
      </c>
      <c r="BI111" s="132">
        <v>121.33</v>
      </c>
      <c r="BJ111" s="132">
        <v>122.44</v>
      </c>
      <c r="BK111" s="132">
        <v>122.18</v>
      </c>
    </row>
    <row r="112" spans="1:63" ht="15" x14ac:dyDescent="0.25">
      <c r="A112" s="127">
        <v>42844</v>
      </c>
      <c r="B112" s="131">
        <v>0.59756944444444449</v>
      </c>
      <c r="C112" s="132">
        <v>121.17</v>
      </c>
      <c r="BB112" s="132">
        <v>121.05</v>
      </c>
      <c r="BC112" s="132">
        <v>121.09</v>
      </c>
      <c r="BD112" s="132">
        <v>121.28</v>
      </c>
      <c r="BE112" s="132">
        <v>121.19</v>
      </c>
      <c r="BF112" s="132">
        <v>121.17</v>
      </c>
      <c r="BG112" s="132">
        <v>119.87</v>
      </c>
      <c r="BH112" s="132">
        <v>120.84</v>
      </c>
      <c r="BI112" s="132">
        <v>121.31</v>
      </c>
      <c r="BJ112" s="132">
        <v>122.33</v>
      </c>
      <c r="BK112" s="132">
        <v>121.94</v>
      </c>
    </row>
    <row r="113" spans="1:63" ht="15" x14ac:dyDescent="0.25">
      <c r="A113" s="127">
        <v>42844</v>
      </c>
      <c r="B113" s="131">
        <v>0.59791666666666665</v>
      </c>
      <c r="C113" s="132">
        <v>121.23</v>
      </c>
      <c r="BB113" s="132">
        <v>121.14</v>
      </c>
      <c r="BC113" s="132">
        <v>121.16</v>
      </c>
      <c r="BD113" s="132">
        <v>121.34</v>
      </c>
      <c r="BE113" s="132">
        <v>121.28</v>
      </c>
      <c r="BF113" s="132">
        <v>121.23</v>
      </c>
      <c r="BG113" s="132">
        <v>120.21</v>
      </c>
      <c r="BH113" s="132">
        <v>121.38</v>
      </c>
      <c r="BI113" s="132">
        <v>121.35</v>
      </c>
      <c r="BJ113" s="132">
        <v>122.67</v>
      </c>
      <c r="BK113" s="132">
        <v>122.2</v>
      </c>
    </row>
    <row r="114" spans="1:63" ht="15" x14ac:dyDescent="0.25">
      <c r="A114" s="127">
        <v>42844</v>
      </c>
      <c r="B114" s="131">
        <v>0.59826388888888882</v>
      </c>
      <c r="C114" s="132">
        <v>121.22</v>
      </c>
      <c r="BB114" s="132">
        <v>121.14</v>
      </c>
      <c r="BC114" s="132">
        <v>121.12</v>
      </c>
      <c r="BD114" s="132">
        <v>121.31</v>
      </c>
      <c r="BE114" s="132">
        <v>121.25999999999999</v>
      </c>
      <c r="BF114" s="132">
        <v>121.22</v>
      </c>
      <c r="BG114" s="132">
        <v>120.1</v>
      </c>
      <c r="BH114" s="132">
        <v>120.95</v>
      </c>
      <c r="BI114" s="132">
        <v>121.4</v>
      </c>
      <c r="BJ114" s="132">
        <v>122.35</v>
      </c>
      <c r="BK114" s="132">
        <v>121.95</v>
      </c>
    </row>
    <row r="115" spans="1:63" ht="15" x14ac:dyDescent="0.25">
      <c r="A115" s="127">
        <v>42844</v>
      </c>
      <c r="B115" s="131">
        <v>0.59861111111111109</v>
      </c>
      <c r="C115" s="132">
        <v>121.28</v>
      </c>
      <c r="BB115" s="132">
        <v>121.21</v>
      </c>
      <c r="BC115" s="132">
        <v>121.19</v>
      </c>
      <c r="BD115" s="132">
        <v>121.35</v>
      </c>
      <c r="BE115" s="132">
        <v>121.34</v>
      </c>
      <c r="BF115" s="132">
        <v>121.28</v>
      </c>
      <c r="BG115" s="132">
        <v>120.42</v>
      </c>
      <c r="BH115" s="132">
        <v>121.47</v>
      </c>
      <c r="BI115" s="132">
        <v>121.35</v>
      </c>
      <c r="BJ115" s="132">
        <v>122.27</v>
      </c>
      <c r="BK115" s="132">
        <v>122.2</v>
      </c>
    </row>
    <row r="116" spans="1:63" ht="15" x14ac:dyDescent="0.25">
      <c r="A116" s="127">
        <v>42844</v>
      </c>
      <c r="B116" s="131">
        <v>0.59895833333333337</v>
      </c>
      <c r="C116" s="132">
        <v>121.26</v>
      </c>
      <c r="BB116" s="132">
        <v>121.2</v>
      </c>
      <c r="BC116" s="132">
        <v>121.15</v>
      </c>
      <c r="BD116" s="132">
        <v>121.32</v>
      </c>
      <c r="BE116" s="132">
        <v>121.31</v>
      </c>
      <c r="BF116" s="132">
        <v>121.26</v>
      </c>
      <c r="BG116" s="132">
        <v>120.3</v>
      </c>
      <c r="BH116" s="132">
        <v>121.05</v>
      </c>
      <c r="BI116" s="132">
        <v>121.47</v>
      </c>
      <c r="BJ116" s="132">
        <v>122.46</v>
      </c>
      <c r="BK116" s="132">
        <v>121.94</v>
      </c>
    </row>
    <row r="117" spans="1:63" ht="15" x14ac:dyDescent="0.25">
      <c r="A117" s="127">
        <v>42844</v>
      </c>
      <c r="B117" s="131">
        <v>0.59930555555555554</v>
      </c>
      <c r="C117" s="132">
        <v>121.32</v>
      </c>
      <c r="BB117" s="132">
        <v>121.27</v>
      </c>
      <c r="BC117" s="132">
        <v>121.21</v>
      </c>
      <c r="BD117" s="132">
        <v>121.36</v>
      </c>
      <c r="BE117" s="132">
        <v>121.38</v>
      </c>
      <c r="BF117" s="132">
        <v>121.32</v>
      </c>
      <c r="BG117" s="132">
        <v>120.6</v>
      </c>
      <c r="BH117" s="132">
        <v>121.52</v>
      </c>
      <c r="BI117" s="132">
        <v>121.34</v>
      </c>
      <c r="BJ117" s="132">
        <v>121.99</v>
      </c>
      <c r="BK117" s="132">
        <v>122.18</v>
      </c>
    </row>
    <row r="118" spans="1:63" ht="15" x14ac:dyDescent="0.25">
      <c r="A118" s="127">
        <v>42844</v>
      </c>
      <c r="B118" s="131">
        <v>0.59965277777777781</v>
      </c>
      <c r="C118" s="132">
        <v>121.3</v>
      </c>
      <c r="BB118" s="132">
        <v>121.26</v>
      </c>
      <c r="BC118" s="132">
        <v>121.18</v>
      </c>
      <c r="BD118" s="132">
        <v>121.32</v>
      </c>
      <c r="BE118" s="132">
        <v>121.36</v>
      </c>
      <c r="BF118" s="132">
        <v>121.3</v>
      </c>
      <c r="BG118" s="132">
        <v>120.54</v>
      </c>
      <c r="BH118" s="132">
        <v>121.27</v>
      </c>
      <c r="BI118" s="132">
        <v>121.72</v>
      </c>
      <c r="BJ118" s="132">
        <v>122.94</v>
      </c>
      <c r="BK118" s="132">
        <v>121.98</v>
      </c>
    </row>
    <row r="119" spans="1:63" ht="15" x14ac:dyDescent="0.25">
      <c r="A119" s="127">
        <v>42844</v>
      </c>
      <c r="B119" s="131">
        <v>0.6</v>
      </c>
      <c r="C119" s="132">
        <v>121.36</v>
      </c>
      <c r="BB119" s="132">
        <v>121.31</v>
      </c>
      <c r="BC119" s="132">
        <v>121.23</v>
      </c>
      <c r="BD119" s="132">
        <v>121.36</v>
      </c>
      <c r="BE119" s="132">
        <v>121.42</v>
      </c>
      <c r="BF119" s="132">
        <v>121.36</v>
      </c>
      <c r="BG119" s="132">
        <v>120.73</v>
      </c>
      <c r="BH119" s="132">
        <v>121.51</v>
      </c>
      <c r="BI119" s="132">
        <v>121.39</v>
      </c>
      <c r="BJ119" s="132">
        <v>121.61</v>
      </c>
      <c r="BK119" s="132">
        <v>122.16</v>
      </c>
    </row>
    <row r="120" spans="1:63" ht="15" x14ac:dyDescent="0.25">
      <c r="A120" s="127">
        <v>42844</v>
      </c>
      <c r="B120" s="131">
        <v>0.60034722222222225</v>
      </c>
      <c r="C120" s="132">
        <v>121.34</v>
      </c>
      <c r="BB120" s="132">
        <v>121.31</v>
      </c>
      <c r="BC120" s="132">
        <v>121.21</v>
      </c>
      <c r="BD120" s="132">
        <v>121.33</v>
      </c>
      <c r="BE120" s="132">
        <v>121.41</v>
      </c>
      <c r="BF120" s="132">
        <v>121.34</v>
      </c>
      <c r="BG120" s="132">
        <v>120.79</v>
      </c>
      <c r="BH120" s="132">
        <v>121.57</v>
      </c>
      <c r="BI120" s="132">
        <v>122.38</v>
      </c>
      <c r="BJ120" s="132">
        <v>123</v>
      </c>
      <c r="BK120" s="132">
        <v>122.05</v>
      </c>
    </row>
    <row r="121" spans="1:63" ht="15" x14ac:dyDescent="0.25">
      <c r="A121" s="127">
        <v>42844</v>
      </c>
      <c r="B121" s="131">
        <v>0.60069444444444442</v>
      </c>
      <c r="C121" s="132">
        <v>121.38</v>
      </c>
      <c r="BB121" s="132">
        <v>121.34</v>
      </c>
      <c r="BC121" s="132">
        <v>121.22</v>
      </c>
      <c r="BD121" s="132">
        <v>121.36</v>
      </c>
      <c r="BE121" s="132">
        <v>121.45</v>
      </c>
      <c r="BF121" s="132">
        <v>121.38</v>
      </c>
      <c r="BG121" s="132">
        <v>120.82</v>
      </c>
      <c r="BH121" s="132">
        <v>121.44</v>
      </c>
      <c r="BI121" s="132">
        <v>121.42</v>
      </c>
      <c r="BJ121" s="132">
        <v>121.19</v>
      </c>
      <c r="BK121" s="132">
        <v>122.09</v>
      </c>
    </row>
    <row r="122" spans="1:63" ht="15" x14ac:dyDescent="0.25">
      <c r="A122" s="127">
        <v>42844</v>
      </c>
      <c r="B122" s="131">
        <v>0.6010416666666667</v>
      </c>
      <c r="C122" s="132">
        <v>121.38</v>
      </c>
      <c r="BB122" s="132">
        <v>121.36</v>
      </c>
      <c r="BC122" s="132">
        <v>121.24</v>
      </c>
      <c r="BD122" s="132">
        <v>121.36</v>
      </c>
      <c r="BE122" s="132">
        <v>121.47</v>
      </c>
      <c r="BF122" s="132">
        <v>121.38</v>
      </c>
      <c r="BG122" s="132">
        <v>121.01</v>
      </c>
      <c r="BH122" s="132">
        <v>121.79</v>
      </c>
      <c r="BI122" s="132">
        <v>122.42</v>
      </c>
      <c r="BJ122" s="132">
        <v>122.83</v>
      </c>
      <c r="BK122" s="132">
        <v>122.14</v>
      </c>
    </row>
    <row r="123" spans="1:63" ht="15" x14ac:dyDescent="0.25">
      <c r="A123" s="127">
        <v>42844</v>
      </c>
      <c r="B123" s="131">
        <v>0.60138888888888886</v>
      </c>
      <c r="C123" s="132">
        <v>121.39</v>
      </c>
      <c r="BB123" s="132">
        <v>121.35</v>
      </c>
      <c r="BC123" s="132">
        <v>121.21</v>
      </c>
      <c r="BD123" s="132">
        <v>121.34</v>
      </c>
      <c r="BE123" s="132">
        <v>121.47</v>
      </c>
      <c r="BF123" s="132">
        <v>121.39</v>
      </c>
      <c r="BG123" s="132">
        <v>120.87</v>
      </c>
      <c r="BH123" s="132">
        <v>121.27</v>
      </c>
      <c r="BI123" s="132">
        <v>121.45</v>
      </c>
      <c r="BJ123" s="132">
        <v>121.28</v>
      </c>
      <c r="BK123" s="132">
        <v>122</v>
      </c>
    </row>
    <row r="124" spans="1:63" ht="15" x14ac:dyDescent="0.25">
      <c r="A124" s="127">
        <v>42844</v>
      </c>
      <c r="B124" s="131">
        <v>0.60173611111111114</v>
      </c>
      <c r="C124" s="132">
        <v>121.42</v>
      </c>
      <c r="BB124" s="132">
        <v>121.39</v>
      </c>
      <c r="BC124" s="132">
        <v>121.26</v>
      </c>
      <c r="BD124" s="132">
        <v>121.37</v>
      </c>
      <c r="BE124" s="132">
        <v>121.52</v>
      </c>
      <c r="BF124" s="132">
        <v>121.42</v>
      </c>
      <c r="BG124" s="132">
        <v>121.13</v>
      </c>
      <c r="BH124" s="132">
        <v>121.84</v>
      </c>
      <c r="BI124" s="132">
        <v>121.87</v>
      </c>
      <c r="BJ124" s="132">
        <v>122.26</v>
      </c>
      <c r="BK124" s="132">
        <v>122.17</v>
      </c>
    </row>
    <row r="125" spans="1:63" ht="15" x14ac:dyDescent="0.25">
      <c r="A125" s="127">
        <v>42844</v>
      </c>
      <c r="B125" s="131">
        <v>0.6020833333333333</v>
      </c>
      <c r="C125" s="132">
        <v>121.41</v>
      </c>
      <c r="BB125" s="132">
        <v>121.37</v>
      </c>
      <c r="BC125" s="132">
        <v>121.22</v>
      </c>
      <c r="BD125" s="132">
        <v>121.34</v>
      </c>
      <c r="BE125" s="132">
        <v>121.5</v>
      </c>
      <c r="BF125" s="132">
        <v>121.41</v>
      </c>
      <c r="BG125" s="132">
        <v>120.98</v>
      </c>
      <c r="BH125" s="132">
        <v>121.41</v>
      </c>
      <c r="BI125" s="132">
        <v>121.72</v>
      </c>
      <c r="BJ125" s="132">
        <v>122.57</v>
      </c>
      <c r="BK125" s="132">
        <v>121.95</v>
      </c>
    </row>
    <row r="126" spans="1:63" ht="15" x14ac:dyDescent="0.25">
      <c r="A126" s="127">
        <v>42844</v>
      </c>
      <c r="B126" s="131">
        <v>0.60243055555555558</v>
      </c>
      <c r="C126" s="132">
        <v>121.46</v>
      </c>
      <c r="BB126" s="132">
        <v>121.43</v>
      </c>
      <c r="BC126" s="132">
        <v>121.28</v>
      </c>
      <c r="BD126" s="132">
        <v>121.39</v>
      </c>
      <c r="BE126" s="132">
        <v>121.56</v>
      </c>
      <c r="BF126" s="132">
        <v>121.46</v>
      </c>
      <c r="BG126" s="132">
        <v>121.21</v>
      </c>
      <c r="BH126" s="132">
        <v>121.81</v>
      </c>
      <c r="BI126" s="132">
        <v>121.51</v>
      </c>
      <c r="BJ126" s="132">
        <v>121.71</v>
      </c>
      <c r="BK126" s="132">
        <v>122.16</v>
      </c>
    </row>
    <row r="127" spans="1:63" ht="15" x14ac:dyDescent="0.25">
      <c r="A127" s="127">
        <v>42844</v>
      </c>
      <c r="B127" s="131">
        <v>0.60277777777777775</v>
      </c>
      <c r="C127" s="132">
        <v>121.44</v>
      </c>
      <c r="BB127" s="132">
        <v>121.41</v>
      </c>
      <c r="BC127" s="132">
        <v>121.25</v>
      </c>
      <c r="BD127" s="132">
        <v>121.37</v>
      </c>
      <c r="BE127" s="132">
        <v>121.53999999999999</v>
      </c>
      <c r="BF127" s="132">
        <v>121.44</v>
      </c>
      <c r="BG127" s="132">
        <v>121.16</v>
      </c>
      <c r="BH127" s="132">
        <v>121.62</v>
      </c>
      <c r="BI127" s="132">
        <v>122.13</v>
      </c>
      <c r="BJ127" s="132">
        <v>122.9</v>
      </c>
      <c r="BK127" s="132">
        <v>121.97</v>
      </c>
    </row>
    <row r="128" spans="1:63" ht="15" x14ac:dyDescent="0.25">
      <c r="A128" s="127">
        <v>42844</v>
      </c>
      <c r="B128" s="131">
        <v>0.60312500000000002</v>
      </c>
      <c r="C128" s="132">
        <v>121.5</v>
      </c>
      <c r="BB128" s="132">
        <v>121.47</v>
      </c>
      <c r="BC128" s="132">
        <v>121.31</v>
      </c>
      <c r="BD128" s="132">
        <v>121.42</v>
      </c>
      <c r="BE128" s="132">
        <v>121.6</v>
      </c>
      <c r="BF128" s="132">
        <v>121.5</v>
      </c>
      <c r="BG128" s="132">
        <v>121.3</v>
      </c>
      <c r="BH128" s="132">
        <v>121.81</v>
      </c>
      <c r="BI128" s="132">
        <v>121.44</v>
      </c>
      <c r="BJ128" s="132">
        <v>121.56</v>
      </c>
      <c r="BK128" s="132">
        <v>122.15</v>
      </c>
    </row>
    <row r="129" spans="1:63" ht="15" x14ac:dyDescent="0.25">
      <c r="A129" s="127">
        <v>42844</v>
      </c>
      <c r="B129" s="131">
        <v>0.60347222222222219</v>
      </c>
      <c r="C129" s="132">
        <v>121.47</v>
      </c>
      <c r="BB129" s="132">
        <v>121.44</v>
      </c>
      <c r="BC129" s="132">
        <v>121.29</v>
      </c>
      <c r="BD129" s="132">
        <v>121.39</v>
      </c>
      <c r="BE129" s="132">
        <v>121.58</v>
      </c>
      <c r="BF129" s="132">
        <v>121.47</v>
      </c>
      <c r="BG129" s="132">
        <v>121.26</v>
      </c>
      <c r="BH129" s="132">
        <v>121.68</v>
      </c>
      <c r="BI129" s="132">
        <v>122.2</v>
      </c>
      <c r="BJ129" s="132">
        <v>122.88</v>
      </c>
      <c r="BK129" s="132">
        <v>121.97</v>
      </c>
    </row>
    <row r="130" spans="1:63" ht="15" x14ac:dyDescent="0.25">
      <c r="A130" s="127">
        <v>42844</v>
      </c>
      <c r="B130" s="131">
        <v>0.60381944444444446</v>
      </c>
      <c r="C130" s="132">
        <v>121.52</v>
      </c>
      <c r="BB130" s="132">
        <v>121.49</v>
      </c>
      <c r="BC130" s="132">
        <v>121.33</v>
      </c>
      <c r="BD130" s="132">
        <v>121.44</v>
      </c>
      <c r="BE130" s="132">
        <v>121.63</v>
      </c>
      <c r="BF130" s="132">
        <v>121.52</v>
      </c>
      <c r="BG130" s="132">
        <v>121.36</v>
      </c>
      <c r="BH130" s="132">
        <v>121.8</v>
      </c>
      <c r="BI130" s="132">
        <v>121.42</v>
      </c>
      <c r="BJ130" s="132">
        <v>121.44</v>
      </c>
      <c r="BK130" s="132">
        <v>122.12</v>
      </c>
    </row>
    <row r="131" spans="1:63" ht="15" x14ac:dyDescent="0.25">
      <c r="A131" s="127">
        <v>42844</v>
      </c>
      <c r="B131" s="131">
        <v>0.60416666666666663</v>
      </c>
      <c r="C131" s="132">
        <v>121.49</v>
      </c>
      <c r="BB131" s="132">
        <v>121.46</v>
      </c>
      <c r="BC131" s="132">
        <v>121.31</v>
      </c>
      <c r="BD131" s="132">
        <v>121.41</v>
      </c>
      <c r="BE131" s="132">
        <v>121.61999999999999</v>
      </c>
      <c r="BF131" s="132">
        <v>121.49</v>
      </c>
      <c r="BG131" s="132">
        <v>121.35</v>
      </c>
      <c r="BH131" s="132">
        <v>121.71</v>
      </c>
      <c r="BI131" s="132">
        <v>122.21</v>
      </c>
      <c r="BJ131" s="132">
        <v>122.86</v>
      </c>
      <c r="BK131" s="132">
        <v>121.95</v>
      </c>
    </row>
    <row r="132" spans="1:63" ht="15" x14ac:dyDescent="0.25">
      <c r="A132" s="127">
        <v>42844</v>
      </c>
      <c r="B132" s="131">
        <v>0.60451388888888891</v>
      </c>
      <c r="C132" s="132">
        <v>121.54</v>
      </c>
      <c r="BB132" s="132">
        <v>121.51</v>
      </c>
      <c r="BC132" s="132">
        <v>121.36</v>
      </c>
      <c r="BD132" s="132">
        <v>121.46</v>
      </c>
      <c r="BE132" s="132">
        <v>121.67</v>
      </c>
      <c r="BF132" s="132">
        <v>121.54</v>
      </c>
      <c r="BG132" s="132">
        <v>121.44</v>
      </c>
      <c r="BH132" s="132">
        <v>121.85</v>
      </c>
      <c r="BI132" s="132">
        <v>121.47</v>
      </c>
      <c r="BJ132" s="132">
        <v>121.52</v>
      </c>
      <c r="BK132" s="132">
        <v>122.11</v>
      </c>
    </row>
    <row r="133" spans="1:63" ht="15" x14ac:dyDescent="0.25">
      <c r="A133" s="127">
        <v>42844</v>
      </c>
      <c r="B133" s="131">
        <v>0.60486111111111118</v>
      </c>
      <c r="C133" s="132">
        <v>121.51</v>
      </c>
      <c r="BB133" s="132">
        <v>121.48</v>
      </c>
      <c r="BC133" s="132">
        <v>121.33</v>
      </c>
      <c r="BD133" s="132">
        <v>121.43</v>
      </c>
      <c r="BE133" s="132">
        <v>121.64</v>
      </c>
      <c r="BF133" s="132">
        <v>121.51</v>
      </c>
      <c r="BG133" s="132">
        <v>121.4</v>
      </c>
      <c r="BH133" s="132">
        <v>121.72</v>
      </c>
      <c r="BI133" s="132">
        <v>122.15</v>
      </c>
      <c r="BJ133" s="132">
        <v>122.7</v>
      </c>
      <c r="BK133" s="132">
        <v>121.91</v>
      </c>
    </row>
    <row r="134" spans="1:63" ht="15" x14ac:dyDescent="0.25">
      <c r="A134" s="127">
        <v>42844</v>
      </c>
      <c r="B134" s="131">
        <v>0.60520833333333335</v>
      </c>
      <c r="C134" s="132">
        <v>121.56</v>
      </c>
      <c r="BB134" s="132">
        <v>121.52</v>
      </c>
      <c r="BC134" s="132">
        <v>121.37</v>
      </c>
      <c r="BD134" s="132">
        <v>121.47</v>
      </c>
      <c r="BE134" s="132">
        <v>121.69</v>
      </c>
      <c r="BF134" s="132">
        <v>121.56</v>
      </c>
      <c r="BG134" s="132">
        <v>121.52</v>
      </c>
      <c r="BH134" s="132">
        <v>121.91</v>
      </c>
      <c r="BI134" s="132">
        <v>121.57</v>
      </c>
      <c r="BJ134" s="132">
        <v>121.6</v>
      </c>
      <c r="BK134" s="132">
        <v>122.1</v>
      </c>
    </row>
    <row r="135" spans="1:63" ht="15" x14ac:dyDescent="0.25">
      <c r="A135" s="127">
        <v>42844</v>
      </c>
      <c r="B135" s="131">
        <v>0.60555555555555551</v>
      </c>
      <c r="C135" s="132">
        <v>121.54</v>
      </c>
      <c r="BB135" s="132">
        <v>121.51</v>
      </c>
      <c r="BC135" s="132">
        <v>121.35</v>
      </c>
      <c r="BD135" s="132">
        <v>121.45</v>
      </c>
      <c r="BE135" s="132">
        <v>121.67999999999999</v>
      </c>
      <c r="BF135" s="132">
        <v>121.54</v>
      </c>
      <c r="BG135" s="132">
        <v>121.51</v>
      </c>
      <c r="BH135" s="132">
        <v>121.9</v>
      </c>
      <c r="BI135" s="132">
        <v>122.56</v>
      </c>
      <c r="BJ135" s="132">
        <v>123.08</v>
      </c>
      <c r="BK135" s="132">
        <v>121.96</v>
      </c>
    </row>
    <row r="136" spans="1:63" ht="15" x14ac:dyDescent="0.25">
      <c r="A136" s="127">
        <v>42844</v>
      </c>
      <c r="B136" s="131">
        <v>0.60590277777777779</v>
      </c>
      <c r="C136" s="132">
        <v>121.59</v>
      </c>
      <c r="BB136" s="132">
        <v>121.55</v>
      </c>
      <c r="BC136" s="132">
        <v>121.39</v>
      </c>
      <c r="BD136" s="132">
        <v>121.5</v>
      </c>
      <c r="BE136" s="132">
        <v>121.72</v>
      </c>
      <c r="BF136" s="132">
        <v>121.59</v>
      </c>
      <c r="BG136" s="132">
        <v>121.58</v>
      </c>
      <c r="BH136" s="132">
        <v>121.93</v>
      </c>
      <c r="BI136" s="132">
        <v>121.5</v>
      </c>
      <c r="BJ136" s="132">
        <v>121.43</v>
      </c>
      <c r="BK136" s="132">
        <v>122.1</v>
      </c>
    </row>
    <row r="137" spans="1:63" ht="15" x14ac:dyDescent="0.25">
      <c r="A137" s="127">
        <v>42844</v>
      </c>
      <c r="B137" s="131">
        <v>0.60625000000000007</v>
      </c>
      <c r="C137" s="132">
        <v>121.56</v>
      </c>
      <c r="BB137" s="132">
        <v>121.53</v>
      </c>
      <c r="BC137" s="132">
        <v>121.37</v>
      </c>
      <c r="BD137" s="132">
        <v>121.48</v>
      </c>
      <c r="BE137" s="132">
        <v>121.71</v>
      </c>
      <c r="BF137" s="132">
        <v>121.56</v>
      </c>
      <c r="BG137" s="132">
        <v>121.58</v>
      </c>
      <c r="BH137" s="132">
        <v>122.01</v>
      </c>
      <c r="BI137" s="132">
        <v>122.77</v>
      </c>
      <c r="BJ137" s="132">
        <v>123.09</v>
      </c>
      <c r="BK137" s="132">
        <v>121.97</v>
      </c>
    </row>
    <row r="138" spans="1:63" ht="15" x14ac:dyDescent="0.25">
      <c r="A138" s="127">
        <v>42844</v>
      </c>
      <c r="B138" s="131">
        <v>0.60659722222222223</v>
      </c>
      <c r="C138" s="132">
        <v>121.62</v>
      </c>
      <c r="BB138" s="132">
        <v>121.56</v>
      </c>
      <c r="BC138" s="132">
        <v>121.41</v>
      </c>
      <c r="BD138" s="132">
        <v>121.52</v>
      </c>
      <c r="BE138" s="132">
        <v>121.75</v>
      </c>
      <c r="BF138" s="132">
        <v>121.62</v>
      </c>
      <c r="BG138" s="132">
        <v>121.63</v>
      </c>
      <c r="BH138" s="132">
        <v>121.97</v>
      </c>
      <c r="BI138" s="132">
        <v>121.52</v>
      </c>
      <c r="BJ138" s="132">
        <v>121.52</v>
      </c>
      <c r="BK138" s="132">
        <v>122.11</v>
      </c>
    </row>
    <row r="139" spans="1:63" ht="15" x14ac:dyDescent="0.25">
      <c r="A139" s="127">
        <v>42844</v>
      </c>
      <c r="B139" s="131">
        <v>0.6069444444444444</v>
      </c>
      <c r="C139" s="132">
        <v>121.59</v>
      </c>
      <c r="BB139" s="132">
        <v>121.55</v>
      </c>
      <c r="BC139" s="132">
        <v>121.41</v>
      </c>
      <c r="BD139" s="132">
        <v>121.51</v>
      </c>
      <c r="BE139" s="132">
        <v>121.75</v>
      </c>
      <c r="BF139" s="132">
        <v>121.59</v>
      </c>
      <c r="BG139" s="132">
        <v>121.68</v>
      </c>
      <c r="BH139" s="132">
        <v>122.12</v>
      </c>
      <c r="BI139" s="132">
        <v>123.02</v>
      </c>
      <c r="BJ139" s="132">
        <v>123.04</v>
      </c>
      <c r="BK139" s="132">
        <v>122.02</v>
      </c>
    </row>
    <row r="140" spans="1:63" ht="15" x14ac:dyDescent="0.25">
      <c r="A140" s="127">
        <v>42844</v>
      </c>
      <c r="B140" s="131">
        <v>0.60729166666666667</v>
      </c>
      <c r="C140" s="132">
        <v>121.64</v>
      </c>
      <c r="BB140" s="132">
        <v>121.57</v>
      </c>
      <c r="BC140" s="132">
        <v>121.43</v>
      </c>
      <c r="BD140" s="132">
        <v>121.54</v>
      </c>
      <c r="BE140" s="132">
        <v>121.78</v>
      </c>
      <c r="BF140" s="132">
        <v>121.64</v>
      </c>
      <c r="BG140" s="132">
        <v>121.67</v>
      </c>
      <c r="BH140" s="132">
        <v>121.92</v>
      </c>
      <c r="BI140" s="132">
        <v>121.37</v>
      </c>
      <c r="BJ140" s="132">
        <v>121.35</v>
      </c>
      <c r="BK140" s="132">
        <v>122.08</v>
      </c>
    </row>
    <row r="141" spans="1:63" ht="15" x14ac:dyDescent="0.25">
      <c r="A141" s="127">
        <v>42844</v>
      </c>
      <c r="B141" s="131">
        <v>0.60763888888888895</v>
      </c>
      <c r="C141" s="132">
        <v>121.62</v>
      </c>
      <c r="BB141" s="132">
        <v>121.57</v>
      </c>
      <c r="BC141" s="132">
        <v>121.44</v>
      </c>
      <c r="BD141" s="132">
        <v>121.53</v>
      </c>
      <c r="BE141" s="132">
        <v>121.78</v>
      </c>
      <c r="BF141" s="132">
        <v>121.62</v>
      </c>
      <c r="BG141" s="132">
        <v>121.77</v>
      </c>
      <c r="BH141" s="132">
        <v>122.23</v>
      </c>
      <c r="BI141" s="132">
        <v>122.98</v>
      </c>
      <c r="BJ141" s="132">
        <v>123.1</v>
      </c>
      <c r="BK141" s="132">
        <v>122.07</v>
      </c>
    </row>
    <row r="142" spans="1:63" ht="15" x14ac:dyDescent="0.25">
      <c r="A142" s="127">
        <v>42844</v>
      </c>
      <c r="B142" s="131">
        <v>0.60798611111111112</v>
      </c>
      <c r="C142" s="132">
        <v>121.66</v>
      </c>
      <c r="BB142" s="132">
        <v>121.58</v>
      </c>
      <c r="BC142" s="132">
        <v>121.45</v>
      </c>
      <c r="BD142" s="132">
        <v>121.55</v>
      </c>
      <c r="BE142" s="132">
        <v>121.8</v>
      </c>
      <c r="BF142" s="132">
        <v>121.66</v>
      </c>
      <c r="BG142" s="132">
        <v>121.69</v>
      </c>
      <c r="BH142" s="132">
        <v>121.88</v>
      </c>
      <c r="BI142" s="132">
        <v>121.26</v>
      </c>
      <c r="BJ142" s="132">
        <v>121.29</v>
      </c>
      <c r="BK142" s="132">
        <v>122.05</v>
      </c>
    </row>
    <row r="143" spans="1:63" ht="15" x14ac:dyDescent="0.25">
      <c r="A143" s="127">
        <v>42844</v>
      </c>
      <c r="B143" s="131">
        <v>0.60833333333333328</v>
      </c>
      <c r="C143" s="132">
        <v>121.65</v>
      </c>
      <c r="BB143" s="132">
        <v>121.59</v>
      </c>
      <c r="BC143" s="132">
        <v>121.47</v>
      </c>
      <c r="BD143" s="132">
        <v>121.56</v>
      </c>
      <c r="BE143" s="132">
        <v>121.82</v>
      </c>
      <c r="BF143" s="132">
        <v>121.65</v>
      </c>
      <c r="BG143" s="132">
        <v>121.85</v>
      </c>
      <c r="BH143" s="132">
        <v>122.34</v>
      </c>
      <c r="BI143" s="132">
        <v>123</v>
      </c>
      <c r="BJ143" s="132">
        <v>123.16</v>
      </c>
      <c r="BK143" s="132">
        <v>122.15</v>
      </c>
    </row>
    <row r="144" spans="1:63" ht="15" x14ac:dyDescent="0.25">
      <c r="A144" s="127">
        <v>42844</v>
      </c>
      <c r="B144" s="131">
        <v>0.60868055555555556</v>
      </c>
      <c r="C144" s="132">
        <v>121.68</v>
      </c>
      <c r="BB144" s="132">
        <v>121.59</v>
      </c>
      <c r="BC144" s="132">
        <v>121.45</v>
      </c>
      <c r="BD144" s="132">
        <v>121.57</v>
      </c>
      <c r="BE144" s="132">
        <v>121.82</v>
      </c>
      <c r="BF144" s="132">
        <v>121.68</v>
      </c>
      <c r="BG144" s="132">
        <v>121.7</v>
      </c>
      <c r="BH144" s="132">
        <v>121.8</v>
      </c>
      <c r="BI144" s="132">
        <v>121.11</v>
      </c>
      <c r="BJ144" s="132">
        <v>120.94</v>
      </c>
      <c r="BK144" s="132">
        <v>122.03</v>
      </c>
    </row>
    <row r="145" spans="1:63" ht="15" x14ac:dyDescent="0.25">
      <c r="A145" s="127">
        <v>42844</v>
      </c>
      <c r="B145" s="131">
        <v>0.60902777777777783</v>
      </c>
      <c r="C145" s="132">
        <v>121.69</v>
      </c>
      <c r="BB145" s="132">
        <v>121.62</v>
      </c>
      <c r="BC145" s="132">
        <v>121.5</v>
      </c>
      <c r="BD145" s="132">
        <v>121.59</v>
      </c>
      <c r="BE145" s="132">
        <v>121.85</v>
      </c>
      <c r="BF145" s="132">
        <v>121.69</v>
      </c>
      <c r="BG145" s="132">
        <v>121.9</v>
      </c>
      <c r="BH145" s="132">
        <v>122.36</v>
      </c>
      <c r="BI145" s="132">
        <v>122.69</v>
      </c>
      <c r="BJ145" s="132">
        <v>122.74</v>
      </c>
      <c r="BK145" s="132">
        <v>122.19</v>
      </c>
    </row>
    <row r="146" spans="1:63" ht="15" x14ac:dyDescent="0.25">
      <c r="A146" s="127">
        <v>42844</v>
      </c>
      <c r="B146" s="131">
        <v>0.609375</v>
      </c>
      <c r="C146" s="132">
        <v>121.69</v>
      </c>
      <c r="BB146" s="132">
        <v>121.59</v>
      </c>
      <c r="BC146" s="132">
        <v>121.46</v>
      </c>
      <c r="BD146" s="132">
        <v>121.57</v>
      </c>
      <c r="BE146" s="132">
        <v>121.84</v>
      </c>
      <c r="BF146" s="132">
        <v>121.69</v>
      </c>
      <c r="BG146" s="132">
        <v>121.71</v>
      </c>
      <c r="BH146" s="132">
        <v>121.74</v>
      </c>
      <c r="BI146" s="132">
        <v>121.34</v>
      </c>
      <c r="BJ146" s="132">
        <v>121.96</v>
      </c>
      <c r="BK146" s="132">
        <v>121.99</v>
      </c>
    </row>
    <row r="147" spans="1:63" ht="15" x14ac:dyDescent="0.25">
      <c r="A147" s="127">
        <v>42844</v>
      </c>
      <c r="B147" s="131">
        <v>0.60972222222222217</v>
      </c>
      <c r="C147" s="132">
        <v>121.73</v>
      </c>
      <c r="BB147" s="132">
        <v>121.64</v>
      </c>
      <c r="BC147" s="132">
        <v>121.53</v>
      </c>
      <c r="BD147" s="132">
        <v>121.62</v>
      </c>
      <c r="BE147" s="132">
        <v>121.89999999999999</v>
      </c>
      <c r="BF147" s="132">
        <v>121.73</v>
      </c>
      <c r="BG147" s="132">
        <v>121.91</v>
      </c>
      <c r="BH147" s="132">
        <v>122.3</v>
      </c>
      <c r="BI147" s="132">
        <v>122.25</v>
      </c>
      <c r="BJ147" s="132">
        <v>122.33</v>
      </c>
      <c r="BK147" s="132">
        <v>122.21</v>
      </c>
    </row>
    <row r="148" spans="1:63" ht="15" x14ac:dyDescent="0.25">
      <c r="A148" s="127">
        <v>42844</v>
      </c>
      <c r="B148" s="131">
        <v>0.61006944444444444</v>
      </c>
      <c r="C148" s="132">
        <v>121.7</v>
      </c>
      <c r="BB148" s="132">
        <v>121.6</v>
      </c>
      <c r="BC148" s="132">
        <v>121.48</v>
      </c>
      <c r="BD148" s="132">
        <v>121.59</v>
      </c>
      <c r="BE148" s="132">
        <v>121.86</v>
      </c>
      <c r="BF148" s="132">
        <v>121.7</v>
      </c>
      <c r="BG148" s="132">
        <v>121.78</v>
      </c>
      <c r="BH148" s="132">
        <v>121.93</v>
      </c>
      <c r="BI148" s="132">
        <v>122.17</v>
      </c>
      <c r="BJ148" s="132">
        <v>122.66</v>
      </c>
      <c r="BK148" s="132">
        <v>121.97</v>
      </c>
    </row>
    <row r="149" spans="1:63" ht="15" x14ac:dyDescent="0.25">
      <c r="A149" s="127">
        <v>42844</v>
      </c>
      <c r="B149" s="131">
        <v>0.61041666666666672</v>
      </c>
      <c r="C149" s="132">
        <v>121.75</v>
      </c>
      <c r="BB149" s="132">
        <v>121.65</v>
      </c>
      <c r="BC149" s="132">
        <v>121.53</v>
      </c>
      <c r="BD149" s="132">
        <v>121.64</v>
      </c>
      <c r="BE149" s="132">
        <v>121.91</v>
      </c>
      <c r="BF149" s="132">
        <v>121.75</v>
      </c>
      <c r="BG149" s="132">
        <v>121.91</v>
      </c>
      <c r="BH149" s="132">
        <v>122.21</v>
      </c>
      <c r="BI149" s="132">
        <v>121.9</v>
      </c>
      <c r="BJ149" s="132">
        <v>121.9</v>
      </c>
      <c r="BK149" s="132">
        <v>122.16</v>
      </c>
    </row>
    <row r="150" spans="1:63" ht="15" x14ac:dyDescent="0.25">
      <c r="A150" s="127">
        <v>42844</v>
      </c>
      <c r="B150" s="131">
        <v>0.61076388888888888</v>
      </c>
      <c r="C150" s="132">
        <v>121.72</v>
      </c>
      <c r="BB150" s="132">
        <v>121.63</v>
      </c>
      <c r="BC150" s="132">
        <v>121.51</v>
      </c>
      <c r="BD150" s="132">
        <v>121.61</v>
      </c>
      <c r="BE150" s="132">
        <v>121.89999999999999</v>
      </c>
      <c r="BF150" s="132">
        <v>121.72</v>
      </c>
      <c r="BG150" s="132">
        <v>121.88</v>
      </c>
      <c r="BH150" s="132">
        <v>122.18</v>
      </c>
      <c r="BI150" s="132">
        <v>122.86</v>
      </c>
      <c r="BJ150" s="132">
        <v>123.12</v>
      </c>
      <c r="BK150" s="132">
        <v>122.02</v>
      </c>
    </row>
    <row r="151" spans="1:63" ht="15" x14ac:dyDescent="0.25">
      <c r="A151" s="127">
        <v>42844</v>
      </c>
      <c r="B151" s="131">
        <v>0.61111111111111105</v>
      </c>
      <c r="C151" s="132">
        <v>121.76</v>
      </c>
      <c r="BB151" s="132">
        <v>121.66</v>
      </c>
      <c r="BC151" s="132">
        <v>121.55</v>
      </c>
      <c r="BD151" s="132">
        <v>121.65</v>
      </c>
      <c r="BE151" s="132">
        <v>121.92999999999999</v>
      </c>
      <c r="BF151" s="132">
        <v>121.76</v>
      </c>
      <c r="BG151" s="132">
        <v>121.9</v>
      </c>
      <c r="BH151" s="132">
        <v>122.1</v>
      </c>
      <c r="BI151" s="132">
        <v>121.58</v>
      </c>
      <c r="BJ151" s="132">
        <v>121.39</v>
      </c>
      <c r="BK151" s="132">
        <v>122.11</v>
      </c>
    </row>
    <row r="152" spans="1:63" ht="15" x14ac:dyDescent="0.25">
      <c r="A152" s="127">
        <v>42844</v>
      </c>
      <c r="B152" s="131">
        <v>0.61145833333333333</v>
      </c>
      <c r="C152" s="132">
        <v>121.75</v>
      </c>
      <c r="BB152" s="132">
        <v>121.66</v>
      </c>
      <c r="BC152" s="132">
        <v>121.56</v>
      </c>
      <c r="BD152" s="132">
        <v>121.65</v>
      </c>
      <c r="BE152" s="132">
        <v>121.94</v>
      </c>
      <c r="BF152" s="132">
        <v>121.75</v>
      </c>
      <c r="BG152" s="132">
        <v>121.98</v>
      </c>
      <c r="BH152" s="132">
        <v>122.37</v>
      </c>
      <c r="BI152" s="132">
        <v>123</v>
      </c>
      <c r="BJ152" s="132">
        <v>123.12</v>
      </c>
      <c r="BK152" s="132">
        <v>122.09</v>
      </c>
    </row>
    <row r="153" spans="1:63" ht="15" x14ac:dyDescent="0.25">
      <c r="A153" s="127">
        <v>42844</v>
      </c>
      <c r="B153" s="131">
        <v>0.6118055555555556</v>
      </c>
      <c r="C153" s="132">
        <v>121.78</v>
      </c>
      <c r="BB153" s="132">
        <v>121.66</v>
      </c>
      <c r="BC153" s="132">
        <v>121.55</v>
      </c>
      <c r="BD153" s="132">
        <v>121.67</v>
      </c>
      <c r="BE153" s="132">
        <v>121.95</v>
      </c>
      <c r="BF153" s="132">
        <v>121.78</v>
      </c>
      <c r="BG153" s="132">
        <v>121.89</v>
      </c>
      <c r="BH153" s="132">
        <v>121.99</v>
      </c>
      <c r="BI153" s="132">
        <v>121.27</v>
      </c>
      <c r="BJ153" s="132">
        <v>120.95</v>
      </c>
      <c r="BK153" s="132">
        <v>122.06</v>
      </c>
    </row>
    <row r="154" spans="1:63" ht="15" x14ac:dyDescent="0.25">
      <c r="A154" s="127">
        <v>42844</v>
      </c>
      <c r="B154" s="131">
        <v>0.61215277777777777</v>
      </c>
      <c r="C154" s="132">
        <v>121.76</v>
      </c>
      <c r="BB154" s="132">
        <v>121.66</v>
      </c>
      <c r="BC154" s="132">
        <v>121.58</v>
      </c>
      <c r="BD154" s="132">
        <v>121.67</v>
      </c>
      <c r="BE154" s="132">
        <v>121.96</v>
      </c>
      <c r="BF154" s="132">
        <v>121.76</v>
      </c>
      <c r="BG154" s="132">
        <v>122.01</v>
      </c>
      <c r="BH154" s="132">
        <v>122.43</v>
      </c>
      <c r="BI154" s="132">
        <v>123.03</v>
      </c>
      <c r="BJ154" s="132">
        <v>123.11</v>
      </c>
      <c r="BK154" s="132">
        <v>122.11</v>
      </c>
    </row>
    <row r="155" spans="1:63" ht="15" x14ac:dyDescent="0.25">
      <c r="A155" s="127">
        <v>42844</v>
      </c>
      <c r="B155" s="131">
        <v>0.61249999999999993</v>
      </c>
      <c r="C155" s="132">
        <v>121.79</v>
      </c>
      <c r="BB155" s="132">
        <v>121.66</v>
      </c>
      <c r="BC155" s="132">
        <v>121.56</v>
      </c>
      <c r="BD155" s="132">
        <v>121.67</v>
      </c>
      <c r="BE155" s="132">
        <v>121.96</v>
      </c>
      <c r="BF155" s="132">
        <v>121.79</v>
      </c>
      <c r="BG155" s="132">
        <v>121.89</v>
      </c>
      <c r="BH155" s="132">
        <v>121.94</v>
      </c>
      <c r="BI155" s="132">
        <v>121.14</v>
      </c>
      <c r="BJ155" s="132">
        <v>120.87</v>
      </c>
      <c r="BK155" s="132">
        <v>122.01</v>
      </c>
    </row>
    <row r="156" spans="1:63" ht="15" x14ac:dyDescent="0.25">
      <c r="A156" s="127">
        <v>42844</v>
      </c>
      <c r="B156" s="131">
        <v>0.61284722222222221</v>
      </c>
      <c r="C156" s="132">
        <v>121.79</v>
      </c>
      <c r="BB156" s="132">
        <v>121.68</v>
      </c>
      <c r="BC156" s="132">
        <v>121.6</v>
      </c>
      <c r="BD156" s="132">
        <v>121.69</v>
      </c>
      <c r="BE156" s="132">
        <v>121.98</v>
      </c>
      <c r="BF156" s="132">
        <v>121.79</v>
      </c>
      <c r="BG156" s="132">
        <v>122.05</v>
      </c>
      <c r="BH156" s="132">
        <v>122.44</v>
      </c>
      <c r="BI156" s="132">
        <v>122.94</v>
      </c>
      <c r="BJ156" s="132">
        <v>122.76</v>
      </c>
      <c r="BK156" s="132">
        <v>122.14</v>
      </c>
    </row>
    <row r="157" spans="1:63" ht="15" x14ac:dyDescent="0.25">
      <c r="A157" s="127">
        <v>42844</v>
      </c>
      <c r="B157" s="131">
        <v>0.61319444444444449</v>
      </c>
      <c r="C157" s="132">
        <v>121.8</v>
      </c>
      <c r="BB157" s="132">
        <v>121.66</v>
      </c>
      <c r="BC157" s="132">
        <v>121.57</v>
      </c>
      <c r="BD157" s="132">
        <v>121.68</v>
      </c>
      <c r="BE157" s="132">
        <v>121.97</v>
      </c>
      <c r="BF157" s="132">
        <v>121.8</v>
      </c>
      <c r="BG157" s="132">
        <v>121.88</v>
      </c>
      <c r="BH157" s="132">
        <v>121.86</v>
      </c>
      <c r="BI157" s="132">
        <v>121.07</v>
      </c>
      <c r="BJ157" s="132">
        <v>121.37</v>
      </c>
      <c r="BK157" s="132">
        <v>121.96</v>
      </c>
    </row>
    <row r="158" spans="1:63" ht="15" x14ac:dyDescent="0.25">
      <c r="A158" s="127">
        <v>42844</v>
      </c>
      <c r="B158" s="131">
        <v>0.61354166666666665</v>
      </c>
      <c r="C158" s="132">
        <v>121.82</v>
      </c>
      <c r="BB158" s="132">
        <v>121.7</v>
      </c>
      <c r="BC158" s="132">
        <v>121.63</v>
      </c>
      <c r="BD158" s="132">
        <v>121.71</v>
      </c>
      <c r="BE158" s="132">
        <v>122</v>
      </c>
      <c r="BF158" s="132">
        <v>121.82</v>
      </c>
      <c r="BG158" s="132">
        <v>122.06</v>
      </c>
      <c r="BH158" s="132">
        <v>122.41</v>
      </c>
      <c r="BI158" s="132">
        <v>122.66</v>
      </c>
      <c r="BJ158" s="132">
        <v>122.59</v>
      </c>
      <c r="BK158" s="132">
        <v>122.16</v>
      </c>
    </row>
    <row r="159" spans="1:63" ht="15" x14ac:dyDescent="0.25">
      <c r="A159" s="127">
        <v>42844</v>
      </c>
      <c r="B159" s="131">
        <v>0.61388888888888882</v>
      </c>
      <c r="C159" s="132">
        <v>121.8</v>
      </c>
      <c r="BB159" s="132">
        <v>121.66</v>
      </c>
      <c r="BC159" s="132">
        <v>121.58</v>
      </c>
      <c r="BD159" s="132">
        <v>121.69</v>
      </c>
      <c r="BE159" s="132">
        <v>121.97</v>
      </c>
      <c r="BF159" s="132">
        <v>121.8</v>
      </c>
      <c r="BG159" s="132">
        <v>121.88</v>
      </c>
      <c r="BH159" s="132">
        <v>121.86</v>
      </c>
      <c r="BI159" s="132">
        <v>121.47</v>
      </c>
      <c r="BJ159" s="132">
        <v>121.91</v>
      </c>
      <c r="BK159" s="132">
        <v>121.93</v>
      </c>
    </row>
    <row r="160" spans="1:63" ht="15" x14ac:dyDescent="0.25">
      <c r="A160" s="127">
        <v>42844</v>
      </c>
      <c r="B160" s="131">
        <v>0.61423611111111109</v>
      </c>
      <c r="C160" s="132">
        <v>121.84</v>
      </c>
      <c r="BB160" s="132">
        <v>121.72</v>
      </c>
      <c r="BC160" s="132">
        <v>121.64</v>
      </c>
      <c r="BD160" s="132">
        <v>121.74</v>
      </c>
      <c r="BE160" s="132">
        <v>122.00999999999999</v>
      </c>
      <c r="BF160" s="132">
        <v>121.84</v>
      </c>
      <c r="BG160" s="132">
        <v>122.08</v>
      </c>
      <c r="BH160" s="132">
        <v>122.41</v>
      </c>
      <c r="BI160" s="132">
        <v>122.47</v>
      </c>
      <c r="BJ160" s="132">
        <v>122.24</v>
      </c>
      <c r="BK160" s="132">
        <v>122.18</v>
      </c>
    </row>
    <row r="161" spans="1:63" ht="15" x14ac:dyDescent="0.25">
      <c r="A161" s="127">
        <v>42844</v>
      </c>
      <c r="B161" s="131">
        <v>0.61458333333333337</v>
      </c>
      <c r="C161" s="132">
        <v>121.82</v>
      </c>
      <c r="BB161" s="132">
        <v>121.68</v>
      </c>
      <c r="BC161" s="132">
        <v>121.6</v>
      </c>
      <c r="BD161" s="132">
        <v>121.7</v>
      </c>
      <c r="BE161" s="132">
        <v>121.98</v>
      </c>
      <c r="BF161" s="132">
        <v>121.82</v>
      </c>
      <c r="BG161" s="132">
        <v>121.92</v>
      </c>
      <c r="BH161" s="132">
        <v>121.93</v>
      </c>
      <c r="BI161" s="132">
        <v>121.81</v>
      </c>
      <c r="BJ161" s="132">
        <v>122.3</v>
      </c>
      <c r="BK161" s="132">
        <v>121.94</v>
      </c>
    </row>
    <row r="162" spans="1:63" ht="15" x14ac:dyDescent="0.25">
      <c r="A162" s="127">
        <v>42844</v>
      </c>
      <c r="B162" s="131">
        <v>0.61493055555555554</v>
      </c>
      <c r="C162" s="132">
        <v>121.86</v>
      </c>
      <c r="BB162" s="132">
        <v>121.72</v>
      </c>
      <c r="BC162" s="132">
        <v>121.66</v>
      </c>
      <c r="BD162" s="132">
        <v>121.75</v>
      </c>
      <c r="BE162" s="132">
        <v>122.00999999999999</v>
      </c>
      <c r="BF162" s="132">
        <v>121.86</v>
      </c>
      <c r="BG162" s="132">
        <v>122.07</v>
      </c>
      <c r="BH162" s="132">
        <v>122.33</v>
      </c>
      <c r="BI162" s="132">
        <v>122.08</v>
      </c>
      <c r="BJ162" s="132">
        <v>121.88</v>
      </c>
      <c r="BK162" s="132">
        <v>122.15</v>
      </c>
    </row>
    <row r="163" spans="1:63" ht="15" x14ac:dyDescent="0.25">
      <c r="A163" s="127">
        <v>42844</v>
      </c>
      <c r="B163" s="131">
        <v>0.61527777777777781</v>
      </c>
      <c r="C163" s="132">
        <v>121.83</v>
      </c>
      <c r="BB163" s="132">
        <v>121.69</v>
      </c>
      <c r="BC163" s="132">
        <v>121.63</v>
      </c>
      <c r="BD163" s="132">
        <v>121.72</v>
      </c>
      <c r="BE163" s="132">
        <v>121.99</v>
      </c>
      <c r="BF163" s="132">
        <v>121.83</v>
      </c>
      <c r="BG163" s="132">
        <v>122.02</v>
      </c>
      <c r="BH163" s="132">
        <v>122.3</v>
      </c>
      <c r="BI163" s="132">
        <v>122.8</v>
      </c>
      <c r="BJ163" s="132">
        <v>122.21</v>
      </c>
      <c r="BK163" s="132">
        <v>122</v>
      </c>
    </row>
    <row r="164" spans="1:63" ht="15" x14ac:dyDescent="0.25">
      <c r="A164" s="127">
        <v>42844</v>
      </c>
      <c r="B164" s="131">
        <v>0.61562499999999998</v>
      </c>
      <c r="C164" s="132">
        <v>121.67</v>
      </c>
      <c r="BB164" s="132">
        <v>121.35</v>
      </c>
      <c r="BC164" s="132">
        <v>121.34</v>
      </c>
      <c r="BD164" s="132">
        <v>121.5</v>
      </c>
      <c r="BE164" s="132">
        <v>121.77</v>
      </c>
      <c r="BF164" s="132">
        <v>121.67</v>
      </c>
      <c r="BG164" s="132">
        <v>121.57</v>
      </c>
      <c r="BH164" s="132">
        <v>121.04</v>
      </c>
      <c r="BI164" s="132">
        <v>120.35</v>
      </c>
      <c r="BJ164" s="132">
        <v>116.32</v>
      </c>
      <c r="BK164" s="132">
        <v>121.39</v>
      </c>
    </row>
    <row r="165" spans="1:63" ht="15" x14ac:dyDescent="0.25">
      <c r="A165" s="127">
        <v>42844</v>
      </c>
      <c r="B165" s="131">
        <v>0.61597222222222225</v>
      </c>
      <c r="C165" s="132">
        <v>121.12</v>
      </c>
      <c r="BB165" s="132">
        <v>120.41</v>
      </c>
      <c r="BC165" s="132">
        <v>120.57</v>
      </c>
      <c r="BD165" s="132">
        <v>120.78</v>
      </c>
      <c r="BE165" s="132">
        <v>121.17</v>
      </c>
      <c r="BF165" s="132">
        <v>121.12</v>
      </c>
      <c r="BG165" s="132">
        <v>120.79</v>
      </c>
      <c r="BH165" s="132">
        <v>118.94</v>
      </c>
      <c r="BI165" s="132">
        <v>118.77</v>
      </c>
      <c r="BJ165" s="132">
        <v>109.95</v>
      </c>
      <c r="BK165" s="132">
        <v>119.62</v>
      </c>
    </row>
    <row r="166" spans="1:63" ht="15" x14ac:dyDescent="0.25">
      <c r="A166" s="127">
        <v>42844</v>
      </c>
      <c r="B166" s="131">
        <v>0.61631944444444442</v>
      </c>
      <c r="C166" s="132">
        <v>120.2</v>
      </c>
      <c r="BB166" s="132">
        <v>119.22</v>
      </c>
      <c r="BC166" s="132">
        <v>119.47</v>
      </c>
      <c r="BD166" s="132">
        <v>119.78</v>
      </c>
      <c r="BE166" s="132">
        <v>120.27</v>
      </c>
      <c r="BF166" s="132">
        <v>120.2</v>
      </c>
      <c r="BG166" s="132">
        <v>119.93</v>
      </c>
      <c r="BH166" s="132">
        <v>117.66</v>
      </c>
      <c r="BI166" s="132">
        <v>115.29</v>
      </c>
      <c r="BJ166" s="132">
        <v>105.22</v>
      </c>
      <c r="BK166" s="132">
        <v>117.11</v>
      </c>
    </row>
    <row r="167" spans="1:63" ht="15" x14ac:dyDescent="0.25">
      <c r="A167" s="127">
        <v>42844</v>
      </c>
      <c r="B167" s="131">
        <v>0.6166666666666667</v>
      </c>
      <c r="C167" s="132">
        <v>119.09</v>
      </c>
      <c r="BB167" s="132">
        <v>117.98</v>
      </c>
      <c r="BC167" s="132">
        <v>118.17</v>
      </c>
      <c r="BD167" s="132">
        <v>118.65</v>
      </c>
      <c r="BE167" s="132">
        <v>119.17999999999999</v>
      </c>
      <c r="BF167" s="132">
        <v>119.09</v>
      </c>
      <c r="BG167" s="132">
        <v>119.19</v>
      </c>
      <c r="BH167" s="132">
        <v>117.11</v>
      </c>
      <c r="BI167" s="132">
        <v>111.44</v>
      </c>
      <c r="BJ167" s="132">
        <v>104.58</v>
      </c>
      <c r="BK167" s="132">
        <v>114.26</v>
      </c>
    </row>
    <row r="168" spans="1:63" ht="15" x14ac:dyDescent="0.25">
      <c r="A168" s="127">
        <v>42844</v>
      </c>
      <c r="B168" s="131">
        <v>0.61701388888888886</v>
      </c>
      <c r="C168" s="132">
        <v>117.94</v>
      </c>
      <c r="BB168" s="132">
        <v>116.69</v>
      </c>
      <c r="BC168" s="132">
        <v>116.72</v>
      </c>
      <c r="BD168" s="132">
        <v>117.5</v>
      </c>
      <c r="BE168" s="132">
        <v>118.07</v>
      </c>
      <c r="BF168" s="132">
        <v>117.94</v>
      </c>
      <c r="BG168" s="132">
        <v>118.61</v>
      </c>
      <c r="BH168" s="132">
        <v>116.54</v>
      </c>
      <c r="BI168" s="132">
        <v>107.71</v>
      </c>
      <c r="BJ168" s="132">
        <v>104.82</v>
      </c>
      <c r="BK168" s="132">
        <v>111.44</v>
      </c>
    </row>
    <row r="169" spans="1:63" ht="15" x14ac:dyDescent="0.25">
      <c r="A169" s="127">
        <v>42844</v>
      </c>
      <c r="B169" s="131">
        <v>0.61736111111111114</v>
      </c>
      <c r="C169" s="132">
        <v>116.81</v>
      </c>
      <c r="BB169" s="132">
        <v>115.43</v>
      </c>
      <c r="BC169" s="132">
        <v>115.27</v>
      </c>
      <c r="BD169" s="132">
        <v>116.4</v>
      </c>
      <c r="BE169" s="132">
        <v>117</v>
      </c>
      <c r="BF169" s="132">
        <v>116.81</v>
      </c>
      <c r="BG169" s="132">
        <v>118.06</v>
      </c>
      <c r="BH169" s="132">
        <v>116.04</v>
      </c>
      <c r="BI169" s="132">
        <v>104.37</v>
      </c>
      <c r="BJ169" s="132">
        <v>105.73</v>
      </c>
      <c r="BK169" s="132">
        <v>109.03</v>
      </c>
    </row>
    <row r="170" spans="1:63" ht="15" x14ac:dyDescent="0.25">
      <c r="A170" s="127">
        <v>42844</v>
      </c>
      <c r="B170" s="131">
        <v>0.6177083333333333</v>
      </c>
      <c r="C170" s="132">
        <v>115.73</v>
      </c>
      <c r="BB170" s="132">
        <v>114.25</v>
      </c>
      <c r="BC170" s="132">
        <v>113.9</v>
      </c>
      <c r="BD170" s="132">
        <v>115.39</v>
      </c>
      <c r="BE170" s="132">
        <v>116.03999999999999</v>
      </c>
      <c r="BF170" s="132">
        <v>115.73</v>
      </c>
      <c r="BG170" s="132">
        <v>117.56</v>
      </c>
      <c r="BH170" s="132">
        <v>115.59</v>
      </c>
      <c r="BI170" s="132">
        <v>101.82</v>
      </c>
      <c r="BJ170" s="132">
        <v>106.11</v>
      </c>
      <c r="BK170" s="132">
        <v>106.95</v>
      </c>
    </row>
    <row r="171" spans="1:63" ht="15" x14ac:dyDescent="0.25">
      <c r="A171" s="127">
        <v>42844</v>
      </c>
      <c r="B171" s="131">
        <v>0.61805555555555558</v>
      </c>
      <c r="C171" s="132">
        <v>114.73</v>
      </c>
      <c r="BB171" s="132">
        <v>113.18</v>
      </c>
      <c r="BC171" s="132">
        <v>112.65</v>
      </c>
      <c r="BD171" s="132">
        <v>114.49</v>
      </c>
      <c r="BE171" s="132">
        <v>115.17</v>
      </c>
      <c r="BF171" s="132">
        <v>114.73</v>
      </c>
      <c r="BG171" s="132">
        <v>117.15</v>
      </c>
      <c r="BH171" s="132">
        <v>115.29</v>
      </c>
      <c r="BI171" s="132">
        <v>99.86</v>
      </c>
      <c r="BJ171" s="132">
        <v>105.62</v>
      </c>
      <c r="BK171" s="132">
        <v>105.13</v>
      </c>
    </row>
    <row r="172" spans="1:63" ht="15" x14ac:dyDescent="0.25">
      <c r="A172" s="127">
        <v>42844</v>
      </c>
      <c r="B172" s="131">
        <v>0.61840277777777775</v>
      </c>
      <c r="C172" s="132">
        <v>113.8</v>
      </c>
      <c r="BB172" s="132">
        <v>112.2</v>
      </c>
      <c r="BC172" s="132">
        <v>111.51</v>
      </c>
      <c r="BD172" s="132">
        <v>113.68</v>
      </c>
      <c r="BE172" s="132">
        <v>114.39</v>
      </c>
      <c r="BF172" s="132">
        <v>113.8</v>
      </c>
      <c r="BG172" s="132">
        <v>116.77</v>
      </c>
      <c r="BH172" s="132">
        <v>115.02</v>
      </c>
      <c r="BI172" s="132">
        <v>98.52</v>
      </c>
      <c r="BJ172" s="132">
        <v>90.26</v>
      </c>
      <c r="BK172" s="132">
        <v>103.52</v>
      </c>
    </row>
    <row r="173" spans="1:63" ht="15" x14ac:dyDescent="0.25">
      <c r="A173" s="127">
        <v>42844</v>
      </c>
      <c r="B173" s="131">
        <v>0.61875000000000002</v>
      </c>
      <c r="C173" s="132">
        <v>112.9</v>
      </c>
      <c r="BB173" s="132">
        <v>111.28</v>
      </c>
      <c r="BC173" s="132">
        <v>110.47</v>
      </c>
      <c r="BD173" s="132">
        <v>112.93</v>
      </c>
      <c r="BE173" s="132">
        <v>113.66</v>
      </c>
      <c r="BF173" s="132">
        <v>112.9</v>
      </c>
      <c r="BG173" s="132">
        <v>116.2</v>
      </c>
      <c r="BH173" s="132">
        <v>114.25</v>
      </c>
      <c r="BI173" s="132">
        <v>96.72</v>
      </c>
      <c r="BJ173" s="132">
        <v>47.96</v>
      </c>
      <c r="BK173" s="132">
        <v>101.18</v>
      </c>
    </row>
    <row r="174" spans="1:63" ht="15" x14ac:dyDescent="0.25">
      <c r="A174" s="127">
        <v>42844</v>
      </c>
      <c r="B174" s="131">
        <v>0.61909722222222219</v>
      </c>
      <c r="C174" s="132">
        <v>111.99</v>
      </c>
      <c r="BB174" s="132">
        <v>110.31</v>
      </c>
      <c r="BC174" s="132">
        <v>109.27</v>
      </c>
      <c r="BD174" s="132">
        <v>112.08</v>
      </c>
      <c r="BE174" s="132">
        <v>112.77</v>
      </c>
      <c r="BF174" s="132">
        <v>111.99</v>
      </c>
      <c r="BG174" s="132">
        <v>115.21</v>
      </c>
      <c r="BH174" s="132">
        <v>112.1</v>
      </c>
      <c r="BI174" s="132">
        <v>93.01</v>
      </c>
      <c r="BJ174" s="132">
        <v>43.95</v>
      </c>
      <c r="BK174" s="132">
        <v>98.22</v>
      </c>
    </row>
    <row r="175" spans="1:63" ht="15" x14ac:dyDescent="0.25">
      <c r="A175" s="127">
        <v>42844</v>
      </c>
      <c r="B175" s="131">
        <v>0.61944444444444446</v>
      </c>
      <c r="C175" s="132">
        <v>110.9</v>
      </c>
      <c r="BB175" s="132">
        <v>109.29</v>
      </c>
      <c r="BC175" s="132">
        <v>107.92</v>
      </c>
      <c r="BD175" s="132">
        <v>111.05</v>
      </c>
      <c r="BE175" s="132">
        <v>111.33</v>
      </c>
      <c r="BF175" s="132">
        <v>110.9</v>
      </c>
      <c r="BG175" s="132">
        <v>113.29</v>
      </c>
      <c r="BH175" s="132">
        <v>105.89</v>
      </c>
      <c r="BI175" s="132">
        <v>87.81</v>
      </c>
      <c r="BJ175" s="132">
        <v>36.229999999999997</v>
      </c>
      <c r="BK175" s="132">
        <v>94.85</v>
      </c>
    </row>
    <row r="176" spans="1:63" ht="15" x14ac:dyDescent="0.25">
      <c r="A176" s="127">
        <v>42844</v>
      </c>
      <c r="B176" s="131">
        <v>0.61979166666666663</v>
      </c>
      <c r="C176" s="132">
        <v>109.14</v>
      </c>
      <c r="BB176" s="132">
        <v>108.2</v>
      </c>
      <c r="BC176" s="132">
        <v>106.44</v>
      </c>
      <c r="BD176" s="132">
        <v>109.92</v>
      </c>
      <c r="BE176" s="132">
        <v>109.11999999999999</v>
      </c>
      <c r="BF176" s="132">
        <v>109.14</v>
      </c>
      <c r="BG176" s="132">
        <v>111.04</v>
      </c>
      <c r="BH176" s="132">
        <v>99.03</v>
      </c>
      <c r="BI176" s="132">
        <v>79.790000000000006</v>
      </c>
      <c r="BJ176" s="132">
        <v>32.46</v>
      </c>
      <c r="BK176" s="132">
        <v>90.64</v>
      </c>
    </row>
    <row r="177" spans="1:63" ht="15" x14ac:dyDescent="0.25">
      <c r="A177" s="127">
        <v>42844</v>
      </c>
      <c r="B177" s="131">
        <v>0.62013888888888891</v>
      </c>
      <c r="C177" s="132">
        <v>106.17</v>
      </c>
      <c r="BB177" s="132">
        <v>107.36</v>
      </c>
      <c r="BC177" s="132">
        <v>104.62</v>
      </c>
      <c r="BD177" s="132">
        <v>108.17</v>
      </c>
      <c r="BE177" s="132">
        <v>106.57</v>
      </c>
      <c r="BF177" s="132">
        <v>106.17</v>
      </c>
      <c r="BG177" s="132">
        <v>108.9</v>
      </c>
      <c r="BH177" s="132">
        <v>93.1</v>
      </c>
      <c r="BI177" s="132">
        <v>75</v>
      </c>
      <c r="BJ177" s="132">
        <v>33.83</v>
      </c>
      <c r="BK177" s="132">
        <v>86.39</v>
      </c>
    </row>
    <row r="178" spans="1:63" ht="15" x14ac:dyDescent="0.25">
      <c r="A178" s="127">
        <v>42844</v>
      </c>
      <c r="B178" s="131">
        <v>0.62048611111111118</v>
      </c>
      <c r="C178" s="132">
        <v>102.77</v>
      </c>
      <c r="BB178" s="132">
        <v>106.38</v>
      </c>
      <c r="BC178" s="132">
        <v>102.15</v>
      </c>
      <c r="BD178" s="132">
        <v>105.82</v>
      </c>
      <c r="BE178" s="132">
        <v>103.77</v>
      </c>
      <c r="BF178" s="132">
        <v>102.77</v>
      </c>
      <c r="BG178" s="132">
        <v>106.68</v>
      </c>
      <c r="BH178" s="132">
        <v>88.64</v>
      </c>
      <c r="BI178" s="132">
        <v>71.84</v>
      </c>
      <c r="BJ178" s="132">
        <v>33.76</v>
      </c>
      <c r="BK178" s="132">
        <v>82.07</v>
      </c>
    </row>
    <row r="179" spans="1:63" ht="15" x14ac:dyDescent="0.25">
      <c r="A179" s="127">
        <v>42844</v>
      </c>
      <c r="B179" s="131">
        <v>0.62083333333333335</v>
      </c>
      <c r="C179" s="132">
        <v>99.26</v>
      </c>
      <c r="BB179" s="132">
        <v>102.01</v>
      </c>
      <c r="BC179" s="132">
        <v>99.51</v>
      </c>
      <c r="BD179" s="132">
        <v>93.68</v>
      </c>
      <c r="BE179" s="132">
        <v>100.91</v>
      </c>
      <c r="BF179" s="132">
        <v>99.26</v>
      </c>
      <c r="BG179" s="132">
        <v>104.48</v>
      </c>
      <c r="BH179" s="132">
        <v>84.52</v>
      </c>
      <c r="BI179" s="132">
        <v>68.349999999999994</v>
      </c>
      <c r="BJ179" s="132">
        <v>34.03</v>
      </c>
      <c r="BK179" s="132">
        <v>78.2</v>
      </c>
    </row>
    <row r="180" spans="1:63" ht="15" x14ac:dyDescent="0.25">
      <c r="A180" s="127">
        <v>42844</v>
      </c>
      <c r="B180" s="131">
        <v>0.62118055555555551</v>
      </c>
      <c r="C180" s="132">
        <v>95.68</v>
      </c>
      <c r="BB180" s="132">
        <v>86.16</v>
      </c>
      <c r="BC180" s="132">
        <v>89.49</v>
      </c>
      <c r="BD180" s="132">
        <v>79.040000000000006</v>
      </c>
      <c r="BE180" s="132">
        <v>97.899999999999991</v>
      </c>
      <c r="BF180" s="132">
        <v>95.68</v>
      </c>
      <c r="BG180" s="132">
        <v>97.27</v>
      </c>
      <c r="BH180" s="132">
        <v>81.12</v>
      </c>
      <c r="BI180" s="132">
        <v>65.48</v>
      </c>
      <c r="BJ180" s="132">
        <v>33.33</v>
      </c>
      <c r="BK180" s="132">
        <v>75.05</v>
      </c>
    </row>
    <row r="181" spans="1:63" ht="15" x14ac:dyDescent="0.25">
      <c r="A181" s="127">
        <v>42844</v>
      </c>
      <c r="B181" s="131">
        <v>0.62152777777777779</v>
      </c>
      <c r="C181" s="132">
        <v>90.23</v>
      </c>
      <c r="BB181" s="132">
        <v>73.3</v>
      </c>
      <c r="BC181" s="132">
        <v>75.72</v>
      </c>
      <c r="BD181" s="132">
        <v>66.87</v>
      </c>
      <c r="BE181" s="132">
        <v>87.27</v>
      </c>
      <c r="BF181" s="132">
        <v>90.23</v>
      </c>
      <c r="BG181" s="132">
        <v>77.03</v>
      </c>
      <c r="BH181" s="132">
        <v>77.540000000000006</v>
      </c>
      <c r="BI181" s="132">
        <v>62.75</v>
      </c>
      <c r="BJ181" s="132">
        <v>33.58</v>
      </c>
      <c r="BK181" s="132">
        <v>72.27</v>
      </c>
    </row>
    <row r="182" spans="1:63" ht="15" x14ac:dyDescent="0.25">
      <c r="A182" s="127">
        <v>42844</v>
      </c>
      <c r="B182" s="131">
        <v>0.62187500000000007</v>
      </c>
      <c r="C182" s="132">
        <v>76.61</v>
      </c>
      <c r="BB182" s="132">
        <v>63.86</v>
      </c>
      <c r="BC182" s="132">
        <v>65.430000000000007</v>
      </c>
      <c r="BD182" s="132">
        <v>58.33</v>
      </c>
      <c r="BE182" s="132">
        <v>75.009999999999991</v>
      </c>
      <c r="BF182" s="132">
        <v>76.61</v>
      </c>
      <c r="BG182" s="132">
        <v>69.87</v>
      </c>
      <c r="BH182" s="132">
        <v>41.93</v>
      </c>
      <c r="BI182" s="132">
        <v>60.35</v>
      </c>
      <c r="BJ182" s="132">
        <v>34.86</v>
      </c>
      <c r="BK182" s="132">
        <v>69.78</v>
      </c>
    </row>
    <row r="183" spans="1:63" ht="15" x14ac:dyDescent="0.25">
      <c r="A183" s="127">
        <v>42844</v>
      </c>
      <c r="B183" s="131">
        <v>0.62222222222222223</v>
      </c>
      <c r="C183" s="132">
        <v>66.489999999999995</v>
      </c>
      <c r="BB183" s="132">
        <v>56.71</v>
      </c>
      <c r="BC183" s="132">
        <v>54.88</v>
      </c>
      <c r="BD183" s="132">
        <v>52.07</v>
      </c>
      <c r="BE183" s="132">
        <v>65.3</v>
      </c>
      <c r="BF183" s="132">
        <v>66.489999999999995</v>
      </c>
      <c r="BG183" s="132">
        <v>66.02</v>
      </c>
      <c r="BH183" s="132">
        <v>40.340000000000003</v>
      </c>
      <c r="BI183" s="132">
        <v>42.43</v>
      </c>
      <c r="BJ183" s="132">
        <v>33.909999999999997</v>
      </c>
      <c r="BK183" s="132">
        <v>67.53</v>
      </c>
    </row>
    <row r="184" spans="1:63" ht="15" x14ac:dyDescent="0.25">
      <c r="A184" s="127">
        <v>42844</v>
      </c>
      <c r="B184" s="131">
        <v>0.6225694444444444</v>
      </c>
      <c r="C184" s="132">
        <v>55.28</v>
      </c>
      <c r="BB184" s="132">
        <v>47.54</v>
      </c>
      <c r="BC184" s="132">
        <v>46.2</v>
      </c>
      <c r="BD184" s="132">
        <v>45.66</v>
      </c>
      <c r="BE184" s="132">
        <v>50.989999999999995</v>
      </c>
      <c r="BF184" s="132">
        <v>55.28</v>
      </c>
      <c r="BG184" s="132">
        <v>56.25</v>
      </c>
      <c r="BH184" s="132">
        <v>40.24</v>
      </c>
      <c r="BI184" s="132">
        <v>39.58</v>
      </c>
      <c r="BJ184" s="132">
        <v>33.72</v>
      </c>
      <c r="BK184" s="132">
        <v>65.52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Gráficos</vt:lpstr>
      </vt:variant>
      <vt:variant>
        <vt:i4>2</vt:i4>
      </vt:variant>
    </vt:vector>
  </HeadingPairs>
  <TitlesOfParts>
    <vt:vector size="10" baseType="lpstr">
      <vt:lpstr>Index</vt:lpstr>
      <vt:lpstr>Comparar</vt:lpstr>
      <vt:lpstr>DATASENSOR</vt:lpstr>
      <vt:lpstr>REPRODUCIBILIDAD</vt:lpstr>
      <vt:lpstr>alt</vt:lpstr>
      <vt:lpstr>DESEMPEÑO  TEMP1</vt:lpstr>
      <vt:lpstr>DESEMPEÑO  TEMP2</vt:lpstr>
      <vt:lpstr>DESEMPEÑO  TEMP3</vt:lpstr>
      <vt:lpstr>Grafica DESEMPEÑO  TEMP1</vt:lpstr>
      <vt:lpstr>Periodo E DESEMPEÑO  TEMP1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2018-01-08T04:12:30Z</dcterms:modified>
</cp:coreProperties>
</file>