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AUTOCLAVE\"/>
    </mc:Choice>
  </mc:AlternateContent>
  <bookViews>
    <workbookView xWindow="0" yWindow="0" windowWidth="15345" windowHeight="4455" xr2:uid="{00000000-000D-0000-FFFF-FFFF00000000}"/>
  </bookViews>
  <sheets>
    <sheet name="Index" sheetId="5" r:id="rId1"/>
    <sheet name="Comparar" sheetId="6" r:id="rId2"/>
    <sheet name="DATASENSOR" sheetId="201" r:id="rId3"/>
    <sheet name="REPRODUCIBILIDAD" sheetId="272" r:id="rId4"/>
    <sheet name="alt" sheetId="126" state="hidden" r:id="rId5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272" l="1"/>
  <c r="G21" i="272"/>
  <c r="G20" i="272"/>
  <c r="G19" i="272"/>
  <c r="G18" i="272"/>
  <c r="G17" i="272"/>
  <c r="G16" i="272"/>
  <c r="G15" i="272"/>
  <c r="G14" i="272"/>
  <c r="G13" i="272"/>
  <c r="G12" i="272"/>
  <c r="G11" i="272"/>
  <c r="G10" i="272"/>
  <c r="G9" i="272"/>
  <c r="G8" i="272"/>
  <c r="G7" i="272"/>
  <c r="G6" i="272"/>
  <c r="G5" i="272"/>
  <c r="G3" i="272"/>
  <c r="G4" i="272"/>
  <c r="H21" i="272" l="1"/>
  <c r="I21" i="272" s="1"/>
  <c r="H22" i="272"/>
  <c r="J22" i="272" s="1"/>
  <c r="F21" i="272"/>
  <c r="F22" i="272"/>
  <c r="E21" i="272"/>
  <c r="E22" i="272"/>
  <c r="J21" i="272" l="1"/>
  <c r="I22" i="272"/>
  <c r="H20" i="272"/>
  <c r="H19" i="272"/>
  <c r="H18" i="272"/>
  <c r="H17" i="272"/>
  <c r="H16" i="272"/>
  <c r="H15" i="272"/>
  <c r="H14" i="272"/>
  <c r="H13" i="272"/>
  <c r="H12" i="272"/>
  <c r="H11" i="272"/>
  <c r="H10" i="272"/>
  <c r="H9" i="272"/>
  <c r="H8" i="272"/>
  <c r="H7" i="272"/>
  <c r="H6" i="272"/>
  <c r="H5" i="272"/>
  <c r="H4" i="272"/>
  <c r="H3" i="272"/>
  <c r="F3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E20" i="272"/>
  <c r="E19" i="272"/>
  <c r="E18" i="272"/>
  <c r="E17" i="272"/>
  <c r="E16" i="272"/>
  <c r="E15" i="272"/>
  <c r="E14" i="272"/>
  <c r="E13" i="272"/>
  <c r="E12" i="272"/>
  <c r="E11" i="272"/>
  <c r="E10" i="272"/>
  <c r="E9" i="272"/>
  <c r="E8" i="272"/>
  <c r="E7" i="272"/>
  <c r="E6" i="272"/>
  <c r="E5" i="272"/>
  <c r="E4" i="272"/>
  <c r="E3" i="272"/>
  <c r="J19" i="272" l="1"/>
  <c r="J12" i="272"/>
  <c r="J17" i="272"/>
  <c r="J15" i="272"/>
  <c r="J18" i="272"/>
  <c r="I15" i="272"/>
  <c r="I14" i="272"/>
  <c r="I20" i="272"/>
  <c r="J20" i="272"/>
  <c r="J16" i="272"/>
  <c r="J14" i="272"/>
  <c r="I19" i="272"/>
  <c r="I18" i="272"/>
  <c r="I17" i="272"/>
  <c r="J4" i="272"/>
  <c r="J3" i="272"/>
  <c r="J13" i="272"/>
  <c r="I13" i="272"/>
  <c r="J11" i="272"/>
  <c r="J10" i="272"/>
  <c r="J9" i="272"/>
  <c r="J8" i="272"/>
  <c r="J7" i="272"/>
  <c r="J6" i="272"/>
  <c r="J5" i="272"/>
  <c r="I10" i="272"/>
  <c r="I6" i="272"/>
  <c r="I4" i="272"/>
  <c r="I8" i="272"/>
  <c r="I12" i="272"/>
  <c r="I3" i="272"/>
  <c r="I5" i="272"/>
  <c r="I7" i="272"/>
  <c r="I9" i="272"/>
  <c r="I11" i="272"/>
  <c r="I16" i="272" l="1"/>
  <c r="N1" i="6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<sst xmlns="http://schemas.openxmlformats.org/spreadsheetml/2006/main" count="189" uniqueCount="141">
  <si>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</si>
  <si>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</si>
  <si>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</si>
  <si>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</si>
  <si>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</si>
  <si>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</si>
  <si>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</si>
  <si>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</si>
  <si>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</si>
  <si>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</si>
  <si>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</si>
  <si>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</si>
  <si>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</si>
  <si>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</si>
  <si>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</si>
  <si>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</si>
  <si>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</si>
  <si>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</si>
  <si>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</si>
  <si>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</si>
  <si>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</si>
  <si>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</si>
  <si>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</si>
  <si>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</si>
  <si>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</si>
  <si>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</si>
  <si>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</si>
  <si>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</si>
  <si>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</si>
  <si>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</si>
  <si>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</si>
  <si>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</si>
  <si>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</si>
  <si>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</si>
  <si>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</si>
  <si>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</si>
  <si>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</si>
  <si>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</si>
  <si>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</si>
  <si>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</si>
  <si>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</si>
  <si>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</si>
  <si>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</si>
  <si>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</si>
  <si>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</si>
  <si>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</si>
  <si>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</si>
  <si>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</si>
  <si>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</si>
  <si>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</si>
  <si>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</si>
  <si>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</si>
  <si>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</si>
  <si>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</si>
  <si>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</si>
  <si>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</si>
  <si>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</si>
  <si>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</si>
  <si>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</si>
  <si>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</si>
  <si>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</si>
  <si>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</si>
  <si>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</si>
  <si>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</si>
  <si>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</si>
  <si>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</si>
  <si>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</si>
  <si>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</si>
  <si>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</si>
  <si>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</si>
  <si>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</si>
  <si>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</si>
  <si>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</si>
  <si>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</si>
  <si>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</si>
  <si>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</si>
  <si>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</si>
  <si>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</si>
  <si>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</si>
  <si>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</si>
  <si>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</si>
  <si>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</si>
  <si>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</si>
  <si>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</si>
  <si>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</si>
  <si>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</si>
  <si>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</si>
  <si>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</si>
  <si>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</si>
  <si>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</si>
  <si>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</si>
  <si>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</si>
  <si>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</si>
  <si>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</si>
  <si>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</si>
  <si>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</si>
  <si>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DESEMPEÑO</t>
  </si>
  <si>
    <t>Promedio</t>
  </si>
  <si>
    <t>LMS2192</t>
  </si>
  <si>
    <t>PUNTO 7</t>
  </si>
  <si>
    <t>PUNTO 8</t>
  </si>
  <si>
    <t>PUNTO 9</t>
  </si>
  <si>
    <t>PUNTO 1</t>
  </si>
  <si>
    <t>PUNTO 2</t>
  </si>
  <si>
    <t>PUNTO 3</t>
  </si>
  <si>
    <t>PUNTO 4</t>
  </si>
  <si>
    <t>PUNTO 5</t>
  </si>
  <si>
    <t>PUNTO 6</t>
  </si>
  <si>
    <t>PUNTO 10</t>
  </si>
  <si>
    <t>PUNTO 11</t>
  </si>
  <si>
    <t>PUNTO 13</t>
  </si>
  <si>
    <t>PUNTO 14</t>
  </si>
  <si>
    <t>PUNTO 15</t>
  </si>
  <si>
    <t>Valor Fo (min)</t>
  </si>
  <si>
    <t>Desv Estandar</t>
  </si>
  <si>
    <t xml:space="preserve">Valor </t>
  </si>
  <si>
    <t>Muestras</t>
  </si>
  <si>
    <t>Limite conf. I</t>
  </si>
  <si>
    <t>Limite conf. S</t>
  </si>
  <si>
    <t>#</t>
  </si>
  <si>
    <t>DES1</t>
  </si>
  <si>
    <t>DES2</t>
  </si>
  <si>
    <t>DES3</t>
  </si>
  <si>
    <t>(min)</t>
  </si>
  <si>
    <t>t</t>
  </si>
  <si>
    <t>PUNTO 16</t>
  </si>
  <si>
    <t>PUNTO 17</t>
  </si>
  <si>
    <t>PUNTO 18</t>
  </si>
  <si>
    <t>Concentracion</t>
  </si>
  <si>
    <t>Valor D</t>
  </si>
  <si>
    <t>Valor F0</t>
  </si>
  <si>
    <t>punto 12</t>
  </si>
  <si>
    <t>PUNTO 19</t>
  </si>
  <si>
    <t>PUNTO 20</t>
  </si>
  <si>
    <t>valor t</t>
  </si>
  <si>
    <t>SOLUCIONES INYECTABLES</t>
  </si>
  <si>
    <t>669 A</t>
  </si>
  <si>
    <t>091128</t>
  </si>
  <si>
    <t>I-17082901-39</t>
  </si>
  <si>
    <t>NC-17-08-22-221</t>
  </si>
  <si>
    <t>NC-17-08-22-223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</si>
</sst>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3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7" xfId="0" applyBorder="1"/>
    <xf numFmtId="0" fontId="8" fillId="0" borderId="9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0" fillId="0" borderId="10" xfId="0" applyBorder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15</xdr:row>
      <xdr:rowOff>156883</xdr:rowOff>
    </xdr:from>
    <xdr:to>
      <xdr:col>8</xdr:col>
      <xdr:colOff>1042147</xdr:colOff>
      <xdr:row>16</xdr:row>
      <xdr:rowOff>226360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7B26348-7EF5-4E9E-BE74-175D0B679A43}"/>
            </a:ext>
          </a:extLst>
        </xdr:cNvPr>
        <xdr:cNvSpPr/>
      </xdr:nvSpPr>
      <xdr:spPr>
        <a:xfrm>
          <a:off x="5244353" y="5367618"/>
          <a:ext cx="1636059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G2" zoomScale="85" zoomScaleNormal="85" workbookViewId="0">
      <selection activeCell="I5" sqref="I5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23" t="s">
        <v>0</v>
      </c>
      <c r="I1" s="124"/>
      <c r="J1" s="123" t="s">
        <v>61</v>
      </c>
      <c r="K1" s="127"/>
      <c r="L1" s="127"/>
      <c r="M1" s="127"/>
      <c r="N1" s="127"/>
      <c r="O1" s="124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43046</v>
      </c>
      <c r="J2" s="40"/>
      <c r="K2" s="40"/>
      <c r="L2" s="123" t="s">
        <v>7</v>
      </c>
      <c r="M2" s="124"/>
      <c r="N2" s="123">
        <v>3</v>
      </c>
      <c r="O2" s="124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138</v>
      </c>
      <c r="M3" s="42" t="s">
        <v>50</v>
      </c>
      <c r="N3" s="123" t="s">
        <v>52</v>
      </c>
      <c r="O3" s="124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135</v>
      </c>
      <c r="J4" s="40"/>
      <c r="K4" s="39" t="s">
        <v>9</v>
      </c>
      <c r="L4" s="39" t="s">
        <v>53</v>
      </c>
      <c r="M4" s="42" t="s">
        <v>37</v>
      </c>
      <c r="N4" s="123">
        <v>3600</v>
      </c>
      <c r="O4" s="124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60</v>
      </c>
      <c r="J5" s="40"/>
      <c r="K5" s="39" t="s">
        <v>10</v>
      </c>
      <c r="L5" s="39">
        <v>400</v>
      </c>
      <c r="M5" s="39" t="s">
        <v>19</v>
      </c>
      <c r="N5" s="47" t="s">
        <v>96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136</v>
      </c>
      <c r="J6" s="40"/>
      <c r="K6" s="39" t="s">
        <v>11</v>
      </c>
      <c r="L6" s="39" t="s">
        <v>54</v>
      </c>
      <c r="M6" s="39" t="s">
        <v>14</v>
      </c>
      <c r="N6" s="123" t="s">
        <v>48</v>
      </c>
      <c r="O6" s="124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137</v>
      </c>
      <c r="J7" s="40"/>
      <c r="K7" s="39" t="s">
        <v>12</v>
      </c>
      <c r="L7" s="39" t="s">
        <v>55</v>
      </c>
      <c r="M7" s="43" t="s">
        <v>13</v>
      </c>
      <c r="N7" s="128" t="s">
        <v>56</v>
      </c>
      <c r="O7" s="124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3" t="s">
        <v>21</v>
      </c>
      <c r="I8" s="124"/>
      <c r="J8" s="125">
        <v>125</v>
      </c>
      <c r="K8" s="129"/>
      <c r="L8" s="42" t="s">
        <v>22</v>
      </c>
      <c r="M8" s="46">
        <v>20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23" t="s">
        <v>20</v>
      </c>
      <c r="I9" s="124"/>
      <c r="J9" s="125">
        <v>1.4</v>
      </c>
      <c r="K9" s="126"/>
      <c r="L9" s="42" t="s">
        <v>23</v>
      </c>
      <c r="M9" s="58" t="s">
        <v>57</v>
      </c>
      <c r="N9" s="42" t="s">
        <v>51</v>
      </c>
      <c r="O9" s="100" t="s">
        <v>62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23" t="s">
        <v>46</v>
      </c>
      <c r="I10" s="124"/>
      <c r="J10" s="125" t="s">
        <v>58</v>
      </c>
      <c r="K10" s="126"/>
      <c r="L10" s="42" t="s">
        <v>47</v>
      </c>
      <c r="M10" s="100" t="s">
        <v>49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59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M30" sqref="BM3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43046</v>
      </c>
      <c r="BJ1" s="45">
        <v>0.70347222222222217</v>
      </c>
      <c r="BK1" s="44">
        <v>43046</v>
      </c>
      <c r="BL1" s="45">
        <v>0.71701388888888884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  <c r="BH2" s="111"/>
      <c r="BI2" s="86">
        <v>42837</v>
      </c>
      <c r="BJ2">
        <v>0.61006944444444444</v>
      </c>
      <c r="BK2" s="44">
        <v>42837</v>
      </c>
      <c r="BL2">
        <v>0.63020833333333337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  <c r="BH3" s="111"/>
      <c r="BI3" s="86">
        <v>42844</v>
      </c>
      <c r="BJ3">
        <v>0.58472222222222225</v>
      </c>
      <c r="BK3" s="44">
        <v>42844</v>
      </c>
      <c r="BL3">
        <v>0.61527777777777781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B12" sqref="B12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73</v>
      </c>
      <c r="B1" s="103" t="s">
        <v>74</v>
      </c>
    </row>
    <row r="2" spans="1:2" x14ac:dyDescent="0.25">
      <c r="A2" s="106" t="s">
        <v>63</v>
      </c>
      <c r="B2" s="104" t="s">
        <v>75</v>
      </c>
    </row>
    <row r="3" spans="1:2" x14ac:dyDescent="0.25">
      <c r="A3" s="107" t="s">
        <v>72</v>
      </c>
      <c r="B3" s="105" t="s">
        <v>98</v>
      </c>
    </row>
    <row r="4" spans="1:2" ht="15.75" thickBot="1" x14ac:dyDescent="0.3">
      <c r="A4" s="107" t="s">
        <v>69</v>
      </c>
      <c r="B4" s="105" t="s">
        <v>77</v>
      </c>
    </row>
    <row r="5" spans="1:2" ht="15.75" thickBot="1" x14ac:dyDescent="0.3">
      <c r="A5" s="106" t="s">
        <v>64</v>
      </c>
      <c r="B5" s="104" t="s">
        <v>78</v>
      </c>
    </row>
    <row r="6" spans="1:2" ht="15.75" thickBot="1" x14ac:dyDescent="0.3">
      <c r="A6" s="106" t="s">
        <v>65</v>
      </c>
      <c r="B6" s="104" t="s">
        <v>79</v>
      </c>
    </row>
    <row r="7" spans="1:2" ht="15.75" thickBot="1" x14ac:dyDescent="0.3">
      <c r="A7" s="106" t="s">
        <v>66</v>
      </c>
      <c r="B7" s="104" t="s">
        <v>80</v>
      </c>
    </row>
    <row r="8" spans="1:2" ht="15.75" thickBot="1" x14ac:dyDescent="0.3">
      <c r="A8" s="106" t="s">
        <v>67</v>
      </c>
      <c r="B8" s="104" t="s">
        <v>81</v>
      </c>
    </row>
    <row r="9" spans="1:2" x14ac:dyDescent="0.25">
      <c r="A9" s="106" t="s">
        <v>82</v>
      </c>
      <c r="B9" s="104" t="s">
        <v>83</v>
      </c>
    </row>
    <row r="10" spans="1:2" x14ac:dyDescent="0.25">
      <c r="A10" s="107" t="s">
        <v>68</v>
      </c>
      <c r="B10" s="105" t="s">
        <v>76</v>
      </c>
    </row>
    <row r="11" spans="1:2" x14ac:dyDescent="0.25">
      <c r="A11" s="107" t="s">
        <v>70</v>
      </c>
      <c r="B11" s="110" t="s">
        <v>139</v>
      </c>
    </row>
    <row r="12" spans="1:2" ht="15.75" thickBot="1" x14ac:dyDescent="0.3">
      <c r="A12" s="108" t="s">
        <v>71</v>
      </c>
      <c r="B12" s="105" t="s">
        <v>140</v>
      </c>
    </row>
    <row r="13" spans="1:2" x14ac:dyDescent="0.25">
      <c r="A13" s="109" t="s">
        <v>84</v>
      </c>
      <c r="B13" s="110" t="s">
        <v>85</v>
      </c>
    </row>
    <row r="14" spans="1:2" x14ac:dyDescent="0.25">
      <c r="A14" s="109" t="s">
        <v>86</v>
      </c>
      <c r="B14" s="110" t="s">
        <v>87</v>
      </c>
    </row>
    <row r="15" spans="1:2" x14ac:dyDescent="0.25">
      <c r="A15" s="109" t="s">
        <v>88</v>
      </c>
      <c r="B15" s="110" t="s">
        <v>89</v>
      </c>
    </row>
    <row r="16" spans="1:2" x14ac:dyDescent="0.25">
      <c r="A16" s="109" t="s">
        <v>90</v>
      </c>
      <c r="B16" s="110" t="s">
        <v>91</v>
      </c>
    </row>
    <row r="17" spans="1:2" x14ac:dyDescent="0.25">
      <c r="A17" s="109" t="s">
        <v>92</v>
      </c>
      <c r="B17" s="110" t="s">
        <v>93</v>
      </c>
    </row>
    <row r="18" spans="1:2" x14ac:dyDescent="0.25">
      <c r="A18" s="109" t="s">
        <v>94</v>
      </c>
      <c r="B18" s="110" t="s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F884-8A00-41C1-9C03-E4BC46737243}">
  <sheetPr codeName="Hoja35"/>
  <dimension ref="A1:O22"/>
  <sheetViews>
    <sheetView workbookViewId="0">
      <selection activeCell="G9" sqref="G9"/>
    </sheetView>
  </sheetViews>
  <sheetFormatPr baseColWidth="10" defaultRowHeight="15" x14ac:dyDescent="0.25"/>
  <cols>
    <col min="5" max="5" width="11.85546875" bestFit="1" customWidth="1"/>
    <col min="11" max="11" width="11.42578125" customWidth="1"/>
    <col min="12" max="13" width="7.7109375" customWidth="1"/>
    <col min="14" max="14" width="8.5703125" customWidth="1"/>
  </cols>
  <sheetData>
    <row r="1" spans="1:15" ht="16.5" thickBot="1" x14ac:dyDescent="0.3">
      <c r="A1" s="112"/>
      <c r="B1" s="130" t="s">
        <v>113</v>
      </c>
      <c r="C1" s="130"/>
      <c r="D1" s="130"/>
      <c r="E1" s="112" t="s">
        <v>97</v>
      </c>
      <c r="F1" s="112" t="s">
        <v>114</v>
      </c>
      <c r="G1" s="112" t="s">
        <v>115</v>
      </c>
      <c r="H1" s="112" t="s">
        <v>116</v>
      </c>
      <c r="I1" s="112" t="s">
        <v>117</v>
      </c>
      <c r="J1" s="112" t="s">
        <v>118</v>
      </c>
      <c r="K1" s="121" t="s">
        <v>128</v>
      </c>
      <c r="L1" s="121" t="s">
        <v>116</v>
      </c>
      <c r="M1" s="121" t="s">
        <v>130</v>
      </c>
      <c r="N1" s="121" t="s">
        <v>129</v>
      </c>
      <c r="O1" s="121" t="s">
        <v>134</v>
      </c>
    </row>
    <row r="2" spans="1:15" ht="16.5" thickBot="1" x14ac:dyDescent="0.3">
      <c r="A2" s="113" t="s">
        <v>119</v>
      </c>
      <c r="B2" s="114" t="s">
        <v>120</v>
      </c>
      <c r="C2" s="114" t="s">
        <v>121</v>
      </c>
      <c r="D2" s="114" t="s">
        <v>122</v>
      </c>
      <c r="E2" s="115" t="s">
        <v>123</v>
      </c>
      <c r="F2" s="115" t="s">
        <v>123</v>
      </c>
      <c r="G2" s="115" t="s">
        <v>124</v>
      </c>
      <c r="H2" s="115" t="s">
        <v>119</v>
      </c>
      <c r="I2" s="115" t="s">
        <v>123</v>
      </c>
      <c r="J2" s="115" t="s">
        <v>123</v>
      </c>
      <c r="K2" s="103">
        <v>1000000</v>
      </c>
      <c r="L2" s="103">
        <v>3</v>
      </c>
      <c r="M2" s="122">
        <v>11.999999999999998</v>
      </c>
      <c r="N2" s="103">
        <v>2</v>
      </c>
      <c r="O2" s="122">
        <v>3.2</v>
      </c>
    </row>
    <row r="3" spans="1:15" ht="16.5" thickBot="1" x14ac:dyDescent="0.3">
      <c r="A3" s="119" t="s">
        <v>102</v>
      </c>
      <c r="B3" s="106"/>
      <c r="C3" s="106"/>
      <c r="D3" s="104"/>
      <c r="E3" s="106" t="e">
        <f>AVERAGE(B3:D3)</f>
        <v>#DIV/0!</v>
      </c>
      <c r="F3" s="120" t="e">
        <f t="shared" ref="F3:F22" si="0">+STDEV(B3:D3)</f>
        <v>#DIV/0!</v>
      </c>
      <c r="G3" s="106">
        <f t="shared" ref="G3" si="1">$O$2</f>
        <v>3.2</v>
      </c>
      <c r="H3" s="106">
        <f>$L$2</f>
        <v>3</v>
      </c>
      <c r="I3" s="120" t="e">
        <f>E3-((F3*G3)/(SQRT(H3)))</f>
        <v>#DIV/0!</v>
      </c>
      <c r="J3" s="120" t="e">
        <f>E3+((F3*G3)/(SQRT(H3)))</f>
        <v>#DIV/0!</v>
      </c>
    </row>
    <row r="4" spans="1:15" ht="16.5" thickBot="1" x14ac:dyDescent="0.3">
      <c r="A4" s="117" t="s">
        <v>103</v>
      </c>
      <c r="B4" s="107"/>
      <c r="C4" s="107"/>
      <c r="D4" s="105"/>
      <c r="E4" s="106" t="e">
        <f t="shared" ref="E4:E22" si="2">AVERAGE(B4:D4)</f>
        <v>#DIV/0!</v>
      </c>
      <c r="F4" s="120" t="e">
        <f t="shared" si="0"/>
        <v>#DIV/0!</v>
      </c>
      <c r="G4" s="106">
        <f>$O$2</f>
        <v>3.2</v>
      </c>
      <c r="H4" s="106">
        <f t="shared" ref="H4:H22" si="3">$L$2</f>
        <v>3</v>
      </c>
      <c r="I4" s="120" t="e">
        <f t="shared" ref="I4:I22" si="4">E4-((F4*G4)/(SQRT(H4)))</f>
        <v>#DIV/0!</v>
      </c>
      <c r="J4" s="120" t="e">
        <f t="shared" ref="J4:J22" si="5">E4+((F4*G4)/(SQRT(H4)))</f>
        <v>#DIV/0!</v>
      </c>
    </row>
    <row r="5" spans="1:15" ht="16.5" thickBot="1" x14ac:dyDescent="0.3">
      <c r="A5" s="117" t="s">
        <v>104</v>
      </c>
      <c r="B5" s="107"/>
      <c r="C5" s="107"/>
      <c r="D5" s="105"/>
      <c r="E5" s="106" t="e">
        <f t="shared" si="2"/>
        <v>#DIV/0!</v>
      </c>
      <c r="F5" s="120" t="e">
        <f t="shared" si="0"/>
        <v>#DIV/0!</v>
      </c>
      <c r="G5" s="106">
        <f t="shared" ref="G5:G22" si="6">$O$2</f>
        <v>3.2</v>
      </c>
      <c r="H5" s="106">
        <f t="shared" si="3"/>
        <v>3</v>
      </c>
      <c r="I5" s="120" t="e">
        <f t="shared" si="4"/>
        <v>#DIV/0!</v>
      </c>
      <c r="J5" s="120" t="e">
        <f t="shared" si="5"/>
        <v>#DIV/0!</v>
      </c>
    </row>
    <row r="6" spans="1:15" ht="16.5" thickBot="1" x14ac:dyDescent="0.3">
      <c r="A6" s="117" t="s">
        <v>105</v>
      </c>
      <c r="B6" s="107"/>
      <c r="C6" s="107"/>
      <c r="D6" s="107"/>
      <c r="E6" s="106" t="e">
        <f t="shared" si="2"/>
        <v>#DIV/0!</v>
      </c>
      <c r="F6" s="120" t="e">
        <f t="shared" si="0"/>
        <v>#DIV/0!</v>
      </c>
      <c r="G6" s="106">
        <f t="shared" si="6"/>
        <v>3.2</v>
      </c>
      <c r="H6" s="106">
        <f t="shared" si="3"/>
        <v>3</v>
      </c>
      <c r="I6" s="120" t="e">
        <f t="shared" si="4"/>
        <v>#DIV/0!</v>
      </c>
      <c r="J6" s="120" t="e">
        <f t="shared" si="5"/>
        <v>#DIV/0!</v>
      </c>
    </row>
    <row r="7" spans="1:15" ht="16.5" thickBot="1" x14ac:dyDescent="0.3">
      <c r="A7" s="117" t="s">
        <v>106</v>
      </c>
      <c r="B7" s="107"/>
      <c r="C7" s="107"/>
      <c r="D7" s="105"/>
      <c r="E7" s="106" t="e">
        <f t="shared" si="2"/>
        <v>#DIV/0!</v>
      </c>
      <c r="F7" s="120" t="e">
        <f t="shared" si="0"/>
        <v>#DIV/0!</v>
      </c>
      <c r="G7" s="106">
        <f t="shared" si="6"/>
        <v>3.2</v>
      </c>
      <c r="H7" s="106">
        <f t="shared" si="3"/>
        <v>3</v>
      </c>
      <c r="I7" s="120" t="e">
        <f t="shared" si="4"/>
        <v>#DIV/0!</v>
      </c>
      <c r="J7" s="120" t="e">
        <f t="shared" si="5"/>
        <v>#DIV/0!</v>
      </c>
    </row>
    <row r="8" spans="1:15" ht="16.5" thickBot="1" x14ac:dyDescent="0.3">
      <c r="A8" s="117" t="s">
        <v>107</v>
      </c>
      <c r="B8" s="107"/>
      <c r="C8" s="107"/>
      <c r="D8" s="105"/>
      <c r="E8" s="106" t="e">
        <f t="shared" si="2"/>
        <v>#DIV/0!</v>
      </c>
      <c r="F8" s="120" t="e">
        <f t="shared" si="0"/>
        <v>#DIV/0!</v>
      </c>
      <c r="G8" s="106">
        <f t="shared" si="6"/>
        <v>3.2</v>
      </c>
      <c r="H8" s="106">
        <f t="shared" si="3"/>
        <v>3</v>
      </c>
      <c r="I8" s="120" t="e">
        <f t="shared" si="4"/>
        <v>#DIV/0!</v>
      </c>
      <c r="J8" s="120" t="e">
        <f t="shared" si="5"/>
        <v>#DIV/0!</v>
      </c>
    </row>
    <row r="9" spans="1:15" ht="16.5" thickBot="1" x14ac:dyDescent="0.3">
      <c r="A9" s="117" t="s">
        <v>99</v>
      </c>
      <c r="B9" s="107"/>
      <c r="C9" s="107"/>
      <c r="D9" s="107"/>
      <c r="E9" s="106" t="e">
        <f t="shared" si="2"/>
        <v>#DIV/0!</v>
      </c>
      <c r="F9" s="120" t="e">
        <f t="shared" si="0"/>
        <v>#DIV/0!</v>
      </c>
      <c r="G9" s="106">
        <f t="shared" si="6"/>
        <v>3.2</v>
      </c>
      <c r="H9" s="106">
        <f t="shared" si="3"/>
        <v>3</v>
      </c>
      <c r="I9" s="120" t="e">
        <f t="shared" si="4"/>
        <v>#DIV/0!</v>
      </c>
      <c r="J9" s="120" t="e">
        <f t="shared" si="5"/>
        <v>#DIV/0!</v>
      </c>
    </row>
    <row r="10" spans="1:15" ht="16.5" thickBot="1" x14ac:dyDescent="0.3">
      <c r="A10" s="117" t="s">
        <v>100</v>
      </c>
      <c r="B10" s="107"/>
      <c r="C10" s="107"/>
      <c r="D10" s="105"/>
      <c r="E10" s="106" t="e">
        <f t="shared" si="2"/>
        <v>#DIV/0!</v>
      </c>
      <c r="F10" s="120" t="e">
        <f t="shared" si="0"/>
        <v>#DIV/0!</v>
      </c>
      <c r="G10" s="106">
        <f t="shared" si="6"/>
        <v>3.2</v>
      </c>
      <c r="H10" s="106">
        <f t="shared" si="3"/>
        <v>3</v>
      </c>
      <c r="I10" s="120" t="e">
        <f t="shared" si="4"/>
        <v>#DIV/0!</v>
      </c>
      <c r="J10" s="120" t="e">
        <f t="shared" si="5"/>
        <v>#DIV/0!</v>
      </c>
    </row>
    <row r="11" spans="1:15" ht="16.5" thickBot="1" x14ac:dyDescent="0.3">
      <c r="A11" s="117" t="s">
        <v>101</v>
      </c>
      <c r="B11" s="107"/>
      <c r="C11" s="107"/>
      <c r="D11" s="105"/>
      <c r="E11" s="106" t="e">
        <f t="shared" si="2"/>
        <v>#DIV/0!</v>
      </c>
      <c r="F11" s="120" t="e">
        <f t="shared" si="0"/>
        <v>#DIV/0!</v>
      </c>
      <c r="G11" s="106">
        <f t="shared" si="6"/>
        <v>3.2</v>
      </c>
      <c r="H11" s="106">
        <f t="shared" si="3"/>
        <v>3</v>
      </c>
      <c r="I11" s="120" t="e">
        <f t="shared" si="4"/>
        <v>#DIV/0!</v>
      </c>
      <c r="J11" s="120" t="e">
        <f t="shared" si="5"/>
        <v>#DIV/0!</v>
      </c>
    </row>
    <row r="12" spans="1:15" ht="16.5" thickBot="1" x14ac:dyDescent="0.3">
      <c r="A12" s="118" t="s">
        <v>108</v>
      </c>
      <c r="B12" s="108"/>
      <c r="C12" s="108"/>
      <c r="D12" s="116"/>
      <c r="E12" s="106" t="e">
        <f t="shared" si="2"/>
        <v>#DIV/0!</v>
      </c>
      <c r="F12" s="120" t="e">
        <f t="shared" si="0"/>
        <v>#DIV/0!</v>
      </c>
      <c r="G12" s="106">
        <f t="shared" si="6"/>
        <v>3.2</v>
      </c>
      <c r="H12" s="106">
        <f t="shared" si="3"/>
        <v>3</v>
      </c>
      <c r="I12" s="120" t="e">
        <f t="shared" si="4"/>
        <v>#DIV/0!</v>
      </c>
      <c r="J12" s="120" t="e">
        <f t="shared" si="5"/>
        <v>#DIV/0!</v>
      </c>
    </row>
    <row r="13" spans="1:15" ht="16.5" thickBot="1" x14ac:dyDescent="0.3">
      <c r="A13" s="117" t="s">
        <v>109</v>
      </c>
      <c r="B13" s="107"/>
      <c r="C13" s="107"/>
      <c r="D13" s="105"/>
      <c r="E13" s="106" t="e">
        <f t="shared" si="2"/>
        <v>#DIV/0!</v>
      </c>
      <c r="F13" s="120" t="e">
        <f t="shared" si="0"/>
        <v>#DIV/0!</v>
      </c>
      <c r="G13" s="106">
        <f t="shared" si="6"/>
        <v>3.2</v>
      </c>
      <c r="H13" s="106">
        <f t="shared" si="3"/>
        <v>3</v>
      </c>
      <c r="I13" s="120" t="e">
        <f t="shared" si="4"/>
        <v>#DIV/0!</v>
      </c>
      <c r="J13" s="120" t="e">
        <f t="shared" si="5"/>
        <v>#DIV/0!</v>
      </c>
    </row>
    <row r="14" spans="1:15" ht="16.5" thickBot="1" x14ac:dyDescent="0.3">
      <c r="A14" s="118" t="s">
        <v>131</v>
      </c>
      <c r="B14" s="107"/>
      <c r="C14" s="107"/>
      <c r="D14" s="105"/>
      <c r="E14" s="106" t="e">
        <f t="shared" si="2"/>
        <v>#DIV/0!</v>
      </c>
      <c r="F14" s="120" t="e">
        <f t="shared" si="0"/>
        <v>#DIV/0!</v>
      </c>
      <c r="G14" s="106">
        <f t="shared" si="6"/>
        <v>3.2</v>
      </c>
      <c r="H14" s="106">
        <f t="shared" si="3"/>
        <v>3</v>
      </c>
      <c r="I14" s="120" t="e">
        <f t="shared" si="4"/>
        <v>#DIV/0!</v>
      </c>
      <c r="J14" s="120" t="e">
        <f t="shared" si="5"/>
        <v>#DIV/0!</v>
      </c>
    </row>
    <row r="15" spans="1:15" ht="16.5" thickBot="1" x14ac:dyDescent="0.3">
      <c r="A15" s="117" t="s">
        <v>110</v>
      </c>
      <c r="B15" s="107"/>
      <c r="C15" s="107"/>
      <c r="D15" s="105"/>
      <c r="E15" s="106" t="e">
        <f t="shared" si="2"/>
        <v>#DIV/0!</v>
      </c>
      <c r="F15" s="120" t="e">
        <f t="shared" si="0"/>
        <v>#DIV/0!</v>
      </c>
      <c r="G15" s="106">
        <f t="shared" si="6"/>
        <v>3.2</v>
      </c>
      <c r="H15" s="106">
        <f t="shared" si="3"/>
        <v>3</v>
      </c>
      <c r="I15" s="120" t="e">
        <f t="shared" si="4"/>
        <v>#DIV/0!</v>
      </c>
      <c r="J15" s="120" t="e">
        <f t="shared" si="5"/>
        <v>#DIV/0!</v>
      </c>
    </row>
    <row r="16" spans="1:15" ht="16.5" thickBot="1" x14ac:dyDescent="0.3">
      <c r="A16" s="118" t="s">
        <v>111</v>
      </c>
      <c r="B16" s="107"/>
      <c r="C16" s="107"/>
      <c r="D16" s="105"/>
      <c r="E16" s="106" t="e">
        <f t="shared" si="2"/>
        <v>#DIV/0!</v>
      </c>
      <c r="F16" s="120" t="e">
        <f t="shared" si="0"/>
        <v>#DIV/0!</v>
      </c>
      <c r="G16" s="106">
        <f t="shared" si="6"/>
        <v>3.2</v>
      </c>
      <c r="H16" s="106">
        <f t="shared" si="3"/>
        <v>3</v>
      </c>
      <c r="I16" s="120" t="e">
        <f t="shared" si="4"/>
        <v>#DIV/0!</v>
      </c>
      <c r="J16" s="120" t="e">
        <f t="shared" si="5"/>
        <v>#DIV/0!</v>
      </c>
    </row>
    <row r="17" spans="1:10" ht="16.5" thickBot="1" x14ac:dyDescent="0.3">
      <c r="A17" s="117" t="s">
        <v>112</v>
      </c>
      <c r="B17" s="107"/>
      <c r="C17" s="107"/>
      <c r="D17" s="105"/>
      <c r="E17" s="106" t="e">
        <f t="shared" si="2"/>
        <v>#DIV/0!</v>
      </c>
      <c r="F17" s="120" t="e">
        <f t="shared" si="0"/>
        <v>#DIV/0!</v>
      </c>
      <c r="G17" s="106">
        <f t="shared" si="6"/>
        <v>3.2</v>
      </c>
      <c r="H17" s="106">
        <f t="shared" si="3"/>
        <v>3</v>
      </c>
      <c r="I17" s="120" t="e">
        <f t="shared" si="4"/>
        <v>#DIV/0!</v>
      </c>
      <c r="J17" s="120" t="e">
        <f t="shared" si="5"/>
        <v>#DIV/0!</v>
      </c>
    </row>
    <row r="18" spans="1:10" ht="16.5" thickBot="1" x14ac:dyDescent="0.3">
      <c r="A18" s="118" t="s">
        <v>125</v>
      </c>
      <c r="B18" s="107"/>
      <c r="C18" s="107"/>
      <c r="D18" s="105"/>
      <c r="E18" s="106" t="e">
        <f t="shared" si="2"/>
        <v>#DIV/0!</v>
      </c>
      <c r="F18" s="120" t="e">
        <f t="shared" si="0"/>
        <v>#DIV/0!</v>
      </c>
      <c r="G18" s="106">
        <f t="shared" si="6"/>
        <v>3.2</v>
      </c>
      <c r="H18" s="106">
        <f t="shared" si="3"/>
        <v>3</v>
      </c>
      <c r="I18" s="120" t="e">
        <f t="shared" si="4"/>
        <v>#DIV/0!</v>
      </c>
      <c r="J18" s="120" t="e">
        <f t="shared" si="5"/>
        <v>#DIV/0!</v>
      </c>
    </row>
    <row r="19" spans="1:10" ht="16.5" thickBot="1" x14ac:dyDescent="0.3">
      <c r="A19" s="117" t="s">
        <v>126</v>
      </c>
      <c r="B19" s="107"/>
      <c r="C19" s="107"/>
      <c r="D19" s="105"/>
      <c r="E19" s="106" t="e">
        <f t="shared" si="2"/>
        <v>#DIV/0!</v>
      </c>
      <c r="F19" s="120" t="e">
        <f t="shared" si="0"/>
        <v>#DIV/0!</v>
      </c>
      <c r="G19" s="106">
        <f t="shared" si="6"/>
        <v>3.2</v>
      </c>
      <c r="H19" s="106">
        <f t="shared" si="3"/>
        <v>3</v>
      </c>
      <c r="I19" s="120" t="e">
        <f t="shared" si="4"/>
        <v>#DIV/0!</v>
      </c>
      <c r="J19" s="120" t="e">
        <f t="shared" si="5"/>
        <v>#DIV/0!</v>
      </c>
    </row>
    <row r="20" spans="1:10" ht="16.5" thickBot="1" x14ac:dyDescent="0.3">
      <c r="A20" s="118" t="s">
        <v>127</v>
      </c>
      <c r="B20" s="108"/>
      <c r="C20" s="108"/>
      <c r="D20" s="116"/>
      <c r="E20" s="106" t="e">
        <f t="shared" si="2"/>
        <v>#DIV/0!</v>
      </c>
      <c r="F20" s="120" t="e">
        <f t="shared" si="0"/>
        <v>#DIV/0!</v>
      </c>
      <c r="G20" s="106">
        <f t="shared" si="6"/>
        <v>3.2</v>
      </c>
      <c r="H20" s="106">
        <f t="shared" si="3"/>
        <v>3</v>
      </c>
      <c r="I20" s="120" t="e">
        <f t="shared" si="4"/>
        <v>#DIV/0!</v>
      </c>
      <c r="J20" s="120" t="e">
        <f t="shared" si="5"/>
        <v>#DIV/0!</v>
      </c>
    </row>
    <row r="21" spans="1:10" ht="16.5" thickBot="1" x14ac:dyDescent="0.3">
      <c r="A21" s="119" t="s">
        <v>132</v>
      </c>
      <c r="E21" s="106" t="e">
        <f t="shared" si="2"/>
        <v>#DIV/0!</v>
      </c>
      <c r="F21" s="120" t="e">
        <f t="shared" si="0"/>
        <v>#DIV/0!</v>
      </c>
      <c r="G21" s="106">
        <f t="shared" si="6"/>
        <v>3.2</v>
      </c>
      <c r="H21" s="106">
        <f t="shared" si="3"/>
        <v>3</v>
      </c>
      <c r="I21" s="120" t="e">
        <f t="shared" si="4"/>
        <v>#DIV/0!</v>
      </c>
      <c r="J21" s="120" t="e">
        <f t="shared" si="5"/>
        <v>#DIV/0!</v>
      </c>
    </row>
    <row r="22" spans="1:10" ht="15.75" x14ac:dyDescent="0.25">
      <c r="A22" s="117" t="s">
        <v>133</v>
      </c>
      <c r="E22" s="106" t="e">
        <f t="shared" si="2"/>
        <v>#DIV/0!</v>
      </c>
      <c r="F22" s="120" t="e">
        <f t="shared" si="0"/>
        <v>#DIV/0!</v>
      </c>
      <c r="G22" s="106">
        <f t="shared" si="6"/>
        <v>3.2</v>
      </c>
      <c r="H22" s="106">
        <f t="shared" si="3"/>
        <v>3</v>
      </c>
      <c r="I22" s="120" t="e">
        <f t="shared" si="4"/>
        <v>#DIV/0!</v>
      </c>
      <c r="J22" s="120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Comparar</vt:lpstr>
      <vt:lpstr>DATASENSOR</vt:lpstr>
      <vt:lpstr>REPRODUCIBILIDAD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2018-01-15T21:14:44Z</dcterms:modified>
</cp:coreProperties>
</file>