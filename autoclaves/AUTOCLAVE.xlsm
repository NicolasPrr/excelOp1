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OneDrive\Documentos\F2G MACROS\AUTOCLAVE\"/>
    </mc:Choice>
  </mc:AlternateContent>
  <xr:revisionPtr revIDLastSave="3" documentId="43E6B05F615329DBF76AD533BD4216E9E385AF99" xr6:coauthVersionLast="26" xr6:coauthVersionMax="26" xr10:uidLastSave="{5A7D537C-000B-4614-B559-690AF9C5571E}"/>
  <bookViews>
    <workbookView xWindow="0" yWindow="0" windowWidth="20490" windowHeight="7530" xr2:uid="{00000000-000D-0000-FFFF-FFFF00000000}"/>
  </bookViews>
  <sheets>
    <sheet name="Index" sheetId="5" r:id="rId1"/>
    <sheet name="Comparar" sheetId="6" r:id="rId2"/>
    <sheet name="DATASENSOR" sheetId="201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<sst xmlns="http://schemas.openxmlformats.org/spreadsheetml/2006/main" count="189" uniqueCount="141">
  <si>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</si>
  <si>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</si>
  <si>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</si>
  <si>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</si>
  <si>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</si>
  <si>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</si>
  <si>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</si>
  <si>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</si>
  <si>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</si>
  <si>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</si>
  <si>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</si>
  <si>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</si>
  <si>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</si>
  <si>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</si>
  <si>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</si>
  <si>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</si>
  <si>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</si>
  <si>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</si>
  <si>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</si>
  <si>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</si>
  <si>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</si>
  <si>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</si>
  <si>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</si>
  <si>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</si>
  <si>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</si>
  <si>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</si>
  <si>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</si>
  <si>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</si>
  <si>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</si>
  <si>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</si>
  <si>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</si>
  <si>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</si>
  <si>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</si>
  <si>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</si>
  <si>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</si>
  <si>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</si>
  <si>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</si>
  <si>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</si>
  <si>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</si>
  <si>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</si>
  <si>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</si>
  <si>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</si>
  <si>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</si>
  <si>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</si>
  <si>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</si>
  <si>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</si>
  <si>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</si>
  <si>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</si>
  <si>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</si>
  <si>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</si>
  <si>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</si>
  <si>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</si>
  <si>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</si>
  <si>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</si>
  <si>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</si>
  <si>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</si>
  <si>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</si>
  <si>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</si>
  <si>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</si>
  <si>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</si>
  <si>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</si>
  <si>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</si>
  <si>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</si>
  <si>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</si>
  <si>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</si>
  <si>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</si>
  <si>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</si>
  <si>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</si>
  <si>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</si>
  <si>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</si>
  <si>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</si>
  <si>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</si>
  <si>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</si>
  <si>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</si>
  <si>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</si>
  <si>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</si>
  <si>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</si>
  <si>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</si>
  <si>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</si>
  <si>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</si>
  <si>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</si>
  <si>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</si>
  <si>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</si>
  <si>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</si>
  <si>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</si>
  <si>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</si>
  <si>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</si>
  <si>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</si>
  <si>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</si>
  <si>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</si>
  <si>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</si>
  <si>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</si>
  <si>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</si>
  <si>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</si>
  <si>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</si>
  <si>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</si>
  <si>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</si>
  <si>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</si>
  <si>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</si>
  <si>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</si>
  <si>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</si>
  <si>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</si>
  <si>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</si>
  <si>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</si>
  <si>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</si>
  <si>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</si>
  <si>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</si>
  <si>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</si>
  <si>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</si>
  <si>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</si>
  <si>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</si>
  <si>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</si>
  <si>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</si>
  <si>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</si>
  <si>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</si>
  <si>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</si>
  <si>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</si>
  <si>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</si>
  <si>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</si>
  <si>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</si>
  <si>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</si>
  <si>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</si>
  <si>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</si>
  <si>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</si>
  <si>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</si>
  <si>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</si>
  <si>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</si>
  <si>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</si>
  <si>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</si>
  <si>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</si>
  <si>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</si>
  <si>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</si>
  <si>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</si>
  <si>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</si>
  <si>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</si>
  <si>
    <t>SOLUCIONES INYECTABLES</t>
  </si>
  <si>
    <t>669 A</t>
  </si>
  <si>
    <t>091128</t>
  </si>
  <si>
    <t>I-17082901-39</t>
  </si>
  <si>
    <t>NC-17-08-22-221</t>
  </si>
  <si>
    <t>NC-17-08-22-223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</si>
</sst>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2" zoomScale="85" zoomScaleNormal="85" workbookViewId="0">
      <selection activeCell="I5" sqref="I5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43046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138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135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>
        <v>400</v>
      </c>
      <c r="M5" s="39" t="s">
        <v>19</v>
      </c>
      <c r="N5" s="47" t="s">
        <v>96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136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137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125</v>
      </c>
      <c r="K8" s="129"/>
      <c r="L8" s="42" t="s">
        <v>22</v>
      </c>
      <c r="M8" s="46">
        <v>20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1.4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43046</v>
      </c>
      <c r="BJ1" s="45">
        <v>0.70347222222222217</v>
      </c>
      <c r="BK1" s="44">
        <v>43046</v>
      </c>
      <c r="BL1" s="45">
        <v>0.71701388888888884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B12" sqref="B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98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10" t="s">
        <v>139</v>
      </c>
    </row>
    <row r="12" spans="1:2" ht="15.75" thickBot="1" x14ac:dyDescent="0.3">
      <c r="A12" s="108" t="s">
        <v>71</v>
      </c>
      <c r="B12" s="105" t="s">
        <v>140</v>
      </c>
    </row>
    <row r="13" spans="1:2" x14ac:dyDescent="0.25">
      <c r="A13" s="109" t="s">
        <v>84</v>
      </c>
      <c r="B13" s="110" t="s">
        <v>85</v>
      </c>
    </row>
    <row r="14" spans="1:2" x14ac:dyDescent="0.25">
      <c r="A14" s="109" t="s">
        <v>86</v>
      </c>
      <c r="B14" s="110" t="s">
        <v>87</v>
      </c>
    </row>
    <row r="15" spans="1:2" x14ac:dyDescent="0.25">
      <c r="A15" s="109" t="s">
        <v>88</v>
      </c>
      <c r="B15" s="110" t="s">
        <v>89</v>
      </c>
    </row>
    <row r="16" spans="1:2" x14ac:dyDescent="0.25">
      <c r="A16" s="109" t="s">
        <v>90</v>
      </c>
      <c r="B16" s="110" t="s">
        <v>91</v>
      </c>
    </row>
    <row r="17" spans="1:2" x14ac:dyDescent="0.25">
      <c r="A17" s="109" t="s">
        <v>92</v>
      </c>
      <c r="B17" s="110" t="s">
        <v>93</v>
      </c>
    </row>
    <row r="18" spans="1:2" x14ac:dyDescent="0.25">
      <c r="A18" s="109" t="s">
        <v>94</v>
      </c>
      <c r="B18" s="110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G9" sqref="G9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/>
      <c r="B1" s="130" t="s">
        <v>113</v>
      </c>
      <c r="C1" s="130"/>
      <c r="D1" s="130"/>
      <c r="E1" s="112" t="s">
        <v>97</v>
      </c>
      <c r="F1" s="112" t="s">
        <v>114</v>
      </c>
      <c r="G1" s="112" t="s">
        <v>115</v>
      </c>
      <c r="H1" s="112" t="s">
        <v>116</v>
      </c>
      <c r="I1" s="112" t="s">
        <v>117</v>
      </c>
      <c r="J1" s="112" t="s">
        <v>118</v>
      </c>
      <c r="K1" s="121" t="s">
        <v>128</v>
      </c>
      <c r="L1" s="121" t="s">
        <v>116</v>
      </c>
      <c r="M1" s="121" t="s">
        <v>130</v>
      </c>
      <c r="N1" s="121" t="s">
        <v>129</v>
      </c>
      <c r="O1" s="121" t="s">
        <v>134</v>
      </c>
    </row>
    <row r="2" spans="1:15" ht="16.5" thickBot="1" x14ac:dyDescent="0.3">
      <c r="A2" s="113" t="s">
        <v>119</v>
      </c>
      <c r="B2" s="114" t="s">
        <v>120</v>
      </c>
      <c r="C2" s="114" t="s">
        <v>121</v>
      </c>
      <c r="D2" s="114" t="s">
        <v>122</v>
      </c>
      <c r="E2" s="115" t="s">
        <v>123</v>
      </c>
      <c r="F2" s="115" t="s">
        <v>123</v>
      </c>
      <c r="G2" s="115" t="s">
        <v>124</v>
      </c>
      <c r="H2" s="115" t="s">
        <v>119</v>
      </c>
      <c r="I2" s="115" t="s">
        <v>123</v>
      </c>
      <c r="J2" s="115" t="s">
        <v>123</v>
      </c>
      <c r="K2" s="103">
        <v>1000000</v>
      </c>
      <c r="L2" s="103">
        <v>3</v>
      </c>
      <c r="M2" s="122">
        <v>11.999999999999998</v>
      </c>
      <c r="N2" s="103">
        <v>2</v>
      </c>
      <c r="O2" s="122">
        <v>3.2</v>
      </c>
    </row>
    <row r="3" spans="1:15" ht="16.5" thickBot="1" x14ac:dyDescent="0.3">
      <c r="A3" s="119" t="s">
        <v>102</v>
      </c>
      <c r="B3" s="106"/>
      <c r="C3" s="106"/>
      <c r="D3" s="104"/>
      <c r="E3" s="106" t="e">
        <f>AVERAGE(B3:D3)</f>
        <v>#DIV/0!</v>
      </c>
      <c r="F3" s="120" t="e">
        <f t="shared" ref="F3:F22" si="0">+STDEV(B3:D3)</f>
        <v>#DIV/0!</v>
      </c>
      <c r="G3" s="106">
        <f t="shared" ref="G3" si="1">$O$2</f>
        <v>3.2</v>
      </c>
      <c r="H3" s="106">
        <f>$L$2</f>
        <v>3</v>
      </c>
      <c r="I3" s="120" t="e">
        <f>E3-((F3*G3)/(SQRT(H3)))</f>
        <v>#DIV/0!</v>
      </c>
      <c r="J3" s="120" t="e">
        <f>E3+((F3*G3)/(SQRT(H3)))</f>
        <v>#DIV/0!</v>
      </c>
    </row>
    <row r="4" spans="1:15" ht="16.5" thickBot="1" x14ac:dyDescent="0.3">
      <c r="A4" s="117" t="s">
        <v>103</v>
      </c>
      <c r="B4" s="107"/>
      <c r="C4" s="107"/>
      <c r="D4" s="105"/>
      <c r="E4" s="106" t="e">
        <f t="shared" ref="E4:E22" si="2">AVERAGE(B4:D4)</f>
        <v>#DIV/0!</v>
      </c>
      <c r="F4" s="120" t="e">
        <f t="shared" si="0"/>
        <v>#DIV/0!</v>
      </c>
      <c r="G4" s="106">
        <f>$O$2</f>
        <v>3.2</v>
      </c>
      <c r="H4" s="106">
        <f t="shared" ref="H4:H22" si="3">$L$2</f>
        <v>3</v>
      </c>
      <c r="I4" s="120" t="e">
        <f t="shared" ref="I4:I22" si="4">E4-((F4*G4)/(SQRT(H4)))</f>
        <v>#DIV/0!</v>
      </c>
      <c r="J4" s="120" t="e">
        <f t="shared" ref="J4:J22" si="5">E4+((F4*G4)/(SQRT(H4)))</f>
        <v>#DIV/0!</v>
      </c>
    </row>
    <row r="5" spans="1:15" ht="16.5" thickBot="1" x14ac:dyDescent="0.3">
      <c r="A5" s="117" t="s">
        <v>104</v>
      </c>
      <c r="B5" s="107"/>
      <c r="C5" s="107"/>
      <c r="D5" s="105"/>
      <c r="E5" s="106" t="e">
        <f t="shared" si="2"/>
        <v>#DIV/0!</v>
      </c>
      <c r="F5" s="120" t="e">
        <f t="shared" si="0"/>
        <v>#DIV/0!</v>
      </c>
      <c r="G5" s="106">
        <f t="shared" ref="G5:G22" si="6">$O$2</f>
        <v>3.2</v>
      </c>
      <c r="H5" s="106">
        <f t="shared" si="3"/>
        <v>3</v>
      </c>
      <c r="I5" s="120" t="e">
        <f t="shared" si="4"/>
        <v>#DIV/0!</v>
      </c>
      <c r="J5" s="120" t="e">
        <f t="shared" si="5"/>
        <v>#DIV/0!</v>
      </c>
    </row>
    <row r="6" spans="1:15" ht="16.5" thickBot="1" x14ac:dyDescent="0.3">
      <c r="A6" s="117" t="s">
        <v>105</v>
      </c>
      <c r="B6" s="107"/>
      <c r="C6" s="107"/>
      <c r="D6" s="107"/>
      <c r="E6" s="106" t="e">
        <f t="shared" si="2"/>
        <v>#DIV/0!</v>
      </c>
      <c r="F6" s="120" t="e">
        <f t="shared" si="0"/>
        <v>#DIV/0!</v>
      </c>
      <c r="G6" s="106">
        <f t="shared" si="6"/>
        <v>3.2</v>
      </c>
      <c r="H6" s="106">
        <f t="shared" si="3"/>
        <v>3</v>
      </c>
      <c r="I6" s="120" t="e">
        <f t="shared" si="4"/>
        <v>#DIV/0!</v>
      </c>
      <c r="J6" s="120" t="e">
        <f t="shared" si="5"/>
        <v>#DIV/0!</v>
      </c>
    </row>
    <row r="7" spans="1:15" ht="16.5" thickBot="1" x14ac:dyDescent="0.3">
      <c r="A7" s="117" t="s">
        <v>106</v>
      </c>
      <c r="B7" s="107"/>
      <c r="C7" s="107"/>
      <c r="D7" s="105"/>
      <c r="E7" s="106" t="e">
        <f t="shared" si="2"/>
        <v>#DIV/0!</v>
      </c>
      <c r="F7" s="120" t="e">
        <f t="shared" si="0"/>
        <v>#DIV/0!</v>
      </c>
      <c r="G7" s="106">
        <f t="shared" si="6"/>
        <v>3.2</v>
      </c>
      <c r="H7" s="106">
        <f t="shared" si="3"/>
        <v>3</v>
      </c>
      <c r="I7" s="120" t="e">
        <f t="shared" si="4"/>
        <v>#DIV/0!</v>
      </c>
      <c r="J7" s="120" t="e">
        <f t="shared" si="5"/>
        <v>#DIV/0!</v>
      </c>
    </row>
    <row r="8" spans="1:15" ht="16.5" thickBot="1" x14ac:dyDescent="0.3">
      <c r="A8" s="117" t="s">
        <v>107</v>
      </c>
      <c r="B8" s="107"/>
      <c r="C8" s="107"/>
      <c r="D8" s="105"/>
      <c r="E8" s="106" t="e">
        <f t="shared" si="2"/>
        <v>#DIV/0!</v>
      </c>
      <c r="F8" s="120" t="e">
        <f t="shared" si="0"/>
        <v>#DIV/0!</v>
      </c>
      <c r="G8" s="106">
        <f t="shared" si="6"/>
        <v>3.2</v>
      </c>
      <c r="H8" s="106">
        <f t="shared" si="3"/>
        <v>3</v>
      </c>
      <c r="I8" s="120" t="e">
        <f t="shared" si="4"/>
        <v>#DIV/0!</v>
      </c>
      <c r="J8" s="120" t="e">
        <f t="shared" si="5"/>
        <v>#DIV/0!</v>
      </c>
    </row>
    <row r="9" spans="1:15" ht="16.5" thickBot="1" x14ac:dyDescent="0.3">
      <c r="A9" s="117" t="s">
        <v>99</v>
      </c>
      <c r="B9" s="107"/>
      <c r="C9" s="107"/>
      <c r="D9" s="107"/>
      <c r="E9" s="106" t="e">
        <f t="shared" si="2"/>
        <v>#DIV/0!</v>
      </c>
      <c r="F9" s="120" t="e">
        <f t="shared" si="0"/>
        <v>#DIV/0!</v>
      </c>
      <c r="G9" s="106">
        <f t="shared" si="6"/>
        <v>3.2</v>
      </c>
      <c r="H9" s="106">
        <f t="shared" si="3"/>
        <v>3</v>
      </c>
      <c r="I9" s="120" t="e">
        <f t="shared" si="4"/>
        <v>#DIV/0!</v>
      </c>
      <c r="J9" s="120" t="e">
        <f t="shared" si="5"/>
        <v>#DIV/0!</v>
      </c>
    </row>
    <row r="10" spans="1:15" ht="16.5" thickBot="1" x14ac:dyDescent="0.3">
      <c r="A10" s="117" t="s">
        <v>100</v>
      </c>
      <c r="B10" s="107"/>
      <c r="C10" s="107"/>
      <c r="D10" s="105"/>
      <c r="E10" s="106" t="e">
        <f t="shared" si="2"/>
        <v>#DIV/0!</v>
      </c>
      <c r="F10" s="120" t="e">
        <f t="shared" si="0"/>
        <v>#DIV/0!</v>
      </c>
      <c r="G10" s="106">
        <f t="shared" si="6"/>
        <v>3.2</v>
      </c>
      <c r="H10" s="106">
        <f t="shared" si="3"/>
        <v>3</v>
      </c>
      <c r="I10" s="120" t="e">
        <f t="shared" si="4"/>
        <v>#DIV/0!</v>
      </c>
      <c r="J10" s="120" t="e">
        <f t="shared" si="5"/>
        <v>#DIV/0!</v>
      </c>
    </row>
    <row r="11" spans="1:15" ht="16.5" thickBot="1" x14ac:dyDescent="0.3">
      <c r="A11" s="117" t="s">
        <v>101</v>
      </c>
      <c r="B11" s="107"/>
      <c r="C11" s="107"/>
      <c r="D11" s="105"/>
      <c r="E11" s="106" t="e">
        <f t="shared" si="2"/>
        <v>#DIV/0!</v>
      </c>
      <c r="F11" s="120" t="e">
        <f t="shared" si="0"/>
        <v>#DIV/0!</v>
      </c>
      <c r="G11" s="106">
        <f t="shared" si="6"/>
        <v>3.2</v>
      </c>
      <c r="H11" s="106">
        <f t="shared" si="3"/>
        <v>3</v>
      </c>
      <c r="I11" s="120" t="e">
        <f t="shared" si="4"/>
        <v>#DIV/0!</v>
      </c>
      <c r="J11" s="120" t="e">
        <f t="shared" si="5"/>
        <v>#DIV/0!</v>
      </c>
    </row>
    <row r="12" spans="1:15" ht="16.5" thickBot="1" x14ac:dyDescent="0.3">
      <c r="A12" s="118" t="s">
        <v>108</v>
      </c>
      <c r="B12" s="108"/>
      <c r="C12" s="108"/>
      <c r="D12" s="116"/>
      <c r="E12" s="106" t="e">
        <f t="shared" si="2"/>
        <v>#DIV/0!</v>
      </c>
      <c r="F12" s="120" t="e">
        <f t="shared" si="0"/>
        <v>#DIV/0!</v>
      </c>
      <c r="G12" s="106">
        <f t="shared" si="6"/>
        <v>3.2</v>
      </c>
      <c r="H12" s="106">
        <f t="shared" si="3"/>
        <v>3</v>
      </c>
      <c r="I12" s="120" t="e">
        <f t="shared" si="4"/>
        <v>#DIV/0!</v>
      </c>
      <c r="J12" s="120" t="e">
        <f t="shared" si="5"/>
        <v>#DIV/0!</v>
      </c>
    </row>
    <row r="13" spans="1:15" ht="16.5" thickBot="1" x14ac:dyDescent="0.3">
      <c r="A13" s="117" t="s">
        <v>109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3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131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3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110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3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111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3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112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3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125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3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126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3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127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3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132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3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133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3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2018-01-25T00:59:22Z</dcterms:modified>
</cp:coreProperties>
</file>