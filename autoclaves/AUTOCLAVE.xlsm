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6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7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+xml"/>
  <Override PartName="/xl/ctrlProps/ctrlProp1.xml" ContentType="application/vnd.ms-excel.controlproperti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harts/chart4.xml" ContentType="application/vnd.openxmlformats-officedocument.drawingml.chart+xml"/>
  <Override PartName="/xl/drawings/drawing7.xml" ContentType="application/vnd.openxmlformats-officedocument.drawing+xml"/>
  <Override PartName="/xl/ctrlProps/ctrlProp2.xml" ContentType="application/vnd.ms-excel.controlproperties+xml"/>
  <Override PartName="/xl/drawings/drawing8.xml" ContentType="application/vnd.openxmlformats-officedocument.drawing+xml"/>
  <Override PartName="/xl/charts/chart5.xml" ContentType="application/vnd.openxmlformats-officedocument.drawingml.chart+xml"/>
  <Override PartName="/xl/drawings/drawing9.xml" ContentType="application/vnd.openxmlformats-officedocument.drawing+xml"/>
  <Override PartName="/xl/charts/chart6.xml" ContentType="application/vnd.openxmlformats-officedocument.drawingml.chart+xml"/>
  <Override PartName="/xl/drawings/drawing10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730" codeName="{91B80F79-697F-C00D-A1F8-6C9A07846A5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ikox\Documents\F2G MACROS\AUTOCLAVE\"/>
    </mc:Choice>
  </mc:AlternateContent>
  <bookViews>
    <workbookView xWindow="0" yWindow="0" windowWidth="15345" windowHeight="4455" firstSheet="10" activeTab="12" xr2:uid="{00000000-000D-0000-FFFF-FFFF00000000}"/>
  </bookViews>
  <sheets>
    <sheet name="Index" sheetId="5" r:id="rId1"/>
    <sheet name="Comparar" sheetId="6" r:id="rId2"/>
    <sheet name="DATASENSOR" sheetId="201" state="hidden" r:id="rId3"/>
    <sheet name="REPRODUCIBILIDAD" sheetId="272" r:id="rId4"/>
    <sheet name="alt" sheetId="126" state="hidden" r:id="rId5"/>
    <sheet name="Grafica DESEMPEÑO  TEMP1" sheetId="298" r:id="rId6"/>
    <sheet name="Periodo E DESEMPEÑO  TEMP1" sheetId="299" r:id="rId7"/>
    <sheet name="DESEMPEÑO  TEMP1" sheetId="293" r:id="rId8"/>
    <sheet name="Grafica DESEMPEÑO  TEMP2" sheetId="300" r:id="rId9"/>
    <sheet name="Periodo E DESEMPEÑO  TEMP2" sheetId="301" r:id="rId10"/>
    <sheet name="DESEMPEÑO  TEMP2" sheetId="294" r:id="rId11"/>
    <sheet name="Grafica DESEMPEÑO  TEMP3" sheetId="296" r:id="rId12"/>
    <sheet name="Periodo E DESEMPEÑO  TEMP3" sheetId="297" r:id="rId13"/>
    <sheet name="DESEMPEÑO  TEMP3" sheetId="295" r:id="rId14"/>
  </sheets>
  <functionGroups builtInGroupCount="19"/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2" i="272" l="1"/>
  <c r="G21" i="272"/>
  <c r="G20" i="272"/>
  <c r="G19" i="272"/>
  <c r="G18" i="272"/>
  <c r="G17" i="272"/>
  <c r="G16" i="272"/>
  <c r="G15" i="272"/>
  <c r="G14" i="272"/>
  <c r="G13" i="272"/>
  <c r="G12" i="272"/>
  <c r="G11" i="272"/>
  <c r="G10" i="272"/>
  <c r="G9" i="272"/>
  <c r="G8" i="272"/>
  <c r="G7" i="272"/>
  <c r="G6" i="272"/>
  <c r="G5" i="272"/>
  <c r="G3" i="272"/>
  <c r="G4" i="272"/>
  <c r="H21" i="272" l="1"/>
  <c r="I21" i="272" s="1"/>
  <c r="H22" i="272"/>
  <c r="J22" i="272" s="1"/>
  <c r="F21" i="272"/>
  <c r="F22" i="272"/>
  <c r="E21" i="272"/>
  <c r="E22" i="272"/>
  <c r="J21" i="272" l="1"/>
  <c r="I22" i="272"/>
  <c r="H20" i="272"/>
  <c r="H19" i="272"/>
  <c r="J19" i="272" s="1"/>
  <c r="H18" i="272"/>
  <c r="H17" i="272"/>
  <c r="H16" i="272"/>
  <c r="H15" i="272"/>
  <c r="H14" i="272"/>
  <c r="H13" i="272"/>
  <c r="H12" i="272"/>
  <c r="H11" i="272"/>
  <c r="H10" i="272"/>
  <c r="H9" i="272"/>
  <c r="H8" i="272"/>
  <c r="H7" i="272"/>
  <c r="H6" i="272"/>
  <c r="H5" i="272"/>
  <c r="H4" i="272"/>
  <c r="H3" i="272"/>
  <c r="F3" i="272"/>
  <c r="F20" i="272"/>
  <c r="F19" i="272"/>
  <c r="F18" i="272"/>
  <c r="F17" i="272"/>
  <c r="F16" i="272"/>
  <c r="F15" i="272"/>
  <c r="F14" i="272"/>
  <c r="F13" i="272"/>
  <c r="F12" i="272"/>
  <c r="F11" i="272"/>
  <c r="F10" i="272"/>
  <c r="F9" i="272"/>
  <c r="F8" i="272"/>
  <c r="F7" i="272"/>
  <c r="F6" i="272"/>
  <c r="F5" i="272"/>
  <c r="F4" i="272"/>
  <c r="E20" i="272"/>
  <c r="E19" i="272"/>
  <c r="E18" i="272"/>
  <c r="E17" i="272"/>
  <c r="E16" i="272"/>
  <c r="E15" i="272"/>
  <c r="E14" i="272"/>
  <c r="E13" i="272"/>
  <c r="E12" i="272"/>
  <c r="E11" i="272"/>
  <c r="E10" i="272"/>
  <c r="E9" i="272"/>
  <c r="E8" i="272"/>
  <c r="E7" i="272"/>
  <c r="E6" i="272"/>
  <c r="E5" i="272"/>
  <c r="E4" i="272"/>
  <c r="E3" i="272"/>
  <c r="J12" i="272" l="1"/>
  <c r="J17" i="272"/>
  <c r="J15" i="272"/>
  <c r="J18" i="272"/>
  <c r="I15" i="272"/>
  <c r="I14" i="272"/>
  <c r="I20" i="272"/>
  <c r="J20" i="272"/>
  <c r="J16" i="272"/>
  <c r="J14" i="272"/>
  <c r="I19" i="272"/>
  <c r="I18" i="272"/>
  <c r="I17" i="272"/>
  <c r="J4" i="272"/>
  <c r="J3" i="272"/>
  <c r="J13" i="272"/>
  <c r="I13" i="272"/>
  <c r="J11" i="272"/>
  <c r="J10" i="272"/>
  <c r="J9" i="272"/>
  <c r="J8" i="272"/>
  <c r="J7" i="272"/>
  <c r="J6" i="272"/>
  <c r="J5" i="272"/>
  <c r="I10" i="272"/>
  <c r="I6" i="272"/>
  <c r="I4" i="272"/>
  <c r="I8" i="272"/>
  <c r="I12" i="272"/>
  <c r="I3" i="272"/>
  <c r="I5" i="272"/>
  <c r="I7" i="272"/>
  <c r="I9" i="272"/>
  <c r="I11" i="272"/>
  <c r="I16" i="272" l="1"/>
  <c r="N1" i="6"/>
  <c r="N4" i="6"/>
  <c r="N3" i="6"/>
  <c r="N21" i="6"/>
  <c r="N11" i="6"/>
  <c r="N24" i="6" l="1"/>
  <c r="N23" i="6"/>
  <c r="N22" i="6"/>
  <c r="N14" i="6"/>
  <c r="N13" i="6"/>
  <c r="N12" i="6"/>
  <c r="N2" i="6"/>
</calcChain>
</file>

<file path=xl/sharedStrings.xml><?xml version="1.0" encoding="utf-8"?>
<sst xmlns="http://schemas.openxmlformats.org/spreadsheetml/2006/main" count="784" uniqueCount="170">
  <si>
    <t>Nombre de la empresa:</t>
  </si>
  <si>
    <t>Fecha:</t>
  </si>
  <si>
    <t>Marca:</t>
  </si>
  <si>
    <t>Modelo:</t>
  </si>
  <si>
    <t>Serial:</t>
  </si>
  <si>
    <t>Ubicación:</t>
  </si>
  <si>
    <t>Equipo:</t>
  </si>
  <si>
    <t>Numero de ciclos:</t>
  </si>
  <si>
    <t>Informe N°:</t>
  </si>
  <si>
    <t>Funcion:</t>
  </si>
  <si>
    <t>Capacidad</t>
  </si>
  <si>
    <t>R. operación:</t>
  </si>
  <si>
    <t>Dirección:</t>
  </si>
  <si>
    <t>Email:</t>
  </si>
  <si>
    <t>Programación:</t>
  </si>
  <si>
    <t xml:space="preserve"> </t>
  </si>
  <si>
    <t>Fecha</t>
  </si>
  <si>
    <t>Hora</t>
  </si>
  <si>
    <t>Datos</t>
  </si>
  <si>
    <t>Tipo:</t>
  </si>
  <si>
    <t>Presión esperada:</t>
  </si>
  <si>
    <t>Temperatura esperada:</t>
  </si>
  <si>
    <t>Tiempo esperado:</t>
  </si>
  <si>
    <t>Presion en:</t>
  </si>
  <si>
    <t xml:space="preserve">Barranquilla </t>
  </si>
  <si>
    <t>Lima</t>
  </si>
  <si>
    <t>Palmira</t>
  </si>
  <si>
    <t>Cali</t>
  </si>
  <si>
    <t>San José</t>
  </si>
  <si>
    <t>Medellín</t>
  </si>
  <si>
    <t>Rionegro</t>
  </si>
  <si>
    <t>Bogotá</t>
  </si>
  <si>
    <t xml:space="preserve">Espinal </t>
  </si>
  <si>
    <t>Monteria</t>
  </si>
  <si>
    <t>Armenia</t>
  </si>
  <si>
    <t>Fusagasuga</t>
  </si>
  <si>
    <t>T ciudad:</t>
  </si>
  <si>
    <t>Altura</t>
  </si>
  <si>
    <t>Ciclo 1</t>
  </si>
  <si>
    <t xml:space="preserve">Ciclo 2 </t>
  </si>
  <si>
    <t>Ciclo 3</t>
  </si>
  <si>
    <t>Sensor 1 camara temperatura</t>
  </si>
  <si>
    <t>Sensor 2 temperatura</t>
  </si>
  <si>
    <t>Sensor 3 presion</t>
  </si>
  <si>
    <t>Sensor 4 presión</t>
  </si>
  <si>
    <t>AUTOCLAVE</t>
  </si>
  <si>
    <t>Tipo de autoclave:</t>
  </si>
  <si>
    <t>Sistema de control:</t>
  </si>
  <si>
    <t>DIGITAL</t>
  </si>
  <si>
    <t>AUTOMATICO</t>
  </si>
  <si>
    <t>Variable de control:</t>
  </si>
  <si>
    <t>Ciudad:</t>
  </si>
  <si>
    <t>PRESION</t>
  </si>
  <si>
    <t xml:space="preserve">ESTERILIZAR </t>
  </si>
  <si>
    <t>DESCONOCIDO</t>
  </si>
  <si>
    <t>CALLE BERNABE LEDEZMA NO. 787 SECTOR ALTO OBRAJES</t>
  </si>
  <si>
    <t>JQUENALLATA@BAGÓ.COM.BO</t>
  </si>
  <si>
    <t>BAR</t>
  </si>
  <si>
    <t>CALDERA</t>
  </si>
  <si>
    <t xml:space="preserve">  </t>
  </si>
  <si>
    <t>HOGNER</t>
  </si>
  <si>
    <t>LABORATORIOS BAGÓ DE BOLIVIA S.A.</t>
  </si>
  <si>
    <t>BOLIVIA</t>
  </si>
  <si>
    <t>Q07967</t>
  </si>
  <si>
    <t>Q07970</t>
  </si>
  <si>
    <t>Q07972</t>
  </si>
  <si>
    <t>Q07974</t>
  </si>
  <si>
    <t>Q07977</t>
  </si>
  <si>
    <t>Q07513</t>
  </si>
  <si>
    <t>Q07521</t>
  </si>
  <si>
    <t>Q00749</t>
  </si>
  <si>
    <t>Q01421</t>
  </si>
  <si>
    <t>Q07518</t>
  </si>
  <si>
    <t>ID SENSOR</t>
  </si>
  <si>
    <t>CODIGO CERTIFICADO</t>
  </si>
  <si>
    <t>LMS2188</t>
  </si>
  <si>
    <t>LMS2190</t>
  </si>
  <si>
    <t>LMS2191</t>
  </si>
  <si>
    <t>LMS2189</t>
  </si>
  <si>
    <t>LMS2186</t>
  </si>
  <si>
    <t>LMS2187</t>
  </si>
  <si>
    <t>LMS2193</t>
  </si>
  <si>
    <t>Q02726</t>
  </si>
  <si>
    <t>LMS2184</t>
  </si>
  <si>
    <t>???????</t>
  </si>
  <si>
    <t>Q32078</t>
  </si>
  <si>
    <t>NC-17-05-23-077</t>
  </si>
  <si>
    <t>Q32291</t>
  </si>
  <si>
    <t>NC-17-05-23-073</t>
  </si>
  <si>
    <t>Q32292</t>
  </si>
  <si>
    <t>NC-17-05-23-076</t>
  </si>
  <si>
    <t>Q32294</t>
  </si>
  <si>
    <t>NC-17-05-23-072</t>
  </si>
  <si>
    <t>Q32295</t>
  </si>
  <si>
    <t>NC-17-05-23-074</t>
  </si>
  <si>
    <t>Q32300</t>
  </si>
  <si>
    <t>NC-17-05-23-075</t>
  </si>
  <si>
    <t>ESTERILIZADO POLVO ANTIBIOTICO</t>
  </si>
  <si>
    <t>VAP 5001-PHARMA VI / NP</t>
  </si>
  <si>
    <t>030303</t>
  </si>
  <si>
    <t>I-17082901-54</t>
  </si>
  <si>
    <t>144 LITROS</t>
  </si>
  <si>
    <t>DESEMPEÑO</t>
  </si>
  <si>
    <t>Promedio</t>
  </si>
  <si>
    <t>LMS2192</t>
  </si>
  <si>
    <t>PUNTO 7</t>
  </si>
  <si>
    <t>PUNTO 8</t>
  </si>
  <si>
    <t>PUNTO 9</t>
  </si>
  <si>
    <t>PUNTO 1</t>
  </si>
  <si>
    <t>PUNTO 2</t>
  </si>
  <si>
    <t>PUNTO 3</t>
  </si>
  <si>
    <t>PUNTO 4</t>
  </si>
  <si>
    <t>PUNTO 5</t>
  </si>
  <si>
    <t>PUNTO 6</t>
  </si>
  <si>
    <t>PUNTO 10</t>
  </si>
  <si>
    <t>PUNTO 11</t>
  </si>
  <si>
    <t>PUNTO 13</t>
  </si>
  <si>
    <t>PUNTO 14</t>
  </si>
  <si>
    <t>PUNTO 15</t>
  </si>
  <si>
    <t>Valor Fo (min)</t>
  </si>
  <si>
    <t>Desv Estandar</t>
  </si>
  <si>
    <t xml:space="preserve">Valor </t>
  </si>
  <si>
    <t>Muestras</t>
  </si>
  <si>
    <t>Limite conf. I</t>
  </si>
  <si>
    <t>Limite conf. S</t>
  </si>
  <si>
    <t>#</t>
  </si>
  <si>
    <t>DES1</t>
  </si>
  <si>
    <t>DES2</t>
  </si>
  <si>
    <t>DES3</t>
  </si>
  <si>
    <t>(min)</t>
  </si>
  <si>
    <t>t</t>
  </si>
  <si>
    <t>PUNTO 16</t>
  </si>
  <si>
    <t>PUNTO 17</t>
  </si>
  <si>
    <t>PUNTO 18</t>
  </si>
  <si>
    <t>Concentracion</t>
  </si>
  <si>
    <t>Valor D</t>
  </si>
  <si>
    <t>Valor F0</t>
  </si>
  <si>
    <t>punto 12</t>
  </si>
  <si>
    <t>PUNTO 19</t>
  </si>
  <si>
    <t>PUNTO 20</t>
  </si>
  <si>
    <t>valor t</t>
  </si>
  <si>
    <t>TABLA 1. CALIFICACIÓN  DESEMPEÑO  TEMP- ESTUDIO DE DISTRIBUCIÓN DE CALOR</t>
  </si>
  <si>
    <t>EQUIPO: AUTOCLAVE.SERIAL: 030303  MARCA: HOGNER  UBICACIÓN: ESTERILIZADO POLVO ANTIBIOTICO</t>
  </si>
  <si>
    <t>LABORATORIOS BAGÓ DE BOLIVIA S.A.  FECHA CALIFICACIÓN: 01/11/2017</t>
  </si>
  <si>
    <t>Ponga el indicativo</t>
  </si>
  <si>
    <t>Ponga C en caso de CARGA.</t>
  </si>
  <si>
    <t>Orden numerico</t>
  </si>
  <si>
    <t>Ciclo:</t>
  </si>
  <si>
    <t>Periodo estable</t>
  </si>
  <si>
    <t>Maximo</t>
  </si>
  <si>
    <t>Minimo</t>
  </si>
  <si>
    <t>Periodos estables:</t>
  </si>
  <si>
    <t>TABLA 2. CALIFICACIÓN  DESEMPEÑO  TEMP- ESTUDIO DE DISTRIBUCIÓN DE CALOR</t>
  </si>
  <si>
    <t>TABLA 3. CALIFICACIÓN  DESEMPEÑO  TEMP- ESTUDIO DE DISTRIBUCIÓN DE CALOR</t>
  </si>
  <si>
    <t>C</t>
  </si>
  <si>
    <t>HORA</t>
  </si>
  <si>
    <t>FECHA</t>
  </si>
  <si>
    <t>X</t>
  </si>
  <si>
    <t>CAMARA</t>
  </si>
  <si>
    <t>Diferencia</t>
  </si>
  <si>
    <t>Maxima diferencia</t>
  </si>
  <si>
    <t xml:space="preserve">SENSORES DEL EQUIPO: </t>
  </si>
  <si>
    <t>Diferencia con el sensor del equipo 1</t>
  </si>
  <si>
    <t>maxDifFirst</t>
  </si>
  <si>
    <t>CARGA</t>
  </si>
  <si>
    <t>VALORES DEL F_0</t>
  </si>
  <si>
    <t>TIEMPO DEL PERIODO ESTABLE</t>
  </si>
  <si>
    <t>% DE DIFERENCIA CON LO ESPERADO</t>
  </si>
  <si>
    <t>VALOR DE F_0</t>
  </si>
  <si>
    <t>N.A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</si>
</sst>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yyyy\-mm\-dd;@"/>
    <numFmt numFmtId="165" formatCode="0.0"/>
    <numFmt numFmtId="166" formatCode="hh:mm:ss\ AM/PM"/>
    <numFmt numFmtId="167" formatCode="yyyy\-mm\-dd"/>
  </numFmts>
  <fonts count="13" x14ac:knownFonts="1">
    <font>
      <sz val="11"/>
      <color theme="1"/>
      <name val="Calibri"/>
      <family val="2"/>
      <scheme val="minor"/>
    </font>
    <font>
      <b/>
      <sz val="18"/>
      <color theme="0"/>
      <name val="Agency FB"/>
      <family val="2"/>
    </font>
    <font>
      <b/>
      <sz val="18"/>
      <color theme="1"/>
      <name val="Agency FB"/>
      <family val="2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sz val="12"/>
      <color theme="1"/>
      <name val="Agency FB"/>
      <family val="2"/>
    </font>
    <font>
      <sz val="12"/>
      <name val="Agency FB"/>
      <family val="2"/>
    </font>
    <font>
      <b/>
      <sz val="12"/>
      <name val="Agency FB"/>
      <family val="2"/>
    </font>
    <font>
      <b/>
      <sz val="12"/>
      <color indexed="10"/>
      <name val="Agency FB"/>
      <family val="2"/>
    </font>
    <font>
      <b/>
      <sz val="12"/>
      <color theme="1"/>
      <name val="Agency FB"/>
      <family val="2"/>
    </font>
    <font>
      <sz val="11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876FF"/>
        <bgColor indexed="64"/>
      </patternFill>
    </fill>
    <fill>
      <patternFill patternType="solid">
        <fgColor rgb="FFFFB73B"/>
        <bgColor indexed="64"/>
      </patternFill>
    </fill>
    <fill>
      <patternFill patternType="solid">
        <fgColor rgb="FFD9E1F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 style="medium">
        <color theme="2"/>
      </bottom>
      <diagonal/>
    </border>
    <border>
      <left/>
      <right style="medium">
        <color theme="2"/>
      </right>
      <top style="medium">
        <color theme="2"/>
      </top>
      <bottom style="medium">
        <color theme="2"/>
      </bottom>
      <diagonal/>
    </border>
    <border>
      <left/>
      <right/>
      <top style="medium">
        <color theme="2"/>
      </top>
      <bottom style="medium">
        <color theme="2"/>
      </bottom>
      <diagonal/>
    </border>
    <border>
      <left style="medium">
        <color theme="2"/>
      </left>
      <right style="medium">
        <color theme="2"/>
      </right>
      <top style="medium">
        <color theme="2"/>
      </top>
      <bottom/>
      <diagonal/>
    </border>
    <border>
      <left style="medium">
        <color theme="2"/>
      </left>
      <right style="medium">
        <color theme="2"/>
      </right>
      <top/>
      <bottom style="medium">
        <color theme="2"/>
      </bottom>
      <diagonal/>
    </border>
    <border>
      <left style="medium">
        <color theme="2"/>
      </left>
      <right/>
      <top style="medium">
        <color theme="2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6" fillId="0" borderId="0"/>
  </cellStyleXfs>
  <cellXfs count="177">
    <xf numFmtId="0" fontId="0" fillId="0" borderId="0" xfId="0"/>
    <xf numFmtId="0" fontId="2" fillId="2" borderId="1" xfId="0" applyFont="1" applyFill="1" applyBorder="1"/>
    <xf numFmtId="0" fontId="2" fillId="2" borderId="2" xfId="0" applyFont="1" applyFill="1" applyBorder="1"/>
    <xf numFmtId="0" fontId="2" fillId="2" borderId="0" xfId="0" applyFont="1" applyFill="1"/>
    <xf numFmtId="0" fontId="2" fillId="2" borderId="3" xfId="0" applyFont="1" applyFill="1" applyBorder="1"/>
    <xf numFmtId="0" fontId="2" fillId="2" borderId="0" xfId="0" applyFont="1" applyFill="1" applyBorder="1"/>
    <xf numFmtId="0" fontId="2" fillId="2" borderId="5" xfId="0" applyFont="1" applyFill="1" applyBorder="1"/>
    <xf numFmtId="0" fontId="2" fillId="2" borderId="6" xfId="0" applyFont="1" applyFill="1" applyBorder="1"/>
    <xf numFmtId="0" fontId="2" fillId="2" borderId="4" xfId="0" applyFont="1" applyFill="1" applyBorder="1"/>
    <xf numFmtId="0" fontId="2" fillId="2" borderId="7" xfId="0" applyFont="1" applyFill="1" applyBorder="1"/>
    <xf numFmtId="0" fontId="0" fillId="2" borderId="3" xfId="0" applyFill="1" applyBorder="1"/>
    <xf numFmtId="0" fontId="0" fillId="2" borderId="0" xfId="0" applyFill="1" applyBorder="1"/>
    <xf numFmtId="0" fontId="0" fillId="4" borderId="15" xfId="0" applyFill="1" applyBorder="1"/>
    <xf numFmtId="0" fontId="0" fillId="5" borderId="16" xfId="0" applyFill="1" applyBorder="1"/>
    <xf numFmtId="0" fontId="0" fillId="5" borderId="14" xfId="0" applyFill="1" applyBorder="1"/>
    <xf numFmtId="0" fontId="0" fillId="5" borderId="15" xfId="0" applyFill="1" applyBorder="1"/>
    <xf numFmtId="0" fontId="0" fillId="5" borderId="9" xfId="0" applyFill="1" applyBorder="1"/>
    <xf numFmtId="0" fontId="0" fillId="6" borderId="14" xfId="0" applyFill="1" applyBorder="1"/>
    <xf numFmtId="0" fontId="0" fillId="6" borderId="15" xfId="0" applyFill="1" applyBorder="1"/>
    <xf numFmtId="0" fontId="0" fillId="6" borderId="9" xfId="0" applyFill="1" applyBorder="1"/>
    <xf numFmtId="0" fontId="0" fillId="7" borderId="14" xfId="0" applyFill="1" applyBorder="1"/>
    <xf numFmtId="0" fontId="0" fillId="7" borderId="15" xfId="0" applyFill="1" applyBorder="1"/>
    <xf numFmtId="0" fontId="0" fillId="4" borderId="11" xfId="0" applyFill="1" applyBorder="1"/>
    <xf numFmtId="0" fontId="0" fillId="7" borderId="13" xfId="0" applyFill="1" applyBorder="1"/>
    <xf numFmtId="0" fontId="0" fillId="5" borderId="19" xfId="0" applyFill="1" applyBorder="1"/>
    <xf numFmtId="0" fontId="0" fillId="5" borderId="17" xfId="0" applyFill="1" applyBorder="1"/>
    <xf numFmtId="0" fontId="0" fillId="6" borderId="17" xfId="0" applyFill="1" applyBorder="1"/>
    <xf numFmtId="0" fontId="0" fillId="7" borderId="17" xfId="0" applyFill="1" applyBorder="1"/>
    <xf numFmtId="0" fontId="0" fillId="7" borderId="18" xfId="0" applyFill="1" applyBorder="1"/>
    <xf numFmtId="0" fontId="3" fillId="4" borderId="8" xfId="0" applyFont="1" applyFill="1" applyBorder="1"/>
    <xf numFmtId="0" fontId="4" fillId="4" borderId="8" xfId="0" applyFont="1" applyFill="1" applyBorder="1"/>
    <xf numFmtId="0" fontId="3" fillId="5" borderId="8" xfId="0" applyFont="1" applyFill="1" applyBorder="1"/>
    <xf numFmtId="0" fontId="3" fillId="5" borderId="12" xfId="0" applyFont="1" applyFill="1" applyBorder="1"/>
    <xf numFmtId="0" fontId="4" fillId="5" borderId="8" xfId="0" applyFont="1" applyFill="1" applyBorder="1"/>
    <xf numFmtId="0" fontId="3" fillId="6" borderId="12" xfId="0" applyFont="1" applyFill="1" applyBorder="1"/>
    <xf numFmtId="0" fontId="4" fillId="6" borderId="8" xfId="0" applyFont="1" applyFill="1" applyBorder="1"/>
    <xf numFmtId="0" fontId="3" fillId="7" borderId="10" xfId="0" applyFont="1" applyFill="1" applyBorder="1"/>
    <xf numFmtId="0" fontId="3" fillId="7" borderId="12" xfId="0" applyFont="1" applyFill="1" applyBorder="1"/>
    <xf numFmtId="0" fontId="4" fillId="7" borderId="8" xfId="0" applyFont="1" applyFill="1" applyBorder="1"/>
    <xf numFmtId="0" fontId="1" fillId="3" borderId="21" xfId="0" applyFont="1" applyFill="1" applyBorder="1" applyAlignment="1"/>
    <xf numFmtId="0" fontId="1" fillId="2" borderId="0" xfId="0" applyFont="1" applyFill="1" applyBorder="1" applyAlignment="1"/>
    <xf numFmtId="0" fontId="1" fillId="3" borderId="26" xfId="0" applyFont="1" applyFill="1" applyBorder="1" applyAlignment="1"/>
    <xf numFmtId="0" fontId="1" fillId="3" borderId="25" xfId="0" applyFont="1" applyFill="1" applyBorder="1" applyAlignment="1"/>
    <xf numFmtId="0" fontId="1" fillId="3" borderId="0" xfId="0" applyFont="1" applyFill="1" applyBorder="1" applyAlignment="1"/>
    <xf numFmtId="14" fontId="0" fillId="0" borderId="0" xfId="0" applyNumberFormat="1"/>
    <xf numFmtId="20" fontId="0" fillId="0" borderId="0" xfId="0" applyNumberForma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1" fillId="3" borderId="27" xfId="0" applyFont="1" applyFill="1" applyBorder="1" applyAlignment="1"/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32" xfId="0" applyBorder="1"/>
    <xf numFmtId="0" fontId="0" fillId="0" borderId="33" xfId="0" applyBorder="1" applyAlignment="1">
      <alignment horizontal="center"/>
    </xf>
    <xf numFmtId="0" fontId="6" fillId="0" borderId="32" xfId="0" applyFont="1" applyBorder="1"/>
    <xf numFmtId="0" fontId="6" fillId="0" borderId="33" xfId="0" applyFont="1" applyBorder="1" applyAlignment="1">
      <alignment horizontal="center"/>
    </xf>
    <xf numFmtId="0" fontId="0" fillId="0" borderId="34" xfId="0" applyBorder="1"/>
    <xf numFmtId="0" fontId="0" fillId="0" borderId="35" xfId="0" applyBorder="1" applyAlignment="1">
      <alignment horizontal="center"/>
    </xf>
    <xf numFmtId="0" fontId="1" fillId="3" borderId="23" xfId="0" applyFont="1" applyFill="1" applyBorder="1" applyAlignment="1"/>
    <xf numFmtId="0" fontId="1" fillId="3" borderId="27" xfId="0" applyFont="1" applyFill="1" applyBorder="1" applyAlignment="1"/>
    <xf numFmtId="0" fontId="3" fillId="4" borderId="12" xfId="0" applyFont="1" applyFill="1" applyBorder="1"/>
    <xf numFmtId="0" fontId="5" fillId="4" borderId="19" xfId="0" applyFont="1" applyFill="1" applyBorder="1"/>
    <xf numFmtId="0" fontId="0" fillId="4" borderId="16" xfId="0" applyFill="1" applyBorder="1"/>
    <xf numFmtId="0" fontId="0" fillId="4" borderId="36" xfId="0" applyFill="1" applyBorder="1"/>
    <xf numFmtId="0" fontId="0" fillId="4" borderId="37" xfId="0" applyFill="1" applyBorder="1"/>
    <xf numFmtId="0" fontId="0" fillId="5" borderId="36" xfId="0" applyFill="1" applyBorder="1"/>
    <xf numFmtId="0" fontId="0" fillId="5" borderId="38" xfId="0" applyFill="1" applyBorder="1"/>
    <xf numFmtId="0" fontId="0" fillId="5" borderId="37" xfId="0" applyFill="1" applyBorder="1"/>
    <xf numFmtId="0" fontId="0" fillId="6" borderId="38" xfId="0" applyFill="1" applyBorder="1"/>
    <xf numFmtId="0" fontId="0" fillId="7" borderId="38" xfId="0" applyFill="1" applyBorder="1"/>
    <xf numFmtId="0" fontId="0" fillId="7" borderId="37" xfId="0" applyFill="1" applyBorder="1"/>
    <xf numFmtId="0" fontId="0" fillId="4" borderId="40" xfId="0" applyFill="1" applyBorder="1"/>
    <xf numFmtId="0" fontId="0" fillId="4" borderId="41" xfId="0" applyFill="1" applyBorder="1"/>
    <xf numFmtId="0" fontId="0" fillId="5" borderId="41" xfId="0" applyFill="1" applyBorder="1"/>
    <xf numFmtId="0" fontId="0" fillId="5" borderId="42" xfId="0" applyFill="1" applyBorder="1"/>
    <xf numFmtId="0" fontId="0" fillId="5" borderId="40" xfId="0" applyFill="1" applyBorder="1"/>
    <xf numFmtId="14" fontId="7" fillId="2" borderId="0" xfId="0" applyNumberFormat="1" applyFont="1" applyFill="1" applyBorder="1" applyAlignment="1">
      <alignment horizontal="center"/>
    </xf>
    <xf numFmtId="20" fontId="7" fillId="2" borderId="0" xfId="0" applyNumberFormat="1" applyFont="1" applyFill="1" applyBorder="1" applyAlignment="1">
      <alignment horizontal="center"/>
    </xf>
    <xf numFmtId="164" fontId="8" fillId="2" borderId="0" xfId="1" applyNumberFormat="1" applyFont="1" applyFill="1" applyBorder="1" applyAlignment="1">
      <alignment horizontal="center"/>
    </xf>
    <xf numFmtId="21" fontId="8" fillId="2" borderId="0" xfId="1" applyNumberFormat="1" applyFont="1" applyFill="1" applyBorder="1" applyAlignment="1">
      <alignment horizontal="center"/>
    </xf>
    <xf numFmtId="0" fontId="9" fillId="2" borderId="0" xfId="1" applyFont="1" applyFill="1" applyBorder="1" applyAlignment="1">
      <alignment horizontal="center"/>
    </xf>
    <xf numFmtId="165" fontId="8" fillId="2" borderId="0" xfId="1" applyNumberFormat="1" applyFont="1" applyFill="1" applyBorder="1" applyAlignment="1">
      <alignment horizontal="center"/>
    </xf>
    <xf numFmtId="0" fontId="0" fillId="2" borderId="0" xfId="0" applyFill="1"/>
    <xf numFmtId="0" fontId="9" fillId="2" borderId="20" xfId="1" applyFont="1" applyFill="1" applyBorder="1" applyAlignment="1">
      <alignment horizontal="center"/>
    </xf>
    <xf numFmtId="165" fontId="8" fillId="2" borderId="28" xfId="1" applyNumberFormat="1" applyFont="1" applyFill="1" applyBorder="1" applyAlignment="1">
      <alignment horizontal="center"/>
    </xf>
    <xf numFmtId="165" fontId="8" fillId="2" borderId="39" xfId="1" applyNumberFormat="1" applyFont="1" applyFill="1" applyBorder="1" applyAlignment="1">
      <alignment horizontal="center"/>
    </xf>
    <xf numFmtId="165" fontId="8" fillId="2" borderId="29" xfId="1" applyNumberFormat="1" applyFont="1" applyFill="1" applyBorder="1" applyAlignment="1">
      <alignment horizontal="center"/>
    </xf>
    <xf numFmtId="14" fontId="0" fillId="2" borderId="0" xfId="0" applyNumberFormat="1" applyFill="1"/>
    <xf numFmtId="0" fontId="0" fillId="2" borderId="4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7" xfId="0" applyFill="1" applyBorder="1"/>
    <xf numFmtId="0" fontId="3" fillId="6" borderId="8" xfId="0" applyFont="1" applyFill="1" applyBorder="1"/>
    <xf numFmtId="0" fontId="0" fillId="6" borderId="19" xfId="0" applyFill="1" applyBorder="1"/>
    <xf numFmtId="0" fontId="0" fillId="6" borderId="16" xfId="0" applyFill="1" applyBorder="1"/>
    <xf numFmtId="0" fontId="0" fillId="6" borderId="36" xfId="0" applyFill="1" applyBorder="1"/>
    <xf numFmtId="0" fontId="0" fillId="6" borderId="44" xfId="0" applyFill="1" applyBorder="1"/>
    <xf numFmtId="0" fontId="0" fillId="6" borderId="45" xfId="0" applyFill="1" applyBorder="1"/>
    <xf numFmtId="0" fontId="0" fillId="6" borderId="46" xfId="0" applyFill="1" applyBorder="1"/>
    <xf numFmtId="0" fontId="0" fillId="7" borderId="45" xfId="0" applyFill="1" applyBorder="1"/>
    <xf numFmtId="0" fontId="0" fillId="7" borderId="46" xfId="0" applyFill="1" applyBorder="1"/>
    <xf numFmtId="0" fontId="1" fillId="3" borderId="27" xfId="0" applyFont="1" applyFill="1" applyBorder="1" applyAlignment="1"/>
    <xf numFmtId="49" fontId="1" fillId="3" borderId="21" xfId="0" applyNumberFormat="1" applyFont="1" applyFill="1" applyBorder="1" applyAlignment="1"/>
    <xf numFmtId="164" fontId="1" fillId="3" borderId="21" xfId="0" applyNumberFormat="1" applyFont="1" applyFill="1" applyBorder="1" applyAlignment="1"/>
    <xf numFmtId="0" fontId="0" fillId="0" borderId="8" xfId="0" applyBorder="1"/>
    <xf numFmtId="0" fontId="0" fillId="0" borderId="43" xfId="0" applyBorder="1"/>
    <xf numFmtId="0" fontId="0" fillId="0" borderId="4" xfId="0" applyBorder="1"/>
    <xf numFmtId="0" fontId="0" fillId="0" borderId="11" xfId="0" applyBorder="1"/>
    <xf numFmtId="0" fontId="0" fillId="0" borderId="9" xfId="0" applyBorder="1"/>
    <xf numFmtId="0" fontId="0" fillId="0" borderId="13" xfId="0" applyBorder="1"/>
    <xf numFmtId="0" fontId="0" fillId="0" borderId="9" xfId="0" applyFill="1" applyBorder="1"/>
    <xf numFmtId="0" fontId="0" fillId="0" borderId="4" xfId="0" applyFill="1" applyBorder="1"/>
    <xf numFmtId="0" fontId="0" fillId="8" borderId="0" xfId="0" applyFill="1"/>
    <xf numFmtId="0" fontId="9" fillId="0" borderId="11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0" fillId="0" borderId="7" xfId="0" applyBorder="1"/>
    <xf numFmtId="0" fontId="8" fillId="0" borderId="9" xfId="0" applyFont="1" applyBorder="1" applyAlignment="1">
      <alignment horizontal="center"/>
    </xf>
    <xf numFmtId="0" fontId="8" fillId="0" borderId="13" xfId="0" applyFont="1" applyBorder="1" applyAlignment="1">
      <alignment horizontal="center"/>
    </xf>
    <xf numFmtId="0" fontId="8" fillId="0" borderId="11" xfId="0" applyFont="1" applyBorder="1" applyAlignment="1">
      <alignment horizontal="center"/>
    </xf>
    <xf numFmtId="165" fontId="8" fillId="0" borderId="9" xfId="0" applyNumberFormat="1" applyFont="1" applyBorder="1" applyAlignment="1">
      <alignment horizontal="center"/>
    </xf>
    <xf numFmtId="0" fontId="9" fillId="0" borderId="9" xfId="0" applyFont="1" applyFill="1" applyBorder="1" applyAlignment="1">
      <alignment horizontal="center"/>
    </xf>
    <xf numFmtId="0" fontId="0" fillId="0" borderId="10" xfId="0" applyBorder="1"/>
    <xf numFmtId="0" fontId="7" fillId="9" borderId="0" xfId="0" applyFont="1" applyFill="1" applyAlignment="1">
      <alignment horizontal="center"/>
    </xf>
    <xf numFmtId="0" fontId="7" fillId="9" borderId="47" xfId="0" applyFont="1" applyFill="1" applyBorder="1" applyAlignment="1">
      <alignment horizontal="center"/>
    </xf>
    <xf numFmtId="14" fontId="7" fillId="9" borderId="49" xfId="0" applyNumberFormat="1" applyFont="1" applyFill="1" applyBorder="1" applyAlignment="1">
      <alignment horizontal="center"/>
    </xf>
    <xf numFmtId="21" fontId="7" fillId="9" borderId="49" xfId="0" applyNumberFormat="1" applyFont="1" applyFill="1" applyBorder="1" applyAlignment="1">
      <alignment horizontal="center"/>
    </xf>
    <xf numFmtId="21" fontId="7" fillId="9" borderId="20" xfId="0" applyNumberFormat="1" applyFont="1" applyFill="1" applyBorder="1" applyAlignment="1">
      <alignment horizontal="center"/>
    </xf>
    <xf numFmtId="0" fontId="7" fillId="12" borderId="47" xfId="0" applyFont="1" applyFill="1" applyBorder="1" applyAlignment="1">
      <alignment horizontal="center"/>
    </xf>
    <xf numFmtId="165" fontId="7" fillId="12" borderId="47" xfId="0" applyNumberFormat="1" applyFont="1" applyFill="1" applyBorder="1" applyAlignment="1">
      <alignment horizontal="center"/>
    </xf>
    <xf numFmtId="49" fontId="11" fillId="9" borderId="47" xfId="0" applyNumberFormat="1" applyFont="1" applyFill="1" applyBorder="1" applyAlignment="1">
      <alignment horizontal="center"/>
    </xf>
    <xf numFmtId="49" fontId="11" fillId="9" borderId="0" xfId="0" applyNumberFormat="1" applyFont="1" applyFill="1" applyAlignment="1">
      <alignment horizontal="center"/>
    </xf>
    <xf numFmtId="167" fontId="7" fillId="9" borderId="54" xfId="0" applyNumberFormat="1" applyFont="1" applyFill="1" applyBorder="1" applyAlignment="1">
      <alignment horizontal="center"/>
    </xf>
    <xf numFmtId="166" fontId="7" fillId="9" borderId="54" xfId="0" applyNumberFormat="1" applyFont="1" applyFill="1" applyBorder="1" applyAlignment="1">
      <alignment horizontal="center"/>
    </xf>
    <xf numFmtId="165" fontId="7" fillId="9" borderId="54" xfId="0" applyNumberFormat="1" applyFont="1" applyFill="1" applyBorder="1" applyAlignment="1">
      <alignment horizontal="center"/>
    </xf>
    <xf numFmtId="0" fontId="7" fillId="9" borderId="54" xfId="0" applyFont="1" applyFill="1" applyBorder="1" applyAlignment="1">
      <alignment horizontal="center"/>
    </xf>
    <xf numFmtId="165" fontId="7" fillId="9" borderId="0" xfId="0" applyNumberFormat="1" applyFont="1" applyFill="1" applyAlignment="1">
      <alignment horizontal="center"/>
    </xf>
    <xf numFmtId="167" fontId="7" fillId="9" borderId="55" xfId="0" applyNumberFormat="1" applyFont="1" applyFill="1" applyBorder="1" applyAlignment="1">
      <alignment horizontal="center"/>
    </xf>
    <xf numFmtId="166" fontId="7" fillId="9" borderId="55" xfId="0" applyNumberFormat="1" applyFont="1" applyFill="1" applyBorder="1" applyAlignment="1">
      <alignment horizontal="center"/>
    </xf>
    <xf numFmtId="165" fontId="7" fillId="9" borderId="55" xfId="0" applyNumberFormat="1" applyFont="1" applyFill="1" applyBorder="1" applyAlignment="1">
      <alignment horizontal="center"/>
    </xf>
    <xf numFmtId="0" fontId="7" fillId="9" borderId="55" xfId="0" applyFont="1" applyFill="1" applyBorder="1" applyAlignment="1">
      <alignment horizontal="center"/>
    </xf>
    <xf numFmtId="167" fontId="7" fillId="10" borderId="55" xfId="0" applyNumberFormat="1" applyFont="1" applyFill="1" applyBorder="1" applyAlignment="1">
      <alignment horizontal="center"/>
    </xf>
    <xf numFmtId="166" fontId="7" fillId="10" borderId="55" xfId="0" applyNumberFormat="1" applyFont="1" applyFill="1" applyBorder="1" applyAlignment="1">
      <alignment horizontal="center"/>
    </xf>
    <xf numFmtId="165" fontId="7" fillId="10" borderId="55" xfId="0" applyNumberFormat="1" applyFont="1" applyFill="1" applyBorder="1" applyAlignment="1">
      <alignment horizontal="center"/>
    </xf>
    <xf numFmtId="0" fontId="7" fillId="10" borderId="55" xfId="0" applyFont="1" applyFill="1" applyBorder="1" applyAlignment="1">
      <alignment horizontal="center"/>
    </xf>
    <xf numFmtId="165" fontId="7" fillId="11" borderId="55" xfId="0" applyNumberFormat="1" applyFont="1" applyFill="1" applyBorder="1" applyAlignment="1">
      <alignment horizontal="center"/>
    </xf>
    <xf numFmtId="167" fontId="7" fillId="9" borderId="56" xfId="0" applyNumberFormat="1" applyFont="1" applyFill="1" applyBorder="1" applyAlignment="1">
      <alignment horizontal="center"/>
    </xf>
    <xf numFmtId="166" fontId="7" fillId="9" borderId="56" xfId="0" applyNumberFormat="1" applyFont="1" applyFill="1" applyBorder="1" applyAlignment="1">
      <alignment horizontal="center"/>
    </xf>
    <xf numFmtId="165" fontId="7" fillId="9" borderId="56" xfId="0" applyNumberFormat="1" applyFont="1" applyFill="1" applyBorder="1" applyAlignment="1">
      <alignment horizontal="center"/>
    </xf>
    <xf numFmtId="0" fontId="7" fillId="9" borderId="56" xfId="0" applyFont="1" applyFill="1" applyBorder="1" applyAlignment="1">
      <alignment horizontal="center"/>
    </xf>
    <xf numFmtId="165" fontId="7" fillId="9" borderId="49" xfId="0" applyNumberFormat="1" applyFont="1" applyFill="1" applyBorder="1" applyAlignment="1">
      <alignment horizontal="center"/>
    </xf>
    <xf numFmtId="165" fontId="7" fillId="9" borderId="20" xfId="0" applyNumberFormat="1" applyFont="1" applyFill="1" applyBorder="1" applyAlignment="1">
      <alignment horizontal="center"/>
    </xf>
    <xf numFmtId="165" fontId="7" fillId="9" borderId="48" xfId="0" applyNumberFormat="1" applyFont="1" applyFill="1" applyBorder="1" applyAlignment="1">
      <alignment horizontal="center"/>
    </xf>
    <xf numFmtId="0" fontId="7" fillId="9" borderId="47" xfId="0" applyFont="1" applyFill="1" applyBorder="1" applyAlignment="1">
      <alignment horizontal="left"/>
    </xf>
    <xf numFmtId="0" fontId="7" fillId="9" borderId="47" xfId="0" applyFont="1" applyFill="1" applyBorder="1" applyAlignment="1">
      <alignment horizontal="right"/>
    </xf>
    <xf numFmtId="10" fontId="7" fillId="9" borderId="47" xfId="0" applyNumberFormat="1" applyFont="1" applyFill="1" applyBorder="1" applyAlignment="1">
      <alignment horizontal="right"/>
    </xf>
    <xf numFmtId="0" fontId="7" fillId="10" borderId="47" xfId="0" applyFont="1" applyFill="1" applyBorder="1" applyAlignment="1">
      <alignment horizontal="center"/>
    </xf>
    <xf numFmtId="0" fontId="7" fillId="9" borderId="49" xfId="0" applyFont="1" applyFill="1" applyBorder="1" applyAlignment="1">
      <alignment horizontal="center"/>
    </xf>
    <xf numFmtId="0" fontId="7" fillId="11" borderId="55" xfId="0" applyFont="1" applyFill="1" applyBorder="1" applyAlignment="1">
      <alignment horizontal="center"/>
    </xf>
    <xf numFmtId="0" fontId="1" fillId="3" borderId="22" xfId="0" applyFont="1" applyFill="1" applyBorder="1" applyAlignment="1"/>
    <xf numFmtId="0" fontId="1" fillId="3" borderId="23" xfId="0" applyFont="1" applyFill="1" applyBorder="1" applyAlignment="1"/>
    <xf numFmtId="0" fontId="1" fillId="3" borderId="22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4" xfId="0" applyFont="1" applyFill="1" applyBorder="1" applyAlignment="1"/>
    <xf numFmtId="0" fontId="1" fillId="3" borderId="27" xfId="0" applyFont="1" applyFill="1" applyBorder="1" applyAlignment="1"/>
    <xf numFmtId="0" fontId="1" fillId="3" borderId="23" xfId="0" applyFont="1" applyFill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10" fillId="9" borderId="48" xfId="0" applyFont="1" applyFill="1" applyBorder="1" applyAlignment="1">
      <alignment horizontal="center"/>
    </xf>
    <xf numFmtId="0" fontId="7" fillId="9" borderId="49" xfId="0" applyFont="1" applyFill="1" applyBorder="1" applyAlignment="1">
      <alignment horizontal="center"/>
    </xf>
    <xf numFmtId="0" fontId="7" fillId="9" borderId="20" xfId="0" applyFont="1" applyFill="1" applyBorder="1" applyAlignment="1">
      <alignment horizontal="center"/>
    </xf>
    <xf numFmtId="0" fontId="11" fillId="9" borderId="50" xfId="0" applyFont="1" applyFill="1" applyBorder="1" applyAlignment="1">
      <alignment horizontal="center"/>
    </xf>
    <xf numFmtId="0" fontId="7" fillId="9" borderId="51" xfId="0" applyFont="1" applyFill="1" applyBorder="1" applyAlignment="1">
      <alignment horizontal="center"/>
    </xf>
    <xf numFmtId="0" fontId="7" fillId="9" borderId="28" xfId="0" applyFont="1" applyFill="1" applyBorder="1" applyAlignment="1">
      <alignment horizontal="center"/>
    </xf>
    <xf numFmtId="0" fontId="11" fillId="9" borderId="52" xfId="0" applyFont="1" applyFill="1" applyBorder="1" applyAlignment="1">
      <alignment horizontal="center"/>
    </xf>
    <xf numFmtId="0" fontId="7" fillId="9" borderId="53" xfId="0" applyFont="1" applyFill="1" applyBorder="1" applyAlignment="1">
      <alignment horizontal="center"/>
    </xf>
    <xf numFmtId="0" fontId="7" fillId="9" borderId="29" xfId="0" applyFont="1" applyFill="1" applyBorder="1" applyAlignment="1">
      <alignment horizontal="center"/>
    </xf>
    <xf numFmtId="0" fontId="7" fillId="9" borderId="48" xfId="0" applyFont="1" applyFill="1" applyBorder="1" applyAlignment="1">
      <alignment horizontal="center"/>
    </xf>
  </cellXfs>
  <cellStyles count="2">
    <cellStyle name="Normal" xfId="0" builtinId="0"/>
    <cellStyle name="Normal 2" xfId="1" xr:uid="{00000000-0005-0000-0000-00002F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6.xml"/><Relationship Id="rId13" Type="http://schemas.openxmlformats.org/officeDocument/2006/relationships/chartsheet" Target="chartsheets/sheet6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2.xml"/><Relationship Id="rId12" Type="http://schemas.openxmlformats.org/officeDocument/2006/relationships/chartsheet" Target="chartsheets/sheet5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1.xml"/><Relationship Id="rId11" Type="http://schemas.openxmlformats.org/officeDocument/2006/relationships/worksheet" Target="worksheets/sheet7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chartsheet" Target="chartsheets/sheet4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hartsheet" Target="chartsheets/sheet3.xml"/><Relationship Id="rId14" Type="http://schemas.openxmlformats.org/officeDocument/2006/relationships/worksheet" Target="worksheets/sheet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1.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030303 MARCA: HOGNER UBICACIÓN: ESTERILIZADO POLVO ANTIBIOTICO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BAGÓ DE BOLIVIA S.A.  FECHA CALIFICACIÓN: 2017-11-01</a:t>
            </a:r>
          </a:p>
        </c:rich>
      </c:tx>
      <c:layout>
        <c:manualLayout>
          <c:xMode val="edge"/>
          <c:yMode val="edge"/>
          <c:x val="0.17268794754859068"/>
          <c:y val="1.253968225235073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'DESEMPEÑO  TEMP1'!$B$31:$B$159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TEMP1'!$BB$31:$BB$159</c:f>
              <c:numCache>
                <c:formatCode>0.0</c:formatCode>
                <c:ptCount val="129"/>
                <c:pt idx="0">
                  <c:v>23.61</c:v>
                </c:pt>
                <c:pt idx="1">
                  <c:v>23.53</c:v>
                </c:pt>
                <c:pt idx="2">
                  <c:v>24.33</c:v>
                </c:pt>
                <c:pt idx="3">
                  <c:v>23.96</c:v>
                </c:pt>
                <c:pt idx="4">
                  <c:v>24.98</c:v>
                </c:pt>
                <c:pt idx="5">
                  <c:v>25.04</c:v>
                </c:pt>
                <c:pt idx="6">
                  <c:v>24.59</c:v>
                </c:pt>
                <c:pt idx="7">
                  <c:v>24.27</c:v>
                </c:pt>
                <c:pt idx="8">
                  <c:v>24.13</c:v>
                </c:pt>
                <c:pt idx="9">
                  <c:v>23.77</c:v>
                </c:pt>
                <c:pt idx="10">
                  <c:v>23.44</c:v>
                </c:pt>
                <c:pt idx="11">
                  <c:v>23.19</c:v>
                </c:pt>
                <c:pt idx="12">
                  <c:v>22.41</c:v>
                </c:pt>
                <c:pt idx="13">
                  <c:v>19</c:v>
                </c:pt>
                <c:pt idx="14">
                  <c:v>18.739999999999998</c:v>
                </c:pt>
                <c:pt idx="15">
                  <c:v>18.850000000000001</c:v>
                </c:pt>
                <c:pt idx="16">
                  <c:v>18.899999999999999</c:v>
                </c:pt>
                <c:pt idx="17">
                  <c:v>19.27</c:v>
                </c:pt>
                <c:pt idx="18">
                  <c:v>19.54</c:v>
                </c:pt>
                <c:pt idx="19">
                  <c:v>19.73</c:v>
                </c:pt>
                <c:pt idx="20">
                  <c:v>19.8</c:v>
                </c:pt>
                <c:pt idx="21">
                  <c:v>20.05</c:v>
                </c:pt>
                <c:pt idx="22">
                  <c:v>20.48</c:v>
                </c:pt>
                <c:pt idx="23">
                  <c:v>22.05</c:v>
                </c:pt>
                <c:pt idx="24">
                  <c:v>25.62</c:v>
                </c:pt>
                <c:pt idx="25">
                  <c:v>30.57</c:v>
                </c:pt>
                <c:pt idx="26">
                  <c:v>36.32</c:v>
                </c:pt>
                <c:pt idx="27">
                  <c:v>42.21</c:v>
                </c:pt>
                <c:pt idx="28">
                  <c:v>48.18</c:v>
                </c:pt>
                <c:pt idx="29">
                  <c:v>53.99</c:v>
                </c:pt>
                <c:pt idx="30">
                  <c:v>59.47</c:v>
                </c:pt>
                <c:pt idx="31">
                  <c:v>64.64</c:v>
                </c:pt>
                <c:pt idx="32">
                  <c:v>69.540000000000006</c:v>
                </c:pt>
                <c:pt idx="33">
                  <c:v>74.150000000000006</c:v>
                </c:pt>
                <c:pt idx="34">
                  <c:v>78.459999999999994</c:v>
                </c:pt>
                <c:pt idx="35">
                  <c:v>82.44</c:v>
                </c:pt>
                <c:pt idx="36">
                  <c:v>86.18</c:v>
                </c:pt>
                <c:pt idx="37">
                  <c:v>89.65</c:v>
                </c:pt>
                <c:pt idx="38">
                  <c:v>92.79</c:v>
                </c:pt>
                <c:pt idx="39">
                  <c:v>95.53</c:v>
                </c:pt>
                <c:pt idx="40">
                  <c:v>97.82</c:v>
                </c:pt>
                <c:pt idx="41">
                  <c:v>100.1</c:v>
                </c:pt>
                <c:pt idx="42">
                  <c:v>102.2</c:v>
                </c:pt>
                <c:pt idx="43">
                  <c:v>104.16</c:v>
                </c:pt>
                <c:pt idx="44">
                  <c:v>105.86</c:v>
                </c:pt>
                <c:pt idx="45">
                  <c:v>107.42</c:v>
                </c:pt>
                <c:pt idx="46">
                  <c:v>108.79</c:v>
                </c:pt>
                <c:pt idx="47">
                  <c:v>110.03</c:v>
                </c:pt>
                <c:pt idx="48">
                  <c:v>111.15</c:v>
                </c:pt>
                <c:pt idx="49">
                  <c:v>112.15</c:v>
                </c:pt>
                <c:pt idx="50">
                  <c:v>113.07</c:v>
                </c:pt>
                <c:pt idx="51">
                  <c:v>113.91</c:v>
                </c:pt>
                <c:pt idx="52">
                  <c:v>114.66</c:v>
                </c:pt>
                <c:pt idx="53">
                  <c:v>115.33</c:v>
                </c:pt>
                <c:pt idx="54">
                  <c:v>115.96</c:v>
                </c:pt>
                <c:pt idx="55">
                  <c:v>116.51</c:v>
                </c:pt>
                <c:pt idx="56">
                  <c:v>117.02</c:v>
                </c:pt>
                <c:pt idx="57">
                  <c:v>117.48</c:v>
                </c:pt>
                <c:pt idx="58">
                  <c:v>117.89</c:v>
                </c:pt>
                <c:pt idx="59">
                  <c:v>118.27</c:v>
                </c:pt>
                <c:pt idx="60">
                  <c:v>118.61</c:v>
                </c:pt>
                <c:pt idx="61">
                  <c:v>118.92</c:v>
                </c:pt>
                <c:pt idx="62">
                  <c:v>119.2</c:v>
                </c:pt>
                <c:pt idx="63">
                  <c:v>119.45</c:v>
                </c:pt>
                <c:pt idx="64">
                  <c:v>119.7</c:v>
                </c:pt>
                <c:pt idx="65">
                  <c:v>119.88</c:v>
                </c:pt>
                <c:pt idx="66">
                  <c:v>120.09</c:v>
                </c:pt>
                <c:pt idx="67">
                  <c:v>120.25</c:v>
                </c:pt>
                <c:pt idx="68">
                  <c:v>120.42</c:v>
                </c:pt>
                <c:pt idx="69">
                  <c:v>120.55</c:v>
                </c:pt>
                <c:pt idx="70">
                  <c:v>120.7</c:v>
                </c:pt>
                <c:pt idx="71">
                  <c:v>120.8</c:v>
                </c:pt>
                <c:pt idx="72">
                  <c:v>120.93</c:v>
                </c:pt>
                <c:pt idx="73">
                  <c:v>121.01</c:v>
                </c:pt>
                <c:pt idx="74">
                  <c:v>121.13</c:v>
                </c:pt>
                <c:pt idx="75">
                  <c:v>121.19</c:v>
                </c:pt>
                <c:pt idx="76">
                  <c:v>121.29</c:v>
                </c:pt>
                <c:pt idx="77">
                  <c:v>121.35</c:v>
                </c:pt>
                <c:pt idx="78">
                  <c:v>121.42</c:v>
                </c:pt>
                <c:pt idx="79">
                  <c:v>121.47</c:v>
                </c:pt>
                <c:pt idx="80">
                  <c:v>121.53</c:v>
                </c:pt>
                <c:pt idx="81">
                  <c:v>121.58</c:v>
                </c:pt>
                <c:pt idx="82">
                  <c:v>121.63</c:v>
                </c:pt>
                <c:pt idx="83">
                  <c:v>121.67</c:v>
                </c:pt>
                <c:pt idx="84">
                  <c:v>121.7</c:v>
                </c:pt>
                <c:pt idx="85">
                  <c:v>121.74</c:v>
                </c:pt>
                <c:pt idx="86">
                  <c:v>121.78</c:v>
                </c:pt>
                <c:pt idx="87">
                  <c:v>121.79</c:v>
                </c:pt>
                <c:pt idx="88">
                  <c:v>121.84</c:v>
                </c:pt>
                <c:pt idx="89">
                  <c:v>121.86</c:v>
                </c:pt>
                <c:pt idx="90">
                  <c:v>121.89</c:v>
                </c:pt>
                <c:pt idx="91">
                  <c:v>121.91</c:v>
                </c:pt>
                <c:pt idx="92">
                  <c:v>121.93</c:v>
                </c:pt>
                <c:pt idx="93">
                  <c:v>121.95</c:v>
                </c:pt>
                <c:pt idx="94">
                  <c:v>121.98</c:v>
                </c:pt>
                <c:pt idx="95">
                  <c:v>121.99</c:v>
                </c:pt>
                <c:pt idx="96">
                  <c:v>122.01</c:v>
                </c:pt>
                <c:pt idx="97">
                  <c:v>122.03</c:v>
                </c:pt>
                <c:pt idx="98">
                  <c:v>122.04</c:v>
                </c:pt>
                <c:pt idx="99">
                  <c:v>119.99</c:v>
                </c:pt>
                <c:pt idx="100">
                  <c:v>114.47</c:v>
                </c:pt>
                <c:pt idx="101">
                  <c:v>108.94</c:v>
                </c:pt>
                <c:pt idx="102">
                  <c:v>104.34</c:v>
                </c:pt>
                <c:pt idx="103">
                  <c:v>100.83</c:v>
                </c:pt>
                <c:pt idx="104">
                  <c:v>98.1</c:v>
                </c:pt>
                <c:pt idx="105">
                  <c:v>96.12</c:v>
                </c:pt>
                <c:pt idx="106">
                  <c:v>94.93</c:v>
                </c:pt>
                <c:pt idx="107">
                  <c:v>94.38</c:v>
                </c:pt>
                <c:pt idx="108">
                  <c:v>94.11</c:v>
                </c:pt>
                <c:pt idx="109">
                  <c:v>93.93</c:v>
                </c:pt>
                <c:pt idx="110">
                  <c:v>93.81</c:v>
                </c:pt>
                <c:pt idx="111">
                  <c:v>93.69</c:v>
                </c:pt>
                <c:pt idx="112">
                  <c:v>93.58</c:v>
                </c:pt>
                <c:pt idx="113">
                  <c:v>93.5</c:v>
                </c:pt>
                <c:pt idx="114">
                  <c:v>93.45</c:v>
                </c:pt>
                <c:pt idx="115">
                  <c:v>93.37</c:v>
                </c:pt>
                <c:pt idx="116">
                  <c:v>93.3</c:v>
                </c:pt>
                <c:pt idx="117">
                  <c:v>93.04</c:v>
                </c:pt>
                <c:pt idx="118">
                  <c:v>92.66</c:v>
                </c:pt>
                <c:pt idx="119">
                  <c:v>92.28</c:v>
                </c:pt>
                <c:pt idx="120">
                  <c:v>91.91</c:v>
                </c:pt>
                <c:pt idx="121">
                  <c:v>91.57</c:v>
                </c:pt>
                <c:pt idx="122">
                  <c:v>91.18</c:v>
                </c:pt>
                <c:pt idx="123">
                  <c:v>90.37</c:v>
                </c:pt>
                <c:pt idx="124">
                  <c:v>72.28</c:v>
                </c:pt>
                <c:pt idx="125">
                  <c:v>60.43</c:v>
                </c:pt>
                <c:pt idx="126">
                  <c:v>52.31</c:v>
                </c:pt>
                <c:pt idx="127">
                  <c:v>45.52</c:v>
                </c:pt>
                <c:pt idx="128">
                  <c:v>39.770000000000003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B5DA-4F84-9324-29D21B2F54BA}"/>
            </c:ext>
          </c:extLst>
        </c:ser>
        <c:ser>
          <c:idx val="1"/>
          <c:order val="1"/>
          <c:tx>
            <c:strRef>
              <c:f>'DESEMPEÑO 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'DESEMPEÑO  TEMP1'!$B$31:$B$159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TEMP1'!$BC$31:$BC$159</c:f>
              <c:numCache>
                <c:formatCode>0.0</c:formatCode>
                <c:ptCount val="129"/>
                <c:pt idx="0">
                  <c:v>23.08</c:v>
                </c:pt>
                <c:pt idx="1">
                  <c:v>22.95</c:v>
                </c:pt>
                <c:pt idx="2">
                  <c:v>22.85</c:v>
                </c:pt>
                <c:pt idx="3">
                  <c:v>25.03</c:v>
                </c:pt>
                <c:pt idx="4">
                  <c:v>25.46</c:v>
                </c:pt>
                <c:pt idx="5">
                  <c:v>26.09</c:v>
                </c:pt>
                <c:pt idx="6">
                  <c:v>25.54</c:v>
                </c:pt>
                <c:pt idx="7">
                  <c:v>25.06</c:v>
                </c:pt>
                <c:pt idx="8">
                  <c:v>25.33</c:v>
                </c:pt>
                <c:pt idx="9">
                  <c:v>18.62</c:v>
                </c:pt>
                <c:pt idx="10">
                  <c:v>18.399999999999999</c:v>
                </c:pt>
                <c:pt idx="11">
                  <c:v>18.38</c:v>
                </c:pt>
                <c:pt idx="12">
                  <c:v>18.41</c:v>
                </c:pt>
                <c:pt idx="13">
                  <c:v>18.41</c:v>
                </c:pt>
                <c:pt idx="14">
                  <c:v>18.43</c:v>
                </c:pt>
                <c:pt idx="15">
                  <c:v>18.47</c:v>
                </c:pt>
                <c:pt idx="16">
                  <c:v>18.52</c:v>
                </c:pt>
                <c:pt idx="17">
                  <c:v>18.86</c:v>
                </c:pt>
                <c:pt idx="18">
                  <c:v>19.41</c:v>
                </c:pt>
                <c:pt idx="19">
                  <c:v>19.829999999999998</c:v>
                </c:pt>
                <c:pt idx="20">
                  <c:v>19.37</c:v>
                </c:pt>
                <c:pt idx="21">
                  <c:v>19.7</c:v>
                </c:pt>
                <c:pt idx="22">
                  <c:v>22.07</c:v>
                </c:pt>
                <c:pt idx="23">
                  <c:v>22.53</c:v>
                </c:pt>
                <c:pt idx="24">
                  <c:v>23.91</c:v>
                </c:pt>
                <c:pt idx="25">
                  <c:v>26.19</c:v>
                </c:pt>
                <c:pt idx="26">
                  <c:v>29.21</c:v>
                </c:pt>
                <c:pt idx="27">
                  <c:v>32.72</c:v>
                </c:pt>
                <c:pt idx="28">
                  <c:v>36.46</c:v>
                </c:pt>
                <c:pt idx="29">
                  <c:v>40.299999999999997</c:v>
                </c:pt>
                <c:pt idx="30">
                  <c:v>44.2</c:v>
                </c:pt>
                <c:pt idx="31">
                  <c:v>48.11</c:v>
                </c:pt>
                <c:pt idx="32">
                  <c:v>51.99</c:v>
                </c:pt>
                <c:pt idx="33">
                  <c:v>55.8</c:v>
                </c:pt>
                <c:pt idx="34">
                  <c:v>59.56</c:v>
                </c:pt>
                <c:pt idx="35">
                  <c:v>63.18</c:v>
                </c:pt>
                <c:pt idx="36">
                  <c:v>66.739999999999995</c:v>
                </c:pt>
                <c:pt idx="37">
                  <c:v>70.2</c:v>
                </c:pt>
                <c:pt idx="38">
                  <c:v>73.44</c:v>
                </c:pt>
                <c:pt idx="39">
                  <c:v>76.400000000000006</c:v>
                </c:pt>
                <c:pt idx="40">
                  <c:v>79.16</c:v>
                </c:pt>
                <c:pt idx="41">
                  <c:v>81.78</c:v>
                </c:pt>
                <c:pt idx="42">
                  <c:v>84.22</c:v>
                </c:pt>
                <c:pt idx="43">
                  <c:v>86.59</c:v>
                </c:pt>
                <c:pt idx="44">
                  <c:v>88.75</c:v>
                </c:pt>
                <c:pt idx="45">
                  <c:v>90.85</c:v>
                </c:pt>
                <c:pt idx="46">
                  <c:v>92.75</c:v>
                </c:pt>
                <c:pt idx="47">
                  <c:v>94.6</c:v>
                </c:pt>
                <c:pt idx="48">
                  <c:v>96.26</c:v>
                </c:pt>
                <c:pt idx="49">
                  <c:v>97.98</c:v>
                </c:pt>
                <c:pt idx="50">
                  <c:v>99.59</c:v>
                </c:pt>
                <c:pt idx="51">
                  <c:v>101.09</c:v>
                </c:pt>
                <c:pt idx="52">
                  <c:v>102.42</c:v>
                </c:pt>
                <c:pt idx="53">
                  <c:v>103.7</c:v>
                </c:pt>
                <c:pt idx="54">
                  <c:v>104.87</c:v>
                </c:pt>
                <c:pt idx="55">
                  <c:v>105.98</c:v>
                </c:pt>
                <c:pt idx="56">
                  <c:v>107.03</c:v>
                </c:pt>
                <c:pt idx="57">
                  <c:v>107.99</c:v>
                </c:pt>
                <c:pt idx="58">
                  <c:v>108.9</c:v>
                </c:pt>
                <c:pt idx="59">
                  <c:v>109.79</c:v>
                </c:pt>
                <c:pt idx="60">
                  <c:v>110.6</c:v>
                </c:pt>
                <c:pt idx="61">
                  <c:v>111.37</c:v>
                </c:pt>
                <c:pt idx="62">
                  <c:v>112.08</c:v>
                </c:pt>
                <c:pt idx="63">
                  <c:v>112.76</c:v>
                </c:pt>
                <c:pt idx="64">
                  <c:v>113.4</c:v>
                </c:pt>
                <c:pt idx="65">
                  <c:v>114.01</c:v>
                </c:pt>
                <c:pt idx="66">
                  <c:v>114.57</c:v>
                </c:pt>
                <c:pt idx="67">
                  <c:v>115.12</c:v>
                </c:pt>
                <c:pt idx="68">
                  <c:v>115.63</c:v>
                </c:pt>
                <c:pt idx="69">
                  <c:v>116.1</c:v>
                </c:pt>
                <c:pt idx="70">
                  <c:v>116.55</c:v>
                </c:pt>
                <c:pt idx="71">
                  <c:v>116.98</c:v>
                </c:pt>
                <c:pt idx="72">
                  <c:v>117.37</c:v>
                </c:pt>
                <c:pt idx="73">
                  <c:v>117.76</c:v>
                </c:pt>
                <c:pt idx="74">
                  <c:v>118.12</c:v>
                </c:pt>
                <c:pt idx="75">
                  <c:v>118.48</c:v>
                </c:pt>
                <c:pt idx="76">
                  <c:v>118.83</c:v>
                </c:pt>
                <c:pt idx="77">
                  <c:v>119.16</c:v>
                </c:pt>
                <c:pt idx="78">
                  <c:v>119.47</c:v>
                </c:pt>
                <c:pt idx="79">
                  <c:v>119.74</c:v>
                </c:pt>
                <c:pt idx="80">
                  <c:v>120.02</c:v>
                </c:pt>
                <c:pt idx="81">
                  <c:v>120.25</c:v>
                </c:pt>
                <c:pt idx="82">
                  <c:v>120.49</c:v>
                </c:pt>
                <c:pt idx="83">
                  <c:v>120.69</c:v>
                </c:pt>
                <c:pt idx="84">
                  <c:v>120.9</c:v>
                </c:pt>
                <c:pt idx="85">
                  <c:v>121.08</c:v>
                </c:pt>
                <c:pt idx="86">
                  <c:v>121.26</c:v>
                </c:pt>
                <c:pt idx="87">
                  <c:v>121.43</c:v>
                </c:pt>
                <c:pt idx="88">
                  <c:v>121.59</c:v>
                </c:pt>
                <c:pt idx="89">
                  <c:v>121.73</c:v>
                </c:pt>
                <c:pt idx="90">
                  <c:v>121.87</c:v>
                </c:pt>
                <c:pt idx="91">
                  <c:v>122.01</c:v>
                </c:pt>
                <c:pt idx="92">
                  <c:v>122.13</c:v>
                </c:pt>
                <c:pt idx="93">
                  <c:v>122.25</c:v>
                </c:pt>
                <c:pt idx="94">
                  <c:v>122.36</c:v>
                </c:pt>
                <c:pt idx="95">
                  <c:v>122.46</c:v>
                </c:pt>
                <c:pt idx="96">
                  <c:v>122.57</c:v>
                </c:pt>
                <c:pt idx="97">
                  <c:v>122.67</c:v>
                </c:pt>
                <c:pt idx="98">
                  <c:v>122.74</c:v>
                </c:pt>
                <c:pt idx="99">
                  <c:v>122.2</c:v>
                </c:pt>
                <c:pt idx="100">
                  <c:v>117.5</c:v>
                </c:pt>
                <c:pt idx="101">
                  <c:v>112.19</c:v>
                </c:pt>
                <c:pt idx="102">
                  <c:v>107.83</c:v>
                </c:pt>
                <c:pt idx="103">
                  <c:v>104.01</c:v>
                </c:pt>
                <c:pt idx="104">
                  <c:v>101.35</c:v>
                </c:pt>
                <c:pt idx="105">
                  <c:v>99.7</c:v>
                </c:pt>
                <c:pt idx="106">
                  <c:v>98.51</c:v>
                </c:pt>
                <c:pt idx="107">
                  <c:v>97.4</c:v>
                </c:pt>
                <c:pt idx="108">
                  <c:v>96.71</c:v>
                </c:pt>
                <c:pt idx="109">
                  <c:v>96.41</c:v>
                </c:pt>
                <c:pt idx="110">
                  <c:v>96.09</c:v>
                </c:pt>
                <c:pt idx="111">
                  <c:v>95.97</c:v>
                </c:pt>
                <c:pt idx="112">
                  <c:v>95.75</c:v>
                </c:pt>
                <c:pt idx="113">
                  <c:v>95.59</c:v>
                </c:pt>
                <c:pt idx="114">
                  <c:v>95.48</c:v>
                </c:pt>
                <c:pt idx="115">
                  <c:v>95.4</c:v>
                </c:pt>
                <c:pt idx="116">
                  <c:v>95.31</c:v>
                </c:pt>
                <c:pt idx="117">
                  <c:v>95.19</c:v>
                </c:pt>
                <c:pt idx="118">
                  <c:v>94.91</c:v>
                </c:pt>
                <c:pt idx="119">
                  <c:v>92.63</c:v>
                </c:pt>
                <c:pt idx="120">
                  <c:v>92.17</c:v>
                </c:pt>
                <c:pt idx="121">
                  <c:v>91.8</c:v>
                </c:pt>
                <c:pt idx="122">
                  <c:v>91.45</c:v>
                </c:pt>
                <c:pt idx="123">
                  <c:v>91.11</c:v>
                </c:pt>
                <c:pt idx="124">
                  <c:v>90.77</c:v>
                </c:pt>
                <c:pt idx="125">
                  <c:v>90.41</c:v>
                </c:pt>
                <c:pt idx="126">
                  <c:v>90.31</c:v>
                </c:pt>
                <c:pt idx="127">
                  <c:v>90.15</c:v>
                </c:pt>
                <c:pt idx="128">
                  <c:v>89.95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B5DA-4F84-9324-29D21B2F54BA}"/>
            </c:ext>
          </c:extLst>
        </c:ser>
        <c:ser>
          <c:idx val="2"/>
          <c:order val="2"/>
          <c:tx>
            <c:strRef>
              <c:f>'DESEMPEÑO 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'DESEMPEÑO  TEMP1'!$B$31:$B$159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TEMP1'!$BD$31:$BD$159</c:f>
              <c:numCache>
                <c:formatCode>0.0</c:formatCode>
                <c:ptCount val="129"/>
                <c:pt idx="0">
                  <c:v>23.61</c:v>
                </c:pt>
                <c:pt idx="1">
                  <c:v>23.53</c:v>
                </c:pt>
                <c:pt idx="2">
                  <c:v>24.33</c:v>
                </c:pt>
                <c:pt idx="3">
                  <c:v>23.96</c:v>
                </c:pt>
                <c:pt idx="4">
                  <c:v>24.98</c:v>
                </c:pt>
                <c:pt idx="5">
                  <c:v>25.04</c:v>
                </c:pt>
                <c:pt idx="6">
                  <c:v>24.59</c:v>
                </c:pt>
                <c:pt idx="7">
                  <c:v>24.27</c:v>
                </c:pt>
                <c:pt idx="8">
                  <c:v>24.13</c:v>
                </c:pt>
                <c:pt idx="9">
                  <c:v>23.77</c:v>
                </c:pt>
                <c:pt idx="10">
                  <c:v>23.44</c:v>
                </c:pt>
                <c:pt idx="11">
                  <c:v>23.19</c:v>
                </c:pt>
                <c:pt idx="12">
                  <c:v>22.41</c:v>
                </c:pt>
                <c:pt idx="13">
                  <c:v>19</c:v>
                </c:pt>
                <c:pt idx="14">
                  <c:v>18.739999999999998</c:v>
                </c:pt>
                <c:pt idx="15">
                  <c:v>18.850000000000001</c:v>
                </c:pt>
                <c:pt idx="16">
                  <c:v>18.899999999999999</c:v>
                </c:pt>
                <c:pt idx="17">
                  <c:v>19.27</c:v>
                </c:pt>
                <c:pt idx="18">
                  <c:v>19.54</c:v>
                </c:pt>
                <c:pt idx="19">
                  <c:v>19.73</c:v>
                </c:pt>
                <c:pt idx="20">
                  <c:v>19.8</c:v>
                </c:pt>
                <c:pt idx="21">
                  <c:v>20.05</c:v>
                </c:pt>
                <c:pt idx="22">
                  <c:v>20.48</c:v>
                </c:pt>
                <c:pt idx="23">
                  <c:v>22.05</c:v>
                </c:pt>
                <c:pt idx="24">
                  <c:v>25.62</c:v>
                </c:pt>
                <c:pt idx="25">
                  <c:v>30.57</c:v>
                </c:pt>
                <c:pt idx="26">
                  <c:v>36.32</c:v>
                </c:pt>
                <c:pt idx="27">
                  <c:v>42.21</c:v>
                </c:pt>
                <c:pt idx="28">
                  <c:v>48.18</c:v>
                </c:pt>
                <c:pt idx="29">
                  <c:v>53.99</c:v>
                </c:pt>
                <c:pt idx="30">
                  <c:v>59.47</c:v>
                </c:pt>
                <c:pt idx="31">
                  <c:v>64.64</c:v>
                </c:pt>
                <c:pt idx="32">
                  <c:v>69.540000000000006</c:v>
                </c:pt>
                <c:pt idx="33">
                  <c:v>74.150000000000006</c:v>
                </c:pt>
                <c:pt idx="34">
                  <c:v>78.459999999999994</c:v>
                </c:pt>
                <c:pt idx="35">
                  <c:v>82.44</c:v>
                </c:pt>
                <c:pt idx="36">
                  <c:v>86.18</c:v>
                </c:pt>
                <c:pt idx="37">
                  <c:v>89.65</c:v>
                </c:pt>
                <c:pt idx="38">
                  <c:v>92.79</c:v>
                </c:pt>
                <c:pt idx="39">
                  <c:v>95.53</c:v>
                </c:pt>
                <c:pt idx="40">
                  <c:v>97.82</c:v>
                </c:pt>
                <c:pt idx="41">
                  <c:v>100.1</c:v>
                </c:pt>
                <c:pt idx="42">
                  <c:v>102.2</c:v>
                </c:pt>
                <c:pt idx="43">
                  <c:v>104.16</c:v>
                </c:pt>
                <c:pt idx="44">
                  <c:v>105.86</c:v>
                </c:pt>
                <c:pt idx="45">
                  <c:v>107.42</c:v>
                </c:pt>
                <c:pt idx="46">
                  <c:v>108.79</c:v>
                </c:pt>
                <c:pt idx="47">
                  <c:v>110.03</c:v>
                </c:pt>
                <c:pt idx="48">
                  <c:v>111.15</c:v>
                </c:pt>
                <c:pt idx="49">
                  <c:v>112.15</c:v>
                </c:pt>
                <c:pt idx="50">
                  <c:v>113.07</c:v>
                </c:pt>
                <c:pt idx="51">
                  <c:v>113.91</c:v>
                </c:pt>
                <c:pt idx="52">
                  <c:v>114.66</c:v>
                </c:pt>
                <c:pt idx="53">
                  <c:v>115.33</c:v>
                </c:pt>
                <c:pt idx="54">
                  <c:v>115.96</c:v>
                </c:pt>
                <c:pt idx="55">
                  <c:v>116.51</c:v>
                </c:pt>
                <c:pt idx="56">
                  <c:v>117.02</c:v>
                </c:pt>
                <c:pt idx="57">
                  <c:v>117.48</c:v>
                </c:pt>
                <c:pt idx="58">
                  <c:v>117.89</c:v>
                </c:pt>
                <c:pt idx="59">
                  <c:v>118.27</c:v>
                </c:pt>
                <c:pt idx="60">
                  <c:v>118.61</c:v>
                </c:pt>
                <c:pt idx="61">
                  <c:v>118.92</c:v>
                </c:pt>
                <c:pt idx="62">
                  <c:v>119.2</c:v>
                </c:pt>
                <c:pt idx="63">
                  <c:v>119.45</c:v>
                </c:pt>
                <c:pt idx="64">
                  <c:v>119.7</c:v>
                </c:pt>
                <c:pt idx="65">
                  <c:v>119.88</c:v>
                </c:pt>
                <c:pt idx="66">
                  <c:v>120.09</c:v>
                </c:pt>
                <c:pt idx="67">
                  <c:v>120.25</c:v>
                </c:pt>
                <c:pt idx="68">
                  <c:v>120.42</c:v>
                </c:pt>
                <c:pt idx="69">
                  <c:v>120.55</c:v>
                </c:pt>
                <c:pt idx="70">
                  <c:v>120.7</c:v>
                </c:pt>
                <c:pt idx="71">
                  <c:v>120.8</c:v>
                </c:pt>
                <c:pt idx="72">
                  <c:v>120.93</c:v>
                </c:pt>
                <c:pt idx="73">
                  <c:v>121.01</c:v>
                </c:pt>
                <c:pt idx="74">
                  <c:v>121.13</c:v>
                </c:pt>
                <c:pt idx="75">
                  <c:v>121.19</c:v>
                </c:pt>
                <c:pt idx="76">
                  <c:v>121.29</c:v>
                </c:pt>
                <c:pt idx="77">
                  <c:v>121.35</c:v>
                </c:pt>
                <c:pt idx="78">
                  <c:v>121.42</c:v>
                </c:pt>
                <c:pt idx="79">
                  <c:v>121.47</c:v>
                </c:pt>
                <c:pt idx="80">
                  <c:v>121.53</c:v>
                </c:pt>
                <c:pt idx="81">
                  <c:v>121.58</c:v>
                </c:pt>
                <c:pt idx="82">
                  <c:v>121.63</c:v>
                </c:pt>
                <c:pt idx="83">
                  <c:v>121.67</c:v>
                </c:pt>
                <c:pt idx="84">
                  <c:v>121.7</c:v>
                </c:pt>
                <c:pt idx="85">
                  <c:v>121.74</c:v>
                </c:pt>
                <c:pt idx="86">
                  <c:v>121.78</c:v>
                </c:pt>
                <c:pt idx="87">
                  <c:v>121.79</c:v>
                </c:pt>
                <c:pt idx="88">
                  <c:v>121.84</c:v>
                </c:pt>
                <c:pt idx="89">
                  <c:v>121.86</c:v>
                </c:pt>
                <c:pt idx="90">
                  <c:v>121.89</c:v>
                </c:pt>
                <c:pt idx="91">
                  <c:v>121.91</c:v>
                </c:pt>
                <c:pt idx="92">
                  <c:v>121.93</c:v>
                </c:pt>
                <c:pt idx="93">
                  <c:v>121.95</c:v>
                </c:pt>
                <c:pt idx="94">
                  <c:v>121.98</c:v>
                </c:pt>
                <c:pt idx="95">
                  <c:v>121.99</c:v>
                </c:pt>
                <c:pt idx="96">
                  <c:v>122.01</c:v>
                </c:pt>
                <c:pt idx="97">
                  <c:v>122.03</c:v>
                </c:pt>
                <c:pt idx="98">
                  <c:v>122.04</c:v>
                </c:pt>
                <c:pt idx="99">
                  <c:v>119.99</c:v>
                </c:pt>
                <c:pt idx="100">
                  <c:v>114.47</c:v>
                </c:pt>
                <c:pt idx="101">
                  <c:v>108.94</c:v>
                </c:pt>
                <c:pt idx="102">
                  <c:v>104.34</c:v>
                </c:pt>
                <c:pt idx="103">
                  <c:v>100.83</c:v>
                </c:pt>
                <c:pt idx="104">
                  <c:v>98.1</c:v>
                </c:pt>
                <c:pt idx="105">
                  <c:v>96.12</c:v>
                </c:pt>
                <c:pt idx="106">
                  <c:v>94.93</c:v>
                </c:pt>
                <c:pt idx="107">
                  <c:v>94.38</c:v>
                </c:pt>
                <c:pt idx="108">
                  <c:v>94.11</c:v>
                </c:pt>
                <c:pt idx="109">
                  <c:v>93.93</c:v>
                </c:pt>
                <c:pt idx="110">
                  <c:v>93.81</c:v>
                </c:pt>
                <c:pt idx="111">
                  <c:v>93.69</c:v>
                </c:pt>
                <c:pt idx="112">
                  <c:v>93.58</c:v>
                </c:pt>
                <c:pt idx="113">
                  <c:v>93.5</c:v>
                </c:pt>
                <c:pt idx="114">
                  <c:v>93.45</c:v>
                </c:pt>
                <c:pt idx="115">
                  <c:v>93.37</c:v>
                </c:pt>
                <c:pt idx="116">
                  <c:v>93.3</c:v>
                </c:pt>
                <c:pt idx="117">
                  <c:v>93.04</c:v>
                </c:pt>
                <c:pt idx="118">
                  <c:v>92.66</c:v>
                </c:pt>
                <c:pt idx="119">
                  <c:v>92.28</c:v>
                </c:pt>
                <c:pt idx="120">
                  <c:v>91.91</c:v>
                </c:pt>
                <c:pt idx="121">
                  <c:v>91.57</c:v>
                </c:pt>
                <c:pt idx="122">
                  <c:v>91.18</c:v>
                </c:pt>
                <c:pt idx="123">
                  <c:v>90.37</c:v>
                </c:pt>
                <c:pt idx="124">
                  <c:v>72.28</c:v>
                </c:pt>
                <c:pt idx="125">
                  <c:v>60.43</c:v>
                </c:pt>
                <c:pt idx="126">
                  <c:v>52.31</c:v>
                </c:pt>
                <c:pt idx="127">
                  <c:v>45.52</c:v>
                </c:pt>
                <c:pt idx="128">
                  <c:v>39.770000000000003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B5DA-4F84-9324-29D21B2F54BA}"/>
            </c:ext>
          </c:extLst>
        </c:ser>
        <c:ser>
          <c:idx val="3"/>
          <c:order val="3"/>
          <c:tx>
            <c:strRef>
              <c:f>'DESEMPEÑO 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'DESEMPEÑO  TEMP1'!$B$31:$B$159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TEMP1'!$BE$31:$BE$159</c:f>
              <c:numCache>
                <c:formatCode>0.0</c:formatCode>
                <c:ptCount val="129"/>
                <c:pt idx="0">
                  <c:v>23.43</c:v>
                </c:pt>
                <c:pt idx="1">
                  <c:v>23.32</c:v>
                </c:pt>
                <c:pt idx="2">
                  <c:v>24.6</c:v>
                </c:pt>
                <c:pt idx="3">
                  <c:v>25.63</c:v>
                </c:pt>
                <c:pt idx="4">
                  <c:v>25.7</c:v>
                </c:pt>
                <c:pt idx="5">
                  <c:v>26.27</c:v>
                </c:pt>
                <c:pt idx="6">
                  <c:v>25.47</c:v>
                </c:pt>
                <c:pt idx="7">
                  <c:v>24.85</c:v>
                </c:pt>
                <c:pt idx="8">
                  <c:v>24.4</c:v>
                </c:pt>
                <c:pt idx="9">
                  <c:v>24.05</c:v>
                </c:pt>
                <c:pt idx="10">
                  <c:v>23.81</c:v>
                </c:pt>
                <c:pt idx="11">
                  <c:v>23.69</c:v>
                </c:pt>
                <c:pt idx="12">
                  <c:v>21.13</c:v>
                </c:pt>
                <c:pt idx="13">
                  <c:v>18.920000000000002</c:v>
                </c:pt>
                <c:pt idx="14">
                  <c:v>18.84</c:v>
                </c:pt>
                <c:pt idx="15">
                  <c:v>19.02</c:v>
                </c:pt>
                <c:pt idx="16">
                  <c:v>19.18</c:v>
                </c:pt>
                <c:pt idx="17">
                  <c:v>19.399999999999999</c:v>
                </c:pt>
                <c:pt idx="18">
                  <c:v>19.559999999999999</c:v>
                </c:pt>
                <c:pt idx="19">
                  <c:v>19.829999999999998</c:v>
                </c:pt>
                <c:pt idx="20">
                  <c:v>20.49</c:v>
                </c:pt>
                <c:pt idx="21">
                  <c:v>20.8</c:v>
                </c:pt>
                <c:pt idx="22">
                  <c:v>21.22</c:v>
                </c:pt>
                <c:pt idx="23">
                  <c:v>22.7</c:v>
                </c:pt>
                <c:pt idx="24">
                  <c:v>26.28</c:v>
                </c:pt>
                <c:pt idx="25">
                  <c:v>31.32</c:v>
                </c:pt>
                <c:pt idx="26">
                  <c:v>37.08</c:v>
                </c:pt>
                <c:pt idx="27">
                  <c:v>43.17</c:v>
                </c:pt>
                <c:pt idx="28">
                  <c:v>49.25</c:v>
                </c:pt>
                <c:pt idx="29">
                  <c:v>55.12</c:v>
                </c:pt>
                <c:pt idx="30">
                  <c:v>60.74</c:v>
                </c:pt>
                <c:pt idx="31">
                  <c:v>66.08</c:v>
                </c:pt>
                <c:pt idx="32">
                  <c:v>71.08</c:v>
                </c:pt>
                <c:pt idx="33">
                  <c:v>75.73</c:v>
                </c:pt>
                <c:pt idx="34">
                  <c:v>80.13</c:v>
                </c:pt>
                <c:pt idx="35">
                  <c:v>84.16</c:v>
                </c:pt>
                <c:pt idx="36">
                  <c:v>87.83</c:v>
                </c:pt>
                <c:pt idx="37">
                  <c:v>91.32</c:v>
                </c:pt>
                <c:pt idx="38">
                  <c:v>94.23</c:v>
                </c:pt>
                <c:pt idx="39">
                  <c:v>96.89</c:v>
                </c:pt>
                <c:pt idx="40">
                  <c:v>99.34</c:v>
                </c:pt>
                <c:pt idx="41">
                  <c:v>101.51</c:v>
                </c:pt>
                <c:pt idx="42">
                  <c:v>103.52</c:v>
                </c:pt>
                <c:pt idx="43">
                  <c:v>105.36</c:v>
                </c:pt>
                <c:pt idx="44">
                  <c:v>107.01</c:v>
                </c:pt>
                <c:pt idx="45">
                  <c:v>108.51</c:v>
                </c:pt>
                <c:pt idx="46">
                  <c:v>109.93</c:v>
                </c:pt>
                <c:pt idx="47">
                  <c:v>111.2</c:v>
                </c:pt>
                <c:pt idx="48">
                  <c:v>112.3</c:v>
                </c:pt>
                <c:pt idx="49">
                  <c:v>113.39</c:v>
                </c:pt>
                <c:pt idx="50">
                  <c:v>114.3</c:v>
                </c:pt>
                <c:pt idx="51">
                  <c:v>115.13</c:v>
                </c:pt>
                <c:pt idx="52">
                  <c:v>115.88</c:v>
                </c:pt>
                <c:pt idx="53">
                  <c:v>116.55</c:v>
                </c:pt>
                <c:pt idx="54">
                  <c:v>117.17</c:v>
                </c:pt>
                <c:pt idx="55">
                  <c:v>117.71</c:v>
                </c:pt>
                <c:pt idx="56">
                  <c:v>118.21</c:v>
                </c:pt>
                <c:pt idx="57">
                  <c:v>118.67</c:v>
                </c:pt>
                <c:pt idx="58">
                  <c:v>119.07</c:v>
                </c:pt>
                <c:pt idx="59">
                  <c:v>119.45</c:v>
                </c:pt>
                <c:pt idx="60">
                  <c:v>119.79</c:v>
                </c:pt>
                <c:pt idx="61">
                  <c:v>120.09</c:v>
                </c:pt>
                <c:pt idx="62">
                  <c:v>120.36</c:v>
                </c:pt>
                <c:pt idx="63">
                  <c:v>120.61</c:v>
                </c:pt>
                <c:pt idx="64">
                  <c:v>120.84</c:v>
                </c:pt>
                <c:pt idx="65">
                  <c:v>121.04</c:v>
                </c:pt>
                <c:pt idx="66">
                  <c:v>121.26</c:v>
                </c:pt>
                <c:pt idx="67">
                  <c:v>121.4</c:v>
                </c:pt>
                <c:pt idx="68">
                  <c:v>121.57</c:v>
                </c:pt>
                <c:pt idx="69">
                  <c:v>121.7</c:v>
                </c:pt>
                <c:pt idx="70">
                  <c:v>121.85</c:v>
                </c:pt>
                <c:pt idx="71">
                  <c:v>121.95</c:v>
                </c:pt>
                <c:pt idx="72">
                  <c:v>122.08</c:v>
                </c:pt>
                <c:pt idx="73">
                  <c:v>122.16</c:v>
                </c:pt>
                <c:pt idx="74">
                  <c:v>122.26</c:v>
                </c:pt>
                <c:pt idx="75">
                  <c:v>122.33</c:v>
                </c:pt>
                <c:pt idx="76">
                  <c:v>122.43</c:v>
                </c:pt>
                <c:pt idx="77">
                  <c:v>122.49</c:v>
                </c:pt>
                <c:pt idx="78">
                  <c:v>122.58</c:v>
                </c:pt>
                <c:pt idx="79">
                  <c:v>122.63</c:v>
                </c:pt>
                <c:pt idx="80">
                  <c:v>122.69</c:v>
                </c:pt>
                <c:pt idx="81">
                  <c:v>122.74</c:v>
                </c:pt>
                <c:pt idx="82">
                  <c:v>122.79</c:v>
                </c:pt>
                <c:pt idx="83">
                  <c:v>122.83</c:v>
                </c:pt>
                <c:pt idx="84">
                  <c:v>122.88</c:v>
                </c:pt>
                <c:pt idx="85">
                  <c:v>122.91</c:v>
                </c:pt>
                <c:pt idx="86">
                  <c:v>122.96</c:v>
                </c:pt>
                <c:pt idx="87">
                  <c:v>122.99</c:v>
                </c:pt>
                <c:pt idx="88">
                  <c:v>123.01</c:v>
                </c:pt>
                <c:pt idx="89">
                  <c:v>123.04</c:v>
                </c:pt>
                <c:pt idx="90">
                  <c:v>123.08</c:v>
                </c:pt>
                <c:pt idx="91">
                  <c:v>123.11</c:v>
                </c:pt>
                <c:pt idx="92">
                  <c:v>123.13</c:v>
                </c:pt>
                <c:pt idx="93">
                  <c:v>123.15</c:v>
                </c:pt>
                <c:pt idx="94">
                  <c:v>123.18</c:v>
                </c:pt>
                <c:pt idx="95">
                  <c:v>123.19</c:v>
                </c:pt>
                <c:pt idx="96">
                  <c:v>123.22</c:v>
                </c:pt>
                <c:pt idx="97">
                  <c:v>123.23</c:v>
                </c:pt>
                <c:pt idx="98">
                  <c:v>123.25</c:v>
                </c:pt>
                <c:pt idx="99">
                  <c:v>121.27</c:v>
                </c:pt>
                <c:pt idx="100">
                  <c:v>116.16</c:v>
                </c:pt>
                <c:pt idx="101">
                  <c:v>110.62</c:v>
                </c:pt>
                <c:pt idx="102">
                  <c:v>105.72</c:v>
                </c:pt>
                <c:pt idx="103">
                  <c:v>101.73</c:v>
                </c:pt>
                <c:pt idx="104">
                  <c:v>98.78</c:v>
                </c:pt>
                <c:pt idx="105">
                  <c:v>96.74</c:v>
                </c:pt>
                <c:pt idx="106">
                  <c:v>95.63</c:v>
                </c:pt>
                <c:pt idx="107">
                  <c:v>95.06</c:v>
                </c:pt>
                <c:pt idx="108">
                  <c:v>94.73</c:v>
                </c:pt>
                <c:pt idx="109">
                  <c:v>94.61</c:v>
                </c:pt>
                <c:pt idx="110">
                  <c:v>94.46</c:v>
                </c:pt>
                <c:pt idx="111">
                  <c:v>94.33</c:v>
                </c:pt>
                <c:pt idx="112">
                  <c:v>94.22</c:v>
                </c:pt>
                <c:pt idx="113">
                  <c:v>94.15</c:v>
                </c:pt>
                <c:pt idx="114">
                  <c:v>94.08</c:v>
                </c:pt>
                <c:pt idx="115">
                  <c:v>94.05</c:v>
                </c:pt>
                <c:pt idx="116">
                  <c:v>93.98</c:v>
                </c:pt>
                <c:pt idx="117">
                  <c:v>93.82</c:v>
                </c:pt>
                <c:pt idx="118">
                  <c:v>93.41</c:v>
                </c:pt>
                <c:pt idx="119">
                  <c:v>92.95</c:v>
                </c:pt>
                <c:pt idx="120">
                  <c:v>92.26</c:v>
                </c:pt>
                <c:pt idx="121">
                  <c:v>81.92</c:v>
                </c:pt>
                <c:pt idx="122">
                  <c:v>59.17</c:v>
                </c:pt>
                <c:pt idx="123">
                  <c:v>44.52</c:v>
                </c:pt>
                <c:pt idx="124">
                  <c:v>41.27</c:v>
                </c:pt>
                <c:pt idx="125">
                  <c:v>38.31</c:v>
                </c:pt>
                <c:pt idx="126">
                  <c:v>35.97</c:v>
                </c:pt>
                <c:pt idx="127">
                  <c:v>34.03</c:v>
                </c:pt>
                <c:pt idx="128">
                  <c:v>31.44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B5DA-4F84-9324-29D21B2F54BA}"/>
            </c:ext>
          </c:extLst>
        </c:ser>
        <c:ser>
          <c:idx val="4"/>
          <c:order val="4"/>
          <c:tx>
            <c:strRef>
              <c:f>'DESEMPEÑO 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'DESEMPEÑO  TEMP1'!$B$31:$B$159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TEMP1'!$BF$31:$BF$159</c:f>
              <c:numCache>
                <c:formatCode>0.0</c:formatCode>
                <c:ptCount val="129"/>
                <c:pt idx="0">
                  <c:v>25.22</c:v>
                </c:pt>
                <c:pt idx="1">
                  <c:v>25.95</c:v>
                </c:pt>
                <c:pt idx="2">
                  <c:v>25.82</c:v>
                </c:pt>
                <c:pt idx="3">
                  <c:v>25.38</c:v>
                </c:pt>
                <c:pt idx="4">
                  <c:v>25.01</c:v>
                </c:pt>
                <c:pt idx="5">
                  <c:v>24.78</c:v>
                </c:pt>
                <c:pt idx="6">
                  <c:v>24.72</c:v>
                </c:pt>
                <c:pt idx="7">
                  <c:v>24.59</c:v>
                </c:pt>
                <c:pt idx="8">
                  <c:v>24.45</c:v>
                </c:pt>
                <c:pt idx="9">
                  <c:v>24.13</c:v>
                </c:pt>
                <c:pt idx="10">
                  <c:v>23.79</c:v>
                </c:pt>
                <c:pt idx="11">
                  <c:v>23.54</c:v>
                </c:pt>
                <c:pt idx="12">
                  <c:v>23.36</c:v>
                </c:pt>
                <c:pt idx="13">
                  <c:v>22.21</c:v>
                </c:pt>
                <c:pt idx="14">
                  <c:v>20.43</c:v>
                </c:pt>
                <c:pt idx="15">
                  <c:v>20.239999999999998</c:v>
                </c:pt>
                <c:pt idx="16">
                  <c:v>20.23</c:v>
                </c:pt>
                <c:pt idx="17">
                  <c:v>20.29</c:v>
                </c:pt>
                <c:pt idx="18">
                  <c:v>20.5</c:v>
                </c:pt>
                <c:pt idx="19">
                  <c:v>20.69</c:v>
                </c:pt>
                <c:pt idx="20">
                  <c:v>21.07</c:v>
                </c:pt>
                <c:pt idx="21">
                  <c:v>21.36</c:v>
                </c:pt>
                <c:pt idx="22">
                  <c:v>21.77</c:v>
                </c:pt>
                <c:pt idx="23">
                  <c:v>23.75</c:v>
                </c:pt>
                <c:pt idx="24">
                  <c:v>27.54</c:v>
                </c:pt>
                <c:pt idx="25">
                  <c:v>32.65</c:v>
                </c:pt>
                <c:pt idx="26">
                  <c:v>38.89</c:v>
                </c:pt>
                <c:pt idx="27">
                  <c:v>45.44</c:v>
                </c:pt>
                <c:pt idx="28">
                  <c:v>51.79</c:v>
                </c:pt>
                <c:pt idx="29">
                  <c:v>58.07</c:v>
                </c:pt>
                <c:pt idx="30">
                  <c:v>64.010000000000005</c:v>
                </c:pt>
                <c:pt idx="31">
                  <c:v>69.55</c:v>
                </c:pt>
                <c:pt idx="32">
                  <c:v>74.680000000000007</c:v>
                </c:pt>
                <c:pt idx="33">
                  <c:v>79.459999999999994</c:v>
                </c:pt>
                <c:pt idx="34">
                  <c:v>83.92</c:v>
                </c:pt>
                <c:pt idx="35">
                  <c:v>88.03</c:v>
                </c:pt>
                <c:pt idx="36">
                  <c:v>91.83</c:v>
                </c:pt>
                <c:pt idx="37">
                  <c:v>95.26</c:v>
                </c:pt>
                <c:pt idx="38">
                  <c:v>98.08</c:v>
                </c:pt>
                <c:pt idx="39">
                  <c:v>100.66</c:v>
                </c:pt>
                <c:pt idx="40">
                  <c:v>103</c:v>
                </c:pt>
                <c:pt idx="41">
                  <c:v>105.13</c:v>
                </c:pt>
                <c:pt idx="42">
                  <c:v>107.03</c:v>
                </c:pt>
                <c:pt idx="43">
                  <c:v>108.78</c:v>
                </c:pt>
                <c:pt idx="44">
                  <c:v>110.3</c:v>
                </c:pt>
                <c:pt idx="45">
                  <c:v>111.62</c:v>
                </c:pt>
                <c:pt idx="46">
                  <c:v>112.76</c:v>
                </c:pt>
                <c:pt idx="47">
                  <c:v>113.79</c:v>
                </c:pt>
                <c:pt idx="48">
                  <c:v>114.71</c:v>
                </c:pt>
                <c:pt idx="49">
                  <c:v>115.49</c:v>
                </c:pt>
                <c:pt idx="50">
                  <c:v>116.25</c:v>
                </c:pt>
                <c:pt idx="51">
                  <c:v>116.89</c:v>
                </c:pt>
                <c:pt idx="52">
                  <c:v>117.48</c:v>
                </c:pt>
                <c:pt idx="53">
                  <c:v>118</c:v>
                </c:pt>
                <c:pt idx="54">
                  <c:v>118.49</c:v>
                </c:pt>
                <c:pt idx="55">
                  <c:v>118.9</c:v>
                </c:pt>
                <c:pt idx="56">
                  <c:v>119.28</c:v>
                </c:pt>
                <c:pt idx="57">
                  <c:v>119.62</c:v>
                </c:pt>
                <c:pt idx="58">
                  <c:v>119.91</c:v>
                </c:pt>
                <c:pt idx="59">
                  <c:v>120.19</c:v>
                </c:pt>
                <c:pt idx="60">
                  <c:v>120.4</c:v>
                </c:pt>
                <c:pt idx="61">
                  <c:v>120.62</c:v>
                </c:pt>
                <c:pt idx="62">
                  <c:v>120.8</c:v>
                </c:pt>
                <c:pt idx="63">
                  <c:v>120.97</c:v>
                </c:pt>
                <c:pt idx="64">
                  <c:v>121.11</c:v>
                </c:pt>
                <c:pt idx="65">
                  <c:v>121.22</c:v>
                </c:pt>
                <c:pt idx="66">
                  <c:v>121.34</c:v>
                </c:pt>
                <c:pt idx="67">
                  <c:v>121.43</c:v>
                </c:pt>
                <c:pt idx="68">
                  <c:v>121.53</c:v>
                </c:pt>
                <c:pt idx="69">
                  <c:v>121.6</c:v>
                </c:pt>
                <c:pt idx="70">
                  <c:v>121.68</c:v>
                </c:pt>
                <c:pt idx="71">
                  <c:v>121.74</c:v>
                </c:pt>
                <c:pt idx="72">
                  <c:v>121.79</c:v>
                </c:pt>
                <c:pt idx="73">
                  <c:v>121.85</c:v>
                </c:pt>
                <c:pt idx="74">
                  <c:v>121.88</c:v>
                </c:pt>
                <c:pt idx="75">
                  <c:v>121.93</c:v>
                </c:pt>
                <c:pt idx="76">
                  <c:v>121.95</c:v>
                </c:pt>
                <c:pt idx="77">
                  <c:v>121.99</c:v>
                </c:pt>
                <c:pt idx="78">
                  <c:v>122.02</c:v>
                </c:pt>
                <c:pt idx="79">
                  <c:v>122.03</c:v>
                </c:pt>
                <c:pt idx="80">
                  <c:v>122.03</c:v>
                </c:pt>
                <c:pt idx="81">
                  <c:v>122.05</c:v>
                </c:pt>
                <c:pt idx="82">
                  <c:v>122.06</c:v>
                </c:pt>
                <c:pt idx="83">
                  <c:v>122.06</c:v>
                </c:pt>
                <c:pt idx="84">
                  <c:v>122.08</c:v>
                </c:pt>
                <c:pt idx="85">
                  <c:v>122.09</c:v>
                </c:pt>
                <c:pt idx="86">
                  <c:v>122.1</c:v>
                </c:pt>
                <c:pt idx="87">
                  <c:v>122.1</c:v>
                </c:pt>
                <c:pt idx="88">
                  <c:v>122.11</c:v>
                </c:pt>
                <c:pt idx="89">
                  <c:v>122.12</c:v>
                </c:pt>
                <c:pt idx="90">
                  <c:v>122.13</c:v>
                </c:pt>
                <c:pt idx="91">
                  <c:v>122.14</c:v>
                </c:pt>
                <c:pt idx="92">
                  <c:v>122.15</c:v>
                </c:pt>
                <c:pt idx="93">
                  <c:v>122.16</c:v>
                </c:pt>
                <c:pt idx="94">
                  <c:v>122.16</c:v>
                </c:pt>
                <c:pt idx="95">
                  <c:v>122.17</c:v>
                </c:pt>
                <c:pt idx="96">
                  <c:v>122.17</c:v>
                </c:pt>
                <c:pt idx="97">
                  <c:v>122.18</c:v>
                </c:pt>
                <c:pt idx="98">
                  <c:v>122.17</c:v>
                </c:pt>
                <c:pt idx="99">
                  <c:v>120.49</c:v>
                </c:pt>
                <c:pt idx="100">
                  <c:v>115.35</c:v>
                </c:pt>
                <c:pt idx="101">
                  <c:v>111.11</c:v>
                </c:pt>
                <c:pt idx="102">
                  <c:v>107.41</c:v>
                </c:pt>
                <c:pt idx="103">
                  <c:v>103.79</c:v>
                </c:pt>
                <c:pt idx="104">
                  <c:v>100.12</c:v>
                </c:pt>
                <c:pt idx="105">
                  <c:v>96.94</c:v>
                </c:pt>
                <c:pt idx="106">
                  <c:v>95.28</c:v>
                </c:pt>
                <c:pt idx="107">
                  <c:v>94.37</c:v>
                </c:pt>
                <c:pt idx="108">
                  <c:v>93.98</c:v>
                </c:pt>
                <c:pt idx="109">
                  <c:v>93.72</c:v>
                </c:pt>
                <c:pt idx="110">
                  <c:v>93.63</c:v>
                </c:pt>
                <c:pt idx="111">
                  <c:v>93.51</c:v>
                </c:pt>
                <c:pt idx="112">
                  <c:v>93.43</c:v>
                </c:pt>
                <c:pt idx="113">
                  <c:v>93.36</c:v>
                </c:pt>
                <c:pt idx="114">
                  <c:v>93.32</c:v>
                </c:pt>
                <c:pt idx="115">
                  <c:v>93.27</c:v>
                </c:pt>
                <c:pt idx="116">
                  <c:v>93.23</c:v>
                </c:pt>
                <c:pt idx="117">
                  <c:v>93.09</c:v>
                </c:pt>
                <c:pt idx="118">
                  <c:v>92.69</c:v>
                </c:pt>
                <c:pt idx="119">
                  <c:v>92.31</c:v>
                </c:pt>
                <c:pt idx="120">
                  <c:v>91.99</c:v>
                </c:pt>
                <c:pt idx="121">
                  <c:v>91.26</c:v>
                </c:pt>
                <c:pt idx="122">
                  <c:v>80.760000000000005</c:v>
                </c:pt>
                <c:pt idx="123">
                  <c:v>78.209999999999994</c:v>
                </c:pt>
                <c:pt idx="124">
                  <c:v>76.84</c:v>
                </c:pt>
                <c:pt idx="125">
                  <c:v>75.66</c:v>
                </c:pt>
                <c:pt idx="126">
                  <c:v>72.98</c:v>
                </c:pt>
                <c:pt idx="127">
                  <c:v>44.61</c:v>
                </c:pt>
                <c:pt idx="128">
                  <c:v>36.590000000000003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B5DA-4F84-9324-29D21B2F54BA}"/>
            </c:ext>
          </c:extLst>
        </c:ser>
        <c:ser>
          <c:idx val="5"/>
          <c:order val="5"/>
          <c:tx>
            <c:strRef>
              <c:f>'DESEMPEÑO  TEMP1'!$BG$30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'DESEMPEÑO  TEMP1'!$B$31:$B$159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TEMP1'!$BG$31:$BG$159</c:f>
              <c:numCache>
                <c:formatCode>0.0</c:formatCode>
                <c:ptCount val="129"/>
                <c:pt idx="0">
                  <c:v>27.07</c:v>
                </c:pt>
                <c:pt idx="1">
                  <c:v>26.74</c:v>
                </c:pt>
                <c:pt idx="2">
                  <c:v>26.79</c:v>
                </c:pt>
                <c:pt idx="3">
                  <c:v>26.7</c:v>
                </c:pt>
                <c:pt idx="4">
                  <c:v>27.87</c:v>
                </c:pt>
                <c:pt idx="5">
                  <c:v>27.51</c:v>
                </c:pt>
                <c:pt idx="6">
                  <c:v>29.8</c:v>
                </c:pt>
                <c:pt idx="7">
                  <c:v>28.55</c:v>
                </c:pt>
                <c:pt idx="8">
                  <c:v>27.29</c:v>
                </c:pt>
                <c:pt idx="9">
                  <c:v>26.15</c:v>
                </c:pt>
                <c:pt idx="10">
                  <c:v>25.63</c:v>
                </c:pt>
                <c:pt idx="11">
                  <c:v>25.05</c:v>
                </c:pt>
                <c:pt idx="12">
                  <c:v>24.85</c:v>
                </c:pt>
                <c:pt idx="13">
                  <c:v>25.1</c:v>
                </c:pt>
                <c:pt idx="14">
                  <c:v>20.12</c:v>
                </c:pt>
                <c:pt idx="15">
                  <c:v>20</c:v>
                </c:pt>
                <c:pt idx="16">
                  <c:v>20</c:v>
                </c:pt>
                <c:pt idx="17">
                  <c:v>20.190000000000001</c:v>
                </c:pt>
                <c:pt idx="18">
                  <c:v>20.260000000000002</c:v>
                </c:pt>
                <c:pt idx="19">
                  <c:v>20.55</c:v>
                </c:pt>
                <c:pt idx="20">
                  <c:v>20.91</c:v>
                </c:pt>
                <c:pt idx="21">
                  <c:v>21.56</c:v>
                </c:pt>
                <c:pt idx="22">
                  <c:v>28.38</c:v>
                </c:pt>
                <c:pt idx="23">
                  <c:v>38.159999999999997</c:v>
                </c:pt>
                <c:pt idx="24">
                  <c:v>47.18</c:v>
                </c:pt>
                <c:pt idx="25">
                  <c:v>55.41</c:v>
                </c:pt>
                <c:pt idx="26">
                  <c:v>62.74</c:v>
                </c:pt>
                <c:pt idx="27">
                  <c:v>69.25</c:v>
                </c:pt>
                <c:pt idx="28">
                  <c:v>75.08</c:v>
                </c:pt>
                <c:pt idx="29">
                  <c:v>80.36</c:v>
                </c:pt>
                <c:pt idx="30">
                  <c:v>85.04</c:v>
                </c:pt>
                <c:pt idx="31">
                  <c:v>89.27</c:v>
                </c:pt>
                <c:pt idx="32">
                  <c:v>93.1</c:v>
                </c:pt>
                <c:pt idx="33">
                  <c:v>96.56</c:v>
                </c:pt>
                <c:pt idx="34">
                  <c:v>99.69</c:v>
                </c:pt>
                <c:pt idx="35">
                  <c:v>102.55</c:v>
                </c:pt>
                <c:pt idx="36">
                  <c:v>105.17</c:v>
                </c:pt>
                <c:pt idx="37">
                  <c:v>107.54</c:v>
                </c:pt>
                <c:pt idx="38">
                  <c:v>109.53</c:v>
                </c:pt>
                <c:pt idx="39">
                  <c:v>111.19</c:v>
                </c:pt>
                <c:pt idx="40">
                  <c:v>112.62</c:v>
                </c:pt>
                <c:pt idx="41">
                  <c:v>113.9</c:v>
                </c:pt>
                <c:pt idx="42">
                  <c:v>114.96</c:v>
                </c:pt>
                <c:pt idx="43">
                  <c:v>115.91</c:v>
                </c:pt>
                <c:pt idx="44">
                  <c:v>116.74</c:v>
                </c:pt>
                <c:pt idx="45">
                  <c:v>117.41</c:v>
                </c:pt>
                <c:pt idx="46">
                  <c:v>118.07</c:v>
                </c:pt>
                <c:pt idx="47">
                  <c:v>118.57</c:v>
                </c:pt>
                <c:pt idx="48">
                  <c:v>119.06</c:v>
                </c:pt>
                <c:pt idx="49">
                  <c:v>119.44</c:v>
                </c:pt>
                <c:pt idx="50">
                  <c:v>119.8</c:v>
                </c:pt>
                <c:pt idx="51">
                  <c:v>120.1</c:v>
                </c:pt>
                <c:pt idx="52">
                  <c:v>120.39</c:v>
                </c:pt>
                <c:pt idx="53">
                  <c:v>120.6</c:v>
                </c:pt>
                <c:pt idx="54">
                  <c:v>120.8</c:v>
                </c:pt>
                <c:pt idx="55">
                  <c:v>120.99</c:v>
                </c:pt>
                <c:pt idx="56">
                  <c:v>121.13</c:v>
                </c:pt>
                <c:pt idx="57">
                  <c:v>121.21</c:v>
                </c:pt>
                <c:pt idx="58">
                  <c:v>121.38</c:v>
                </c:pt>
                <c:pt idx="59">
                  <c:v>121.42</c:v>
                </c:pt>
                <c:pt idx="60">
                  <c:v>121.58</c:v>
                </c:pt>
                <c:pt idx="61">
                  <c:v>121.57</c:v>
                </c:pt>
                <c:pt idx="62">
                  <c:v>121.7</c:v>
                </c:pt>
                <c:pt idx="63">
                  <c:v>121.66</c:v>
                </c:pt>
                <c:pt idx="64">
                  <c:v>121.81</c:v>
                </c:pt>
                <c:pt idx="65">
                  <c:v>121.78</c:v>
                </c:pt>
                <c:pt idx="66">
                  <c:v>121.91</c:v>
                </c:pt>
                <c:pt idx="67">
                  <c:v>121.92</c:v>
                </c:pt>
                <c:pt idx="68">
                  <c:v>121.87</c:v>
                </c:pt>
                <c:pt idx="69">
                  <c:v>122</c:v>
                </c:pt>
                <c:pt idx="70">
                  <c:v>121.92</c:v>
                </c:pt>
                <c:pt idx="71">
                  <c:v>122.1</c:v>
                </c:pt>
                <c:pt idx="72">
                  <c:v>122.02</c:v>
                </c:pt>
                <c:pt idx="73">
                  <c:v>122.05</c:v>
                </c:pt>
                <c:pt idx="74">
                  <c:v>122.04</c:v>
                </c:pt>
                <c:pt idx="75">
                  <c:v>122.02</c:v>
                </c:pt>
                <c:pt idx="76">
                  <c:v>122.09</c:v>
                </c:pt>
                <c:pt idx="77">
                  <c:v>122.03</c:v>
                </c:pt>
                <c:pt idx="78">
                  <c:v>122.08</c:v>
                </c:pt>
                <c:pt idx="79">
                  <c:v>122.07</c:v>
                </c:pt>
                <c:pt idx="80">
                  <c:v>122.09</c:v>
                </c:pt>
                <c:pt idx="81">
                  <c:v>122.07</c:v>
                </c:pt>
                <c:pt idx="82">
                  <c:v>122.09</c:v>
                </c:pt>
                <c:pt idx="83">
                  <c:v>122.12</c:v>
                </c:pt>
                <c:pt idx="84">
                  <c:v>122.11</c:v>
                </c:pt>
                <c:pt idx="85">
                  <c:v>122.12</c:v>
                </c:pt>
                <c:pt idx="86">
                  <c:v>122.1</c:v>
                </c:pt>
                <c:pt idx="87">
                  <c:v>122.13</c:v>
                </c:pt>
                <c:pt idx="88">
                  <c:v>122.12</c:v>
                </c:pt>
                <c:pt idx="89">
                  <c:v>122.15</c:v>
                </c:pt>
                <c:pt idx="90">
                  <c:v>122.14</c:v>
                </c:pt>
                <c:pt idx="91">
                  <c:v>122.18</c:v>
                </c:pt>
                <c:pt idx="92">
                  <c:v>122.13</c:v>
                </c:pt>
                <c:pt idx="93">
                  <c:v>122.17</c:v>
                </c:pt>
                <c:pt idx="94">
                  <c:v>122.15</c:v>
                </c:pt>
                <c:pt idx="95">
                  <c:v>122.17</c:v>
                </c:pt>
                <c:pt idx="96">
                  <c:v>122.13</c:v>
                </c:pt>
                <c:pt idx="97">
                  <c:v>122.2</c:v>
                </c:pt>
                <c:pt idx="98">
                  <c:v>122.14</c:v>
                </c:pt>
                <c:pt idx="99">
                  <c:v>118.55</c:v>
                </c:pt>
                <c:pt idx="100">
                  <c:v>112.77</c:v>
                </c:pt>
                <c:pt idx="101">
                  <c:v>107.25</c:v>
                </c:pt>
                <c:pt idx="102">
                  <c:v>102.66</c:v>
                </c:pt>
                <c:pt idx="103">
                  <c:v>99.1</c:v>
                </c:pt>
                <c:pt idx="104">
                  <c:v>96.5</c:v>
                </c:pt>
                <c:pt idx="105">
                  <c:v>94.75</c:v>
                </c:pt>
                <c:pt idx="106">
                  <c:v>93.67</c:v>
                </c:pt>
                <c:pt idx="107">
                  <c:v>93.13</c:v>
                </c:pt>
                <c:pt idx="108">
                  <c:v>92.9</c:v>
                </c:pt>
                <c:pt idx="109">
                  <c:v>92.81</c:v>
                </c:pt>
                <c:pt idx="110">
                  <c:v>92.7</c:v>
                </c:pt>
                <c:pt idx="111">
                  <c:v>92.64</c:v>
                </c:pt>
                <c:pt idx="112">
                  <c:v>92.62</c:v>
                </c:pt>
                <c:pt idx="113">
                  <c:v>92.61</c:v>
                </c:pt>
                <c:pt idx="114">
                  <c:v>92.61</c:v>
                </c:pt>
                <c:pt idx="115">
                  <c:v>92.56</c:v>
                </c:pt>
                <c:pt idx="116">
                  <c:v>92.43</c:v>
                </c:pt>
                <c:pt idx="117">
                  <c:v>92.23</c:v>
                </c:pt>
                <c:pt idx="118">
                  <c:v>92.02</c:v>
                </c:pt>
                <c:pt idx="119">
                  <c:v>90.59</c:v>
                </c:pt>
                <c:pt idx="120">
                  <c:v>52.27</c:v>
                </c:pt>
                <c:pt idx="121">
                  <c:v>42.05</c:v>
                </c:pt>
                <c:pt idx="122">
                  <c:v>37.04</c:v>
                </c:pt>
                <c:pt idx="123">
                  <c:v>38.950000000000003</c:v>
                </c:pt>
                <c:pt idx="124">
                  <c:v>41.26</c:v>
                </c:pt>
                <c:pt idx="125">
                  <c:v>42.06</c:v>
                </c:pt>
                <c:pt idx="126">
                  <c:v>42.09</c:v>
                </c:pt>
                <c:pt idx="127">
                  <c:v>38.520000000000003</c:v>
                </c:pt>
                <c:pt idx="128">
                  <c:v>38.43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B5DA-4F84-9324-29D21B2F54BA}"/>
            </c:ext>
          </c:extLst>
        </c:ser>
        <c:ser>
          <c:idx val="6"/>
          <c:order val="6"/>
          <c:tx>
            <c:strRef>
              <c:f>'DESEMPEÑO  TEMP1'!$BH$30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'DESEMPEÑO  TEMP1'!$B$31:$B$159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TEMP1'!$BH$31:$BH$159</c:f>
              <c:numCache>
                <c:formatCode>0.0</c:formatCode>
                <c:ptCount val="129"/>
                <c:pt idx="0">
                  <c:v>23.48</c:v>
                </c:pt>
                <c:pt idx="1">
                  <c:v>23.75</c:v>
                </c:pt>
                <c:pt idx="2">
                  <c:v>25.57</c:v>
                </c:pt>
                <c:pt idx="3">
                  <c:v>24.08</c:v>
                </c:pt>
                <c:pt idx="4">
                  <c:v>24.33</c:v>
                </c:pt>
                <c:pt idx="5">
                  <c:v>24.4</c:v>
                </c:pt>
                <c:pt idx="6">
                  <c:v>24.24</c:v>
                </c:pt>
                <c:pt idx="7">
                  <c:v>24.89</c:v>
                </c:pt>
                <c:pt idx="8">
                  <c:v>23.99</c:v>
                </c:pt>
                <c:pt idx="9">
                  <c:v>23.23</c:v>
                </c:pt>
                <c:pt idx="10">
                  <c:v>23.05</c:v>
                </c:pt>
                <c:pt idx="11">
                  <c:v>22.75</c:v>
                </c:pt>
                <c:pt idx="12">
                  <c:v>22.94</c:v>
                </c:pt>
                <c:pt idx="13">
                  <c:v>23.09</c:v>
                </c:pt>
                <c:pt idx="14">
                  <c:v>20.66</c:v>
                </c:pt>
                <c:pt idx="15">
                  <c:v>20.2</c:v>
                </c:pt>
                <c:pt idx="16">
                  <c:v>20.62</c:v>
                </c:pt>
                <c:pt idx="17">
                  <c:v>21.39</c:v>
                </c:pt>
                <c:pt idx="18">
                  <c:v>21.95</c:v>
                </c:pt>
                <c:pt idx="19">
                  <c:v>22.72</c:v>
                </c:pt>
                <c:pt idx="20">
                  <c:v>23.71</c:v>
                </c:pt>
                <c:pt idx="21">
                  <c:v>27.72</c:v>
                </c:pt>
                <c:pt idx="22">
                  <c:v>46.68</c:v>
                </c:pt>
                <c:pt idx="23">
                  <c:v>60.47</c:v>
                </c:pt>
                <c:pt idx="24">
                  <c:v>70.650000000000006</c:v>
                </c:pt>
                <c:pt idx="25">
                  <c:v>78.52</c:v>
                </c:pt>
                <c:pt idx="26">
                  <c:v>84.27</c:v>
                </c:pt>
                <c:pt idx="27">
                  <c:v>89.19</c:v>
                </c:pt>
                <c:pt idx="28">
                  <c:v>93.49</c:v>
                </c:pt>
                <c:pt idx="29">
                  <c:v>97.23</c:v>
                </c:pt>
                <c:pt idx="30">
                  <c:v>100.46</c:v>
                </c:pt>
                <c:pt idx="31">
                  <c:v>103.33</c:v>
                </c:pt>
                <c:pt idx="32">
                  <c:v>105.9</c:v>
                </c:pt>
                <c:pt idx="33">
                  <c:v>108.22</c:v>
                </c:pt>
                <c:pt idx="34">
                  <c:v>110.29</c:v>
                </c:pt>
                <c:pt idx="35">
                  <c:v>112.22</c:v>
                </c:pt>
                <c:pt idx="36">
                  <c:v>114.03</c:v>
                </c:pt>
                <c:pt idx="37">
                  <c:v>115.44</c:v>
                </c:pt>
                <c:pt idx="38">
                  <c:v>115.64</c:v>
                </c:pt>
                <c:pt idx="39">
                  <c:v>116.91</c:v>
                </c:pt>
                <c:pt idx="40">
                  <c:v>117.7</c:v>
                </c:pt>
                <c:pt idx="41">
                  <c:v>117.93</c:v>
                </c:pt>
                <c:pt idx="42">
                  <c:v>118.77</c:v>
                </c:pt>
                <c:pt idx="43">
                  <c:v>118.89</c:v>
                </c:pt>
                <c:pt idx="44">
                  <c:v>119.49</c:v>
                </c:pt>
                <c:pt idx="45">
                  <c:v>119.94</c:v>
                </c:pt>
                <c:pt idx="46">
                  <c:v>119.94</c:v>
                </c:pt>
                <c:pt idx="47">
                  <c:v>120.49</c:v>
                </c:pt>
                <c:pt idx="48">
                  <c:v>120.22</c:v>
                </c:pt>
                <c:pt idx="49">
                  <c:v>120.83</c:v>
                </c:pt>
                <c:pt idx="50">
                  <c:v>120.38</c:v>
                </c:pt>
                <c:pt idx="51">
                  <c:v>121.22</c:v>
                </c:pt>
                <c:pt idx="52">
                  <c:v>120.76</c:v>
                </c:pt>
                <c:pt idx="53">
                  <c:v>121.36</c:v>
                </c:pt>
                <c:pt idx="54">
                  <c:v>121.58</c:v>
                </c:pt>
                <c:pt idx="55">
                  <c:v>121.35</c:v>
                </c:pt>
                <c:pt idx="56">
                  <c:v>121.69</c:v>
                </c:pt>
                <c:pt idx="57">
                  <c:v>121.28</c:v>
                </c:pt>
                <c:pt idx="58">
                  <c:v>121.91</c:v>
                </c:pt>
                <c:pt idx="59">
                  <c:v>121.19</c:v>
                </c:pt>
                <c:pt idx="60">
                  <c:v>122.08</c:v>
                </c:pt>
                <c:pt idx="61">
                  <c:v>121.68</c:v>
                </c:pt>
                <c:pt idx="62">
                  <c:v>121.92</c:v>
                </c:pt>
                <c:pt idx="63">
                  <c:v>122.26</c:v>
                </c:pt>
                <c:pt idx="64">
                  <c:v>121.72</c:v>
                </c:pt>
                <c:pt idx="65">
                  <c:v>122.3</c:v>
                </c:pt>
                <c:pt idx="66">
                  <c:v>121.5</c:v>
                </c:pt>
                <c:pt idx="67">
                  <c:v>122.3</c:v>
                </c:pt>
                <c:pt idx="68">
                  <c:v>122.41</c:v>
                </c:pt>
                <c:pt idx="69">
                  <c:v>122.1</c:v>
                </c:pt>
                <c:pt idx="70">
                  <c:v>122.51</c:v>
                </c:pt>
                <c:pt idx="71">
                  <c:v>121.83</c:v>
                </c:pt>
                <c:pt idx="72">
                  <c:v>122.64</c:v>
                </c:pt>
                <c:pt idx="73">
                  <c:v>121.64</c:v>
                </c:pt>
                <c:pt idx="74">
                  <c:v>122.44</c:v>
                </c:pt>
                <c:pt idx="75">
                  <c:v>122.59</c:v>
                </c:pt>
                <c:pt idx="76">
                  <c:v>122.04</c:v>
                </c:pt>
                <c:pt idx="77">
                  <c:v>122.72</c:v>
                </c:pt>
                <c:pt idx="78">
                  <c:v>121.83</c:v>
                </c:pt>
                <c:pt idx="79">
                  <c:v>122.78</c:v>
                </c:pt>
                <c:pt idx="80">
                  <c:v>121.7</c:v>
                </c:pt>
                <c:pt idx="81">
                  <c:v>122.75</c:v>
                </c:pt>
                <c:pt idx="82">
                  <c:v>121.67</c:v>
                </c:pt>
                <c:pt idx="83">
                  <c:v>122.69</c:v>
                </c:pt>
                <c:pt idx="84">
                  <c:v>121.76</c:v>
                </c:pt>
                <c:pt idx="85">
                  <c:v>122.59</c:v>
                </c:pt>
                <c:pt idx="86">
                  <c:v>122.15</c:v>
                </c:pt>
                <c:pt idx="87">
                  <c:v>122.53</c:v>
                </c:pt>
                <c:pt idx="88">
                  <c:v>122.33</c:v>
                </c:pt>
                <c:pt idx="89">
                  <c:v>122.46</c:v>
                </c:pt>
                <c:pt idx="90">
                  <c:v>122.85</c:v>
                </c:pt>
                <c:pt idx="91">
                  <c:v>122.33</c:v>
                </c:pt>
                <c:pt idx="92">
                  <c:v>122.85</c:v>
                </c:pt>
                <c:pt idx="93">
                  <c:v>122.16</c:v>
                </c:pt>
                <c:pt idx="94">
                  <c:v>122.89</c:v>
                </c:pt>
                <c:pt idx="95">
                  <c:v>122.05</c:v>
                </c:pt>
                <c:pt idx="96">
                  <c:v>122.78</c:v>
                </c:pt>
                <c:pt idx="97">
                  <c:v>121.96</c:v>
                </c:pt>
                <c:pt idx="98">
                  <c:v>122.65</c:v>
                </c:pt>
                <c:pt idx="99">
                  <c:v>117.34</c:v>
                </c:pt>
                <c:pt idx="100">
                  <c:v>111.34</c:v>
                </c:pt>
                <c:pt idx="101">
                  <c:v>105.97</c:v>
                </c:pt>
                <c:pt idx="102">
                  <c:v>101.57</c:v>
                </c:pt>
                <c:pt idx="103">
                  <c:v>98.13</c:v>
                </c:pt>
                <c:pt idx="104">
                  <c:v>95.62</c:v>
                </c:pt>
                <c:pt idx="105">
                  <c:v>94.06</c:v>
                </c:pt>
                <c:pt idx="106">
                  <c:v>93.04</c:v>
                </c:pt>
                <c:pt idx="107">
                  <c:v>92.67</c:v>
                </c:pt>
                <c:pt idx="108">
                  <c:v>92.5</c:v>
                </c:pt>
                <c:pt idx="109">
                  <c:v>92.42</c:v>
                </c:pt>
                <c:pt idx="110">
                  <c:v>92.35</c:v>
                </c:pt>
                <c:pt idx="111">
                  <c:v>92.27</c:v>
                </c:pt>
                <c:pt idx="112">
                  <c:v>92.33</c:v>
                </c:pt>
                <c:pt idx="113">
                  <c:v>92.3</c:v>
                </c:pt>
                <c:pt idx="114">
                  <c:v>92.25</c:v>
                </c:pt>
                <c:pt idx="115">
                  <c:v>92.21</c:v>
                </c:pt>
                <c:pt idx="116">
                  <c:v>91.97</c:v>
                </c:pt>
                <c:pt idx="117">
                  <c:v>91.94</c:v>
                </c:pt>
                <c:pt idx="118">
                  <c:v>91.62</c:v>
                </c:pt>
                <c:pt idx="119">
                  <c:v>90.88</c:v>
                </c:pt>
                <c:pt idx="120">
                  <c:v>90.38</c:v>
                </c:pt>
                <c:pt idx="121">
                  <c:v>89.93</c:v>
                </c:pt>
                <c:pt idx="122">
                  <c:v>89.55</c:v>
                </c:pt>
                <c:pt idx="123">
                  <c:v>88.93</c:v>
                </c:pt>
                <c:pt idx="124">
                  <c:v>86.62</c:v>
                </c:pt>
                <c:pt idx="125">
                  <c:v>36.020000000000003</c:v>
                </c:pt>
                <c:pt idx="126">
                  <c:v>32.61</c:v>
                </c:pt>
                <c:pt idx="127">
                  <c:v>30.62</c:v>
                </c:pt>
                <c:pt idx="128">
                  <c:v>29.85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B5DA-4F84-9324-29D21B2F54BA}"/>
            </c:ext>
          </c:extLst>
        </c:ser>
        <c:ser>
          <c:idx val="7"/>
          <c:order val="7"/>
          <c:tx>
            <c:strRef>
              <c:f>'DESEMPEÑO  TEMP1'!$BI$30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'DESEMPEÑO  TEMP1'!$B$31:$B$159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TEMP1'!$BI$31:$BI$159</c:f>
              <c:numCache>
                <c:formatCode>0.0</c:formatCode>
                <c:ptCount val="129"/>
                <c:pt idx="0">
                  <c:v>23.81</c:v>
                </c:pt>
                <c:pt idx="1">
                  <c:v>24</c:v>
                </c:pt>
                <c:pt idx="2">
                  <c:v>24.19</c:v>
                </c:pt>
                <c:pt idx="3">
                  <c:v>24.11</c:v>
                </c:pt>
                <c:pt idx="4">
                  <c:v>28.81</c:v>
                </c:pt>
                <c:pt idx="5">
                  <c:v>25.25</c:v>
                </c:pt>
                <c:pt idx="6">
                  <c:v>24.94</c:v>
                </c:pt>
                <c:pt idx="7">
                  <c:v>24.99</c:v>
                </c:pt>
                <c:pt idx="8">
                  <c:v>26.2</c:v>
                </c:pt>
                <c:pt idx="9">
                  <c:v>23.53</c:v>
                </c:pt>
                <c:pt idx="10">
                  <c:v>23.14</c:v>
                </c:pt>
                <c:pt idx="11">
                  <c:v>22.86</c:v>
                </c:pt>
                <c:pt idx="12">
                  <c:v>23.03</c:v>
                </c:pt>
                <c:pt idx="13">
                  <c:v>23.12</c:v>
                </c:pt>
                <c:pt idx="14">
                  <c:v>23.04</c:v>
                </c:pt>
                <c:pt idx="15">
                  <c:v>24.23</c:v>
                </c:pt>
                <c:pt idx="16">
                  <c:v>24.13</c:v>
                </c:pt>
                <c:pt idx="17">
                  <c:v>29.36</c:v>
                </c:pt>
                <c:pt idx="18">
                  <c:v>31.03</c:v>
                </c:pt>
                <c:pt idx="19">
                  <c:v>44.58</c:v>
                </c:pt>
                <c:pt idx="20">
                  <c:v>55.96</c:v>
                </c:pt>
                <c:pt idx="21">
                  <c:v>81.349999999999994</c:v>
                </c:pt>
                <c:pt idx="22">
                  <c:v>95.31</c:v>
                </c:pt>
                <c:pt idx="23">
                  <c:v>104.76</c:v>
                </c:pt>
                <c:pt idx="24">
                  <c:v>108.48</c:v>
                </c:pt>
                <c:pt idx="25">
                  <c:v>111.65</c:v>
                </c:pt>
                <c:pt idx="26">
                  <c:v>113.85</c:v>
                </c:pt>
                <c:pt idx="27">
                  <c:v>115.8</c:v>
                </c:pt>
                <c:pt idx="28">
                  <c:v>117.68</c:v>
                </c:pt>
                <c:pt idx="29">
                  <c:v>118.94</c:v>
                </c:pt>
                <c:pt idx="30">
                  <c:v>120.03</c:v>
                </c:pt>
                <c:pt idx="31">
                  <c:v>121.26</c:v>
                </c:pt>
                <c:pt idx="32">
                  <c:v>122.33</c:v>
                </c:pt>
                <c:pt idx="33">
                  <c:v>123.3</c:v>
                </c:pt>
                <c:pt idx="34">
                  <c:v>124.26</c:v>
                </c:pt>
                <c:pt idx="35">
                  <c:v>125.34</c:v>
                </c:pt>
                <c:pt idx="36">
                  <c:v>126.5</c:v>
                </c:pt>
                <c:pt idx="37">
                  <c:v>124.78</c:v>
                </c:pt>
                <c:pt idx="38">
                  <c:v>121.87</c:v>
                </c:pt>
                <c:pt idx="39">
                  <c:v>123.56</c:v>
                </c:pt>
                <c:pt idx="40">
                  <c:v>123.26</c:v>
                </c:pt>
                <c:pt idx="41">
                  <c:v>122.65</c:v>
                </c:pt>
                <c:pt idx="42">
                  <c:v>123.85</c:v>
                </c:pt>
                <c:pt idx="43">
                  <c:v>122.64</c:v>
                </c:pt>
                <c:pt idx="44">
                  <c:v>123.59</c:v>
                </c:pt>
                <c:pt idx="45">
                  <c:v>123.29</c:v>
                </c:pt>
                <c:pt idx="46">
                  <c:v>122.73</c:v>
                </c:pt>
                <c:pt idx="47">
                  <c:v>123.16</c:v>
                </c:pt>
                <c:pt idx="48">
                  <c:v>122.42</c:v>
                </c:pt>
                <c:pt idx="49">
                  <c:v>123.12</c:v>
                </c:pt>
                <c:pt idx="50">
                  <c:v>122.2</c:v>
                </c:pt>
                <c:pt idx="51">
                  <c:v>123.22</c:v>
                </c:pt>
                <c:pt idx="52">
                  <c:v>122.3</c:v>
                </c:pt>
                <c:pt idx="53">
                  <c:v>123.07</c:v>
                </c:pt>
                <c:pt idx="54">
                  <c:v>123.03</c:v>
                </c:pt>
                <c:pt idx="55">
                  <c:v>122.9</c:v>
                </c:pt>
                <c:pt idx="56">
                  <c:v>123.01</c:v>
                </c:pt>
                <c:pt idx="57">
                  <c:v>122.36</c:v>
                </c:pt>
                <c:pt idx="58">
                  <c:v>123.03</c:v>
                </c:pt>
                <c:pt idx="59">
                  <c:v>122.03</c:v>
                </c:pt>
                <c:pt idx="60">
                  <c:v>123.07</c:v>
                </c:pt>
                <c:pt idx="61">
                  <c:v>122.4</c:v>
                </c:pt>
                <c:pt idx="62">
                  <c:v>122.76</c:v>
                </c:pt>
                <c:pt idx="63">
                  <c:v>123.01</c:v>
                </c:pt>
                <c:pt idx="64">
                  <c:v>122.37</c:v>
                </c:pt>
                <c:pt idx="65">
                  <c:v>122.99</c:v>
                </c:pt>
                <c:pt idx="66">
                  <c:v>121.96</c:v>
                </c:pt>
                <c:pt idx="67">
                  <c:v>122.89</c:v>
                </c:pt>
                <c:pt idx="68">
                  <c:v>122.86</c:v>
                </c:pt>
                <c:pt idx="69">
                  <c:v>122.55</c:v>
                </c:pt>
                <c:pt idx="70">
                  <c:v>122.95</c:v>
                </c:pt>
                <c:pt idx="71">
                  <c:v>122.17</c:v>
                </c:pt>
                <c:pt idx="72">
                  <c:v>123.05</c:v>
                </c:pt>
                <c:pt idx="73">
                  <c:v>121.86</c:v>
                </c:pt>
                <c:pt idx="74">
                  <c:v>122.78</c:v>
                </c:pt>
                <c:pt idx="75">
                  <c:v>122.89</c:v>
                </c:pt>
                <c:pt idx="76">
                  <c:v>122.29</c:v>
                </c:pt>
                <c:pt idx="77">
                  <c:v>123.02</c:v>
                </c:pt>
                <c:pt idx="78">
                  <c:v>122</c:v>
                </c:pt>
                <c:pt idx="79">
                  <c:v>123.06</c:v>
                </c:pt>
                <c:pt idx="80">
                  <c:v>121.82</c:v>
                </c:pt>
                <c:pt idx="81">
                  <c:v>122.99</c:v>
                </c:pt>
                <c:pt idx="82">
                  <c:v>121.76</c:v>
                </c:pt>
                <c:pt idx="83">
                  <c:v>122.9</c:v>
                </c:pt>
                <c:pt idx="84">
                  <c:v>121.82</c:v>
                </c:pt>
                <c:pt idx="85">
                  <c:v>122.78</c:v>
                </c:pt>
                <c:pt idx="86">
                  <c:v>122.23</c:v>
                </c:pt>
                <c:pt idx="87">
                  <c:v>122.7</c:v>
                </c:pt>
                <c:pt idx="88">
                  <c:v>122.42</c:v>
                </c:pt>
                <c:pt idx="89">
                  <c:v>122.6</c:v>
                </c:pt>
                <c:pt idx="90">
                  <c:v>123.01</c:v>
                </c:pt>
                <c:pt idx="91">
                  <c:v>122.45</c:v>
                </c:pt>
                <c:pt idx="92">
                  <c:v>123.01</c:v>
                </c:pt>
                <c:pt idx="93">
                  <c:v>122.25</c:v>
                </c:pt>
                <c:pt idx="94">
                  <c:v>123.04</c:v>
                </c:pt>
                <c:pt idx="95">
                  <c:v>122.12</c:v>
                </c:pt>
                <c:pt idx="96">
                  <c:v>122.93</c:v>
                </c:pt>
                <c:pt idx="97">
                  <c:v>122.02</c:v>
                </c:pt>
                <c:pt idx="98">
                  <c:v>122.79</c:v>
                </c:pt>
                <c:pt idx="99">
                  <c:v>116.9</c:v>
                </c:pt>
                <c:pt idx="100">
                  <c:v>110.96</c:v>
                </c:pt>
                <c:pt idx="101">
                  <c:v>105.95</c:v>
                </c:pt>
                <c:pt idx="102">
                  <c:v>103.38</c:v>
                </c:pt>
                <c:pt idx="103">
                  <c:v>101.27</c:v>
                </c:pt>
                <c:pt idx="104">
                  <c:v>100.14</c:v>
                </c:pt>
                <c:pt idx="105">
                  <c:v>102.85</c:v>
                </c:pt>
                <c:pt idx="106">
                  <c:v>103.89</c:v>
                </c:pt>
                <c:pt idx="107">
                  <c:v>104.64</c:v>
                </c:pt>
                <c:pt idx="108">
                  <c:v>105.13</c:v>
                </c:pt>
                <c:pt idx="109">
                  <c:v>105.4</c:v>
                </c:pt>
                <c:pt idx="110">
                  <c:v>105.53</c:v>
                </c:pt>
                <c:pt idx="111">
                  <c:v>105.55</c:v>
                </c:pt>
                <c:pt idx="112">
                  <c:v>105.56</c:v>
                </c:pt>
                <c:pt idx="113">
                  <c:v>105.49</c:v>
                </c:pt>
                <c:pt idx="114">
                  <c:v>105.38</c:v>
                </c:pt>
                <c:pt idx="115">
                  <c:v>105.27</c:v>
                </c:pt>
                <c:pt idx="116">
                  <c:v>90.62</c:v>
                </c:pt>
                <c:pt idx="117">
                  <c:v>44.35</c:v>
                </c:pt>
                <c:pt idx="118">
                  <c:v>32.729999999999997</c:v>
                </c:pt>
                <c:pt idx="119">
                  <c:v>32.89</c:v>
                </c:pt>
                <c:pt idx="120">
                  <c:v>32.71</c:v>
                </c:pt>
                <c:pt idx="121">
                  <c:v>33.4</c:v>
                </c:pt>
                <c:pt idx="122">
                  <c:v>32.71</c:v>
                </c:pt>
                <c:pt idx="123">
                  <c:v>31.78</c:v>
                </c:pt>
                <c:pt idx="124">
                  <c:v>31.37</c:v>
                </c:pt>
                <c:pt idx="125">
                  <c:v>32.01</c:v>
                </c:pt>
                <c:pt idx="126">
                  <c:v>31.1</c:v>
                </c:pt>
                <c:pt idx="127">
                  <c:v>30.8</c:v>
                </c:pt>
                <c:pt idx="128">
                  <c:v>29.75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B5DA-4F84-9324-29D21B2F54BA}"/>
            </c:ext>
          </c:extLst>
        </c:ser>
        <c:ser>
          <c:idx val="8"/>
          <c:order val="8"/>
          <c:tx>
            <c:strRef>
              <c:f>'DESEMPEÑO  TEMP1'!$BJ$30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'DESEMPEÑO  TEMP1'!$B$31:$B$159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TEMP1'!$BJ$31:$BJ$159</c:f>
              <c:numCache>
                <c:formatCode>0.0</c:formatCode>
                <c:ptCount val="129"/>
                <c:pt idx="0">
                  <c:v>23.51</c:v>
                </c:pt>
                <c:pt idx="1">
                  <c:v>23.58</c:v>
                </c:pt>
                <c:pt idx="2">
                  <c:v>23.95</c:v>
                </c:pt>
                <c:pt idx="3">
                  <c:v>23.84</c:v>
                </c:pt>
                <c:pt idx="4">
                  <c:v>24.07</c:v>
                </c:pt>
                <c:pt idx="5">
                  <c:v>24.18</c:v>
                </c:pt>
                <c:pt idx="6">
                  <c:v>25.04</c:v>
                </c:pt>
                <c:pt idx="7">
                  <c:v>27.71</c:v>
                </c:pt>
                <c:pt idx="8">
                  <c:v>26.99</c:v>
                </c:pt>
                <c:pt idx="9">
                  <c:v>23.53</c:v>
                </c:pt>
                <c:pt idx="10">
                  <c:v>23.02</c:v>
                </c:pt>
                <c:pt idx="11">
                  <c:v>22.66</c:v>
                </c:pt>
                <c:pt idx="12">
                  <c:v>22.83</c:v>
                </c:pt>
                <c:pt idx="13">
                  <c:v>22.93</c:v>
                </c:pt>
                <c:pt idx="14">
                  <c:v>22.87</c:v>
                </c:pt>
                <c:pt idx="15">
                  <c:v>23.99</c:v>
                </c:pt>
                <c:pt idx="16">
                  <c:v>23.9</c:v>
                </c:pt>
                <c:pt idx="17">
                  <c:v>23.9</c:v>
                </c:pt>
                <c:pt idx="18">
                  <c:v>30.77</c:v>
                </c:pt>
                <c:pt idx="19">
                  <c:v>46.36</c:v>
                </c:pt>
                <c:pt idx="20">
                  <c:v>58.38</c:v>
                </c:pt>
                <c:pt idx="21">
                  <c:v>84.58</c:v>
                </c:pt>
                <c:pt idx="22">
                  <c:v>94.9</c:v>
                </c:pt>
                <c:pt idx="23">
                  <c:v>102.45</c:v>
                </c:pt>
                <c:pt idx="24">
                  <c:v>109.33</c:v>
                </c:pt>
                <c:pt idx="25">
                  <c:v>111.14</c:v>
                </c:pt>
                <c:pt idx="26">
                  <c:v>113.59</c:v>
                </c:pt>
                <c:pt idx="27">
                  <c:v>114.64</c:v>
                </c:pt>
                <c:pt idx="28">
                  <c:v>117.08</c:v>
                </c:pt>
                <c:pt idx="29">
                  <c:v>116.65</c:v>
                </c:pt>
                <c:pt idx="30">
                  <c:v>118.84</c:v>
                </c:pt>
                <c:pt idx="31">
                  <c:v>118.92</c:v>
                </c:pt>
                <c:pt idx="32">
                  <c:v>120.43</c:v>
                </c:pt>
                <c:pt idx="33">
                  <c:v>121.88</c:v>
                </c:pt>
                <c:pt idx="34">
                  <c:v>122.96</c:v>
                </c:pt>
                <c:pt idx="35">
                  <c:v>123.14</c:v>
                </c:pt>
                <c:pt idx="36">
                  <c:v>123.55</c:v>
                </c:pt>
                <c:pt idx="37">
                  <c:v>123.52</c:v>
                </c:pt>
                <c:pt idx="38">
                  <c:v>121.46</c:v>
                </c:pt>
                <c:pt idx="39">
                  <c:v>122.79</c:v>
                </c:pt>
                <c:pt idx="40">
                  <c:v>123.17</c:v>
                </c:pt>
                <c:pt idx="41">
                  <c:v>122.02</c:v>
                </c:pt>
                <c:pt idx="42">
                  <c:v>123.02</c:v>
                </c:pt>
                <c:pt idx="43">
                  <c:v>122.46</c:v>
                </c:pt>
                <c:pt idx="44">
                  <c:v>122.6</c:v>
                </c:pt>
                <c:pt idx="45">
                  <c:v>122.98</c:v>
                </c:pt>
                <c:pt idx="46">
                  <c:v>122.3</c:v>
                </c:pt>
                <c:pt idx="47">
                  <c:v>122.99</c:v>
                </c:pt>
                <c:pt idx="48">
                  <c:v>122.09</c:v>
                </c:pt>
                <c:pt idx="49">
                  <c:v>122.83</c:v>
                </c:pt>
                <c:pt idx="50">
                  <c:v>121.95</c:v>
                </c:pt>
                <c:pt idx="51">
                  <c:v>123</c:v>
                </c:pt>
                <c:pt idx="52">
                  <c:v>122.19</c:v>
                </c:pt>
                <c:pt idx="53">
                  <c:v>122.8</c:v>
                </c:pt>
                <c:pt idx="54">
                  <c:v>122.99</c:v>
                </c:pt>
                <c:pt idx="55">
                  <c:v>122.52</c:v>
                </c:pt>
                <c:pt idx="56">
                  <c:v>122.83</c:v>
                </c:pt>
                <c:pt idx="57">
                  <c:v>122.18</c:v>
                </c:pt>
                <c:pt idx="58">
                  <c:v>122.89</c:v>
                </c:pt>
                <c:pt idx="59">
                  <c:v>121.86</c:v>
                </c:pt>
                <c:pt idx="60">
                  <c:v>122.92</c:v>
                </c:pt>
                <c:pt idx="61">
                  <c:v>122.38</c:v>
                </c:pt>
                <c:pt idx="62">
                  <c:v>122.57</c:v>
                </c:pt>
                <c:pt idx="63">
                  <c:v>122.91</c:v>
                </c:pt>
                <c:pt idx="64">
                  <c:v>122.2</c:v>
                </c:pt>
                <c:pt idx="65">
                  <c:v>122.85</c:v>
                </c:pt>
                <c:pt idx="66">
                  <c:v>121.82</c:v>
                </c:pt>
                <c:pt idx="67">
                  <c:v>122.76</c:v>
                </c:pt>
                <c:pt idx="68">
                  <c:v>122.91</c:v>
                </c:pt>
                <c:pt idx="69">
                  <c:v>122.41</c:v>
                </c:pt>
                <c:pt idx="70">
                  <c:v>122.89</c:v>
                </c:pt>
                <c:pt idx="71">
                  <c:v>122.04</c:v>
                </c:pt>
                <c:pt idx="72">
                  <c:v>122.98</c:v>
                </c:pt>
                <c:pt idx="73">
                  <c:v>121.75</c:v>
                </c:pt>
                <c:pt idx="74">
                  <c:v>122.67</c:v>
                </c:pt>
                <c:pt idx="75">
                  <c:v>122.93</c:v>
                </c:pt>
                <c:pt idx="76">
                  <c:v>122.17</c:v>
                </c:pt>
                <c:pt idx="77">
                  <c:v>122.93</c:v>
                </c:pt>
                <c:pt idx="78">
                  <c:v>121.89</c:v>
                </c:pt>
                <c:pt idx="79">
                  <c:v>122.98</c:v>
                </c:pt>
                <c:pt idx="80">
                  <c:v>121.7</c:v>
                </c:pt>
                <c:pt idx="81">
                  <c:v>122.9</c:v>
                </c:pt>
                <c:pt idx="82">
                  <c:v>121.65</c:v>
                </c:pt>
                <c:pt idx="83">
                  <c:v>122.78</c:v>
                </c:pt>
                <c:pt idx="84">
                  <c:v>121.76</c:v>
                </c:pt>
                <c:pt idx="85">
                  <c:v>122.67</c:v>
                </c:pt>
                <c:pt idx="86">
                  <c:v>122.26</c:v>
                </c:pt>
                <c:pt idx="87">
                  <c:v>122.59</c:v>
                </c:pt>
                <c:pt idx="88">
                  <c:v>122.46</c:v>
                </c:pt>
                <c:pt idx="89">
                  <c:v>122.48</c:v>
                </c:pt>
                <c:pt idx="90">
                  <c:v>122.98</c:v>
                </c:pt>
                <c:pt idx="91">
                  <c:v>122.34</c:v>
                </c:pt>
                <c:pt idx="92">
                  <c:v>122.96</c:v>
                </c:pt>
                <c:pt idx="93">
                  <c:v>122.14</c:v>
                </c:pt>
                <c:pt idx="94">
                  <c:v>122.97</c:v>
                </c:pt>
                <c:pt idx="95">
                  <c:v>122.01</c:v>
                </c:pt>
                <c:pt idx="96">
                  <c:v>122.83</c:v>
                </c:pt>
                <c:pt idx="97">
                  <c:v>121.92</c:v>
                </c:pt>
                <c:pt idx="98">
                  <c:v>122.66</c:v>
                </c:pt>
                <c:pt idx="99">
                  <c:v>116.66</c:v>
                </c:pt>
                <c:pt idx="100">
                  <c:v>110.7</c:v>
                </c:pt>
                <c:pt idx="101">
                  <c:v>105.37</c:v>
                </c:pt>
                <c:pt idx="102">
                  <c:v>101.09</c:v>
                </c:pt>
                <c:pt idx="103">
                  <c:v>98.03</c:v>
                </c:pt>
                <c:pt idx="104">
                  <c:v>95.7</c:v>
                </c:pt>
                <c:pt idx="105">
                  <c:v>94.23</c:v>
                </c:pt>
                <c:pt idx="106">
                  <c:v>93.36</c:v>
                </c:pt>
                <c:pt idx="107">
                  <c:v>93.06</c:v>
                </c:pt>
                <c:pt idx="108">
                  <c:v>92.92</c:v>
                </c:pt>
                <c:pt idx="109">
                  <c:v>92.89</c:v>
                </c:pt>
                <c:pt idx="110">
                  <c:v>93.12</c:v>
                </c:pt>
                <c:pt idx="111">
                  <c:v>100.1</c:v>
                </c:pt>
                <c:pt idx="112">
                  <c:v>103.73</c:v>
                </c:pt>
                <c:pt idx="113">
                  <c:v>104.82</c:v>
                </c:pt>
                <c:pt idx="114">
                  <c:v>105.15</c:v>
                </c:pt>
                <c:pt idx="115">
                  <c:v>105.29</c:v>
                </c:pt>
                <c:pt idx="116">
                  <c:v>81.59</c:v>
                </c:pt>
                <c:pt idx="117">
                  <c:v>36.99</c:v>
                </c:pt>
                <c:pt idx="118">
                  <c:v>32.450000000000003</c:v>
                </c:pt>
                <c:pt idx="119">
                  <c:v>32.03</c:v>
                </c:pt>
                <c:pt idx="120">
                  <c:v>31.79</c:v>
                </c:pt>
                <c:pt idx="121">
                  <c:v>31.81</c:v>
                </c:pt>
                <c:pt idx="122">
                  <c:v>31.97</c:v>
                </c:pt>
                <c:pt idx="123">
                  <c:v>35.1</c:v>
                </c:pt>
                <c:pt idx="124">
                  <c:v>36.08</c:v>
                </c:pt>
                <c:pt idx="125">
                  <c:v>35</c:v>
                </c:pt>
                <c:pt idx="126">
                  <c:v>33.36</c:v>
                </c:pt>
                <c:pt idx="127">
                  <c:v>34.22</c:v>
                </c:pt>
                <c:pt idx="128">
                  <c:v>30.47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B5DA-4F84-9324-29D21B2F54BA}"/>
            </c:ext>
          </c:extLst>
        </c:ser>
        <c:ser>
          <c:idx val="9"/>
          <c:order val="9"/>
          <c:tx>
            <c:strRef>
              <c:f>'DESEMPEÑO  TEMP1'!$BK$30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'DESEMPEÑO  TEMP1'!$B$31:$B$159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TEMP1'!$BK$31:$BK$159</c:f>
              <c:numCache>
                <c:formatCode>0.0</c:formatCode>
                <c:ptCount val="129"/>
                <c:pt idx="0">
                  <c:v>31.58</c:v>
                </c:pt>
                <c:pt idx="1">
                  <c:v>31.33</c:v>
                </c:pt>
                <c:pt idx="2">
                  <c:v>31.11</c:v>
                </c:pt>
                <c:pt idx="3">
                  <c:v>30.88</c:v>
                </c:pt>
                <c:pt idx="4">
                  <c:v>30.66</c:v>
                </c:pt>
                <c:pt idx="5">
                  <c:v>30.47</c:v>
                </c:pt>
                <c:pt idx="6">
                  <c:v>30.28</c:v>
                </c:pt>
                <c:pt idx="7">
                  <c:v>30.09</c:v>
                </c:pt>
                <c:pt idx="8">
                  <c:v>30.03</c:v>
                </c:pt>
                <c:pt idx="9">
                  <c:v>29.96</c:v>
                </c:pt>
                <c:pt idx="10">
                  <c:v>29.8</c:v>
                </c:pt>
                <c:pt idx="11">
                  <c:v>29.62</c:v>
                </c:pt>
                <c:pt idx="12">
                  <c:v>29.42</c:v>
                </c:pt>
                <c:pt idx="13">
                  <c:v>29.23</c:v>
                </c:pt>
                <c:pt idx="14">
                  <c:v>29.04</c:v>
                </c:pt>
                <c:pt idx="15">
                  <c:v>28.87</c:v>
                </c:pt>
                <c:pt idx="16">
                  <c:v>28.7</c:v>
                </c:pt>
                <c:pt idx="17">
                  <c:v>28.68</c:v>
                </c:pt>
                <c:pt idx="18">
                  <c:v>28.84</c:v>
                </c:pt>
                <c:pt idx="19">
                  <c:v>28.84</c:v>
                </c:pt>
                <c:pt idx="20">
                  <c:v>30.14</c:v>
                </c:pt>
                <c:pt idx="21">
                  <c:v>33.369999999999997</c:v>
                </c:pt>
                <c:pt idx="22">
                  <c:v>50.05</c:v>
                </c:pt>
                <c:pt idx="23">
                  <c:v>64.58</c:v>
                </c:pt>
                <c:pt idx="24">
                  <c:v>76</c:v>
                </c:pt>
                <c:pt idx="25">
                  <c:v>84.79</c:v>
                </c:pt>
                <c:pt idx="26">
                  <c:v>91.52</c:v>
                </c:pt>
                <c:pt idx="27">
                  <c:v>96.76</c:v>
                </c:pt>
                <c:pt idx="28">
                  <c:v>100.94</c:v>
                </c:pt>
                <c:pt idx="29">
                  <c:v>104.4</c:v>
                </c:pt>
                <c:pt idx="30">
                  <c:v>107.29</c:v>
                </c:pt>
                <c:pt idx="31">
                  <c:v>109.78</c:v>
                </c:pt>
                <c:pt idx="32">
                  <c:v>111.93</c:v>
                </c:pt>
                <c:pt idx="33">
                  <c:v>113.83</c:v>
                </c:pt>
                <c:pt idx="34">
                  <c:v>115.46</c:v>
                </c:pt>
                <c:pt idx="35">
                  <c:v>116.96</c:v>
                </c:pt>
                <c:pt idx="36">
                  <c:v>118.38</c:v>
                </c:pt>
                <c:pt idx="37">
                  <c:v>119.61</c:v>
                </c:pt>
                <c:pt idx="38">
                  <c:v>120.16</c:v>
                </c:pt>
                <c:pt idx="39">
                  <c:v>120.68</c:v>
                </c:pt>
                <c:pt idx="40">
                  <c:v>120.88</c:v>
                </c:pt>
                <c:pt idx="41">
                  <c:v>121.32</c:v>
                </c:pt>
                <c:pt idx="42">
                  <c:v>121.51</c:v>
                </c:pt>
                <c:pt idx="43">
                  <c:v>121.62</c:v>
                </c:pt>
                <c:pt idx="44">
                  <c:v>121.92</c:v>
                </c:pt>
                <c:pt idx="45">
                  <c:v>121.91</c:v>
                </c:pt>
                <c:pt idx="46">
                  <c:v>122.16</c:v>
                </c:pt>
                <c:pt idx="47">
                  <c:v>122.15</c:v>
                </c:pt>
                <c:pt idx="48">
                  <c:v>122.29</c:v>
                </c:pt>
                <c:pt idx="49">
                  <c:v>122.31</c:v>
                </c:pt>
                <c:pt idx="50">
                  <c:v>122.36</c:v>
                </c:pt>
                <c:pt idx="51">
                  <c:v>122.43</c:v>
                </c:pt>
                <c:pt idx="52">
                  <c:v>122.4</c:v>
                </c:pt>
                <c:pt idx="53">
                  <c:v>122.51</c:v>
                </c:pt>
                <c:pt idx="54">
                  <c:v>122.41</c:v>
                </c:pt>
                <c:pt idx="55">
                  <c:v>122.55</c:v>
                </c:pt>
                <c:pt idx="56">
                  <c:v>122.45</c:v>
                </c:pt>
                <c:pt idx="57">
                  <c:v>122.54</c:v>
                </c:pt>
                <c:pt idx="58">
                  <c:v>122.48</c:v>
                </c:pt>
                <c:pt idx="59">
                  <c:v>122.5</c:v>
                </c:pt>
                <c:pt idx="60">
                  <c:v>122.52</c:v>
                </c:pt>
                <c:pt idx="61">
                  <c:v>122.44</c:v>
                </c:pt>
                <c:pt idx="62">
                  <c:v>122.56</c:v>
                </c:pt>
                <c:pt idx="63">
                  <c:v>122.43</c:v>
                </c:pt>
                <c:pt idx="64">
                  <c:v>122.55</c:v>
                </c:pt>
                <c:pt idx="65">
                  <c:v>122.48</c:v>
                </c:pt>
                <c:pt idx="66">
                  <c:v>122.49</c:v>
                </c:pt>
                <c:pt idx="67">
                  <c:v>122.53</c:v>
                </c:pt>
                <c:pt idx="68">
                  <c:v>122.42</c:v>
                </c:pt>
                <c:pt idx="69">
                  <c:v>122.54</c:v>
                </c:pt>
                <c:pt idx="70">
                  <c:v>122.44</c:v>
                </c:pt>
                <c:pt idx="71">
                  <c:v>122.53</c:v>
                </c:pt>
                <c:pt idx="72">
                  <c:v>122.49</c:v>
                </c:pt>
                <c:pt idx="73">
                  <c:v>122.47</c:v>
                </c:pt>
                <c:pt idx="74">
                  <c:v>122.53</c:v>
                </c:pt>
                <c:pt idx="75">
                  <c:v>122.39</c:v>
                </c:pt>
                <c:pt idx="76">
                  <c:v>122.51</c:v>
                </c:pt>
                <c:pt idx="77">
                  <c:v>122.43</c:v>
                </c:pt>
                <c:pt idx="78">
                  <c:v>122.47</c:v>
                </c:pt>
                <c:pt idx="79">
                  <c:v>122.46</c:v>
                </c:pt>
                <c:pt idx="80">
                  <c:v>122.43</c:v>
                </c:pt>
                <c:pt idx="81">
                  <c:v>122.47</c:v>
                </c:pt>
                <c:pt idx="82">
                  <c:v>122.42</c:v>
                </c:pt>
                <c:pt idx="83">
                  <c:v>122.5</c:v>
                </c:pt>
                <c:pt idx="84">
                  <c:v>122.4</c:v>
                </c:pt>
                <c:pt idx="85">
                  <c:v>122.5</c:v>
                </c:pt>
                <c:pt idx="86">
                  <c:v>122.38</c:v>
                </c:pt>
                <c:pt idx="87">
                  <c:v>122.51</c:v>
                </c:pt>
                <c:pt idx="88">
                  <c:v>122.37</c:v>
                </c:pt>
                <c:pt idx="89">
                  <c:v>122.52</c:v>
                </c:pt>
                <c:pt idx="90">
                  <c:v>122.37</c:v>
                </c:pt>
                <c:pt idx="91">
                  <c:v>122.52</c:v>
                </c:pt>
                <c:pt idx="92">
                  <c:v>122.4</c:v>
                </c:pt>
                <c:pt idx="93">
                  <c:v>122.5</c:v>
                </c:pt>
                <c:pt idx="94">
                  <c:v>122.41</c:v>
                </c:pt>
                <c:pt idx="95">
                  <c:v>122.48</c:v>
                </c:pt>
                <c:pt idx="96">
                  <c:v>122.43</c:v>
                </c:pt>
                <c:pt idx="97">
                  <c:v>122.46</c:v>
                </c:pt>
                <c:pt idx="98">
                  <c:v>122.45</c:v>
                </c:pt>
                <c:pt idx="99">
                  <c:v>121.72</c:v>
                </c:pt>
                <c:pt idx="100">
                  <c:v>119.53</c:v>
                </c:pt>
                <c:pt idx="101">
                  <c:v>116.51</c:v>
                </c:pt>
                <c:pt idx="102">
                  <c:v>113.18</c:v>
                </c:pt>
                <c:pt idx="103">
                  <c:v>110.15</c:v>
                </c:pt>
                <c:pt idx="104">
                  <c:v>107.76</c:v>
                </c:pt>
                <c:pt idx="105">
                  <c:v>105.88</c:v>
                </c:pt>
                <c:pt idx="106">
                  <c:v>104.47</c:v>
                </c:pt>
                <c:pt idx="107">
                  <c:v>103.34</c:v>
                </c:pt>
                <c:pt idx="108">
                  <c:v>102.39</c:v>
                </c:pt>
                <c:pt idx="109">
                  <c:v>101.56</c:v>
                </c:pt>
                <c:pt idx="110">
                  <c:v>100.83</c:v>
                </c:pt>
                <c:pt idx="111">
                  <c:v>100.17</c:v>
                </c:pt>
                <c:pt idx="112">
                  <c:v>99.57</c:v>
                </c:pt>
                <c:pt idx="113">
                  <c:v>99.01</c:v>
                </c:pt>
                <c:pt idx="114">
                  <c:v>98.52</c:v>
                </c:pt>
                <c:pt idx="115">
                  <c:v>98.06</c:v>
                </c:pt>
                <c:pt idx="116">
                  <c:v>97.64</c:v>
                </c:pt>
                <c:pt idx="117">
                  <c:v>96.41</c:v>
                </c:pt>
                <c:pt idx="118">
                  <c:v>94.01</c:v>
                </c:pt>
                <c:pt idx="119">
                  <c:v>90.96</c:v>
                </c:pt>
                <c:pt idx="120">
                  <c:v>88.01</c:v>
                </c:pt>
                <c:pt idx="121">
                  <c:v>85.1</c:v>
                </c:pt>
                <c:pt idx="122">
                  <c:v>82.36</c:v>
                </c:pt>
                <c:pt idx="123">
                  <c:v>79.75</c:v>
                </c:pt>
                <c:pt idx="124">
                  <c:v>77.33</c:v>
                </c:pt>
                <c:pt idx="125">
                  <c:v>75.12</c:v>
                </c:pt>
                <c:pt idx="126">
                  <c:v>73.11</c:v>
                </c:pt>
                <c:pt idx="127">
                  <c:v>71.28</c:v>
                </c:pt>
                <c:pt idx="128">
                  <c:v>69.64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B5DA-4F84-9324-29D21B2F54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6076712"/>
        <c:axId val="516079008"/>
      </c:lineChart>
      <c:catAx>
        <c:axId val="5160767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\ AM/PM" sourceLinked="1"/>
        <c:majorTickMark val="out"/>
        <c:minorTickMark val="none"/>
        <c:tickLblPos val="nextTo"/>
        <c:crossAx val="516079008"/>
        <c:crosses val="autoZero"/>
        <c:auto val="1"/>
        <c:lblAlgn val="ctr"/>
        <c:lblOffset val="100"/>
        <c:noMultiLvlLbl val="0"/>
      </c:catAx>
      <c:valAx>
        <c:axId val="51607900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1607671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 TEMP1'!$BB$30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'DESEMPEÑO  TEMP1'!$B$70:$B$128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TEMP1'!$BB$70:$BB$128</c:f>
              <c:numCache>
                <c:formatCode>0.0</c:formatCode>
                <c:ptCount val="59"/>
                <c:pt idx="0">
                  <c:v>95.53</c:v>
                </c:pt>
                <c:pt idx="1">
                  <c:v>97.82</c:v>
                </c:pt>
                <c:pt idx="2">
                  <c:v>100.1</c:v>
                </c:pt>
                <c:pt idx="3">
                  <c:v>102.2</c:v>
                </c:pt>
                <c:pt idx="4">
                  <c:v>104.16</c:v>
                </c:pt>
                <c:pt idx="5">
                  <c:v>105.86</c:v>
                </c:pt>
                <c:pt idx="6">
                  <c:v>107.42</c:v>
                </c:pt>
                <c:pt idx="7">
                  <c:v>108.79</c:v>
                </c:pt>
                <c:pt idx="8">
                  <c:v>110.03</c:v>
                </c:pt>
                <c:pt idx="9">
                  <c:v>111.15</c:v>
                </c:pt>
                <c:pt idx="10">
                  <c:v>112.15</c:v>
                </c:pt>
                <c:pt idx="11">
                  <c:v>113.07</c:v>
                </c:pt>
                <c:pt idx="12">
                  <c:v>113.91</c:v>
                </c:pt>
                <c:pt idx="13">
                  <c:v>114.66</c:v>
                </c:pt>
                <c:pt idx="14">
                  <c:v>115.33</c:v>
                </c:pt>
                <c:pt idx="15">
                  <c:v>115.96</c:v>
                </c:pt>
                <c:pt idx="16">
                  <c:v>116.51</c:v>
                </c:pt>
                <c:pt idx="17">
                  <c:v>117.02</c:v>
                </c:pt>
                <c:pt idx="18">
                  <c:v>117.48</c:v>
                </c:pt>
                <c:pt idx="19">
                  <c:v>117.89</c:v>
                </c:pt>
                <c:pt idx="20">
                  <c:v>118.27</c:v>
                </c:pt>
                <c:pt idx="21">
                  <c:v>118.61</c:v>
                </c:pt>
                <c:pt idx="22">
                  <c:v>118.92</c:v>
                </c:pt>
                <c:pt idx="23">
                  <c:v>119.2</c:v>
                </c:pt>
                <c:pt idx="24">
                  <c:v>119.45</c:v>
                </c:pt>
                <c:pt idx="25">
                  <c:v>119.7</c:v>
                </c:pt>
                <c:pt idx="26">
                  <c:v>119.88</c:v>
                </c:pt>
                <c:pt idx="27">
                  <c:v>120.09</c:v>
                </c:pt>
                <c:pt idx="28">
                  <c:v>120.25</c:v>
                </c:pt>
                <c:pt idx="29">
                  <c:v>120.42</c:v>
                </c:pt>
                <c:pt idx="30">
                  <c:v>120.55</c:v>
                </c:pt>
                <c:pt idx="31">
                  <c:v>120.7</c:v>
                </c:pt>
                <c:pt idx="32">
                  <c:v>120.8</c:v>
                </c:pt>
                <c:pt idx="33">
                  <c:v>120.93</c:v>
                </c:pt>
                <c:pt idx="34">
                  <c:v>121.01</c:v>
                </c:pt>
                <c:pt idx="35">
                  <c:v>121.13</c:v>
                </c:pt>
                <c:pt idx="36">
                  <c:v>121.19</c:v>
                </c:pt>
                <c:pt idx="37">
                  <c:v>121.29</c:v>
                </c:pt>
                <c:pt idx="38">
                  <c:v>121.35</c:v>
                </c:pt>
                <c:pt idx="39">
                  <c:v>121.42</c:v>
                </c:pt>
                <c:pt idx="40">
                  <c:v>121.47</c:v>
                </c:pt>
                <c:pt idx="41">
                  <c:v>121.53</c:v>
                </c:pt>
                <c:pt idx="42">
                  <c:v>121.58</c:v>
                </c:pt>
                <c:pt idx="43">
                  <c:v>121.63</c:v>
                </c:pt>
                <c:pt idx="44">
                  <c:v>121.67</c:v>
                </c:pt>
                <c:pt idx="45">
                  <c:v>121.7</c:v>
                </c:pt>
                <c:pt idx="46">
                  <c:v>121.74</c:v>
                </c:pt>
                <c:pt idx="47">
                  <c:v>121.78</c:v>
                </c:pt>
                <c:pt idx="48">
                  <c:v>121.79</c:v>
                </c:pt>
                <c:pt idx="49">
                  <c:v>121.84</c:v>
                </c:pt>
                <c:pt idx="50">
                  <c:v>121.86</c:v>
                </c:pt>
                <c:pt idx="51">
                  <c:v>121.89</c:v>
                </c:pt>
                <c:pt idx="52">
                  <c:v>121.91</c:v>
                </c:pt>
                <c:pt idx="53">
                  <c:v>121.93</c:v>
                </c:pt>
                <c:pt idx="54">
                  <c:v>121.95</c:v>
                </c:pt>
                <c:pt idx="55">
                  <c:v>121.98</c:v>
                </c:pt>
                <c:pt idx="56">
                  <c:v>121.99</c:v>
                </c:pt>
                <c:pt idx="57">
                  <c:v>122.01</c:v>
                </c:pt>
                <c:pt idx="58">
                  <c:v>122.03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C1C9-46A4-B344-7B569B51E715}"/>
            </c:ext>
          </c:extLst>
        </c:ser>
        <c:ser>
          <c:idx val="1"/>
          <c:order val="1"/>
          <c:tx>
            <c:strRef>
              <c:f>'DESEMPEÑO  TEMP1'!$BC$30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'DESEMPEÑO  TEMP1'!$B$70:$B$128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TEMP1'!$BC$70:$BC$128</c:f>
              <c:numCache>
                <c:formatCode>0.0</c:formatCode>
                <c:ptCount val="59"/>
                <c:pt idx="0">
                  <c:v>76.400000000000006</c:v>
                </c:pt>
                <c:pt idx="1">
                  <c:v>79.16</c:v>
                </c:pt>
                <c:pt idx="2">
                  <c:v>81.78</c:v>
                </c:pt>
                <c:pt idx="3">
                  <c:v>84.22</c:v>
                </c:pt>
                <c:pt idx="4">
                  <c:v>86.59</c:v>
                </c:pt>
                <c:pt idx="5">
                  <c:v>88.75</c:v>
                </c:pt>
                <c:pt idx="6">
                  <c:v>90.85</c:v>
                </c:pt>
                <c:pt idx="7">
                  <c:v>92.75</c:v>
                </c:pt>
                <c:pt idx="8">
                  <c:v>94.6</c:v>
                </c:pt>
                <c:pt idx="9">
                  <c:v>96.26</c:v>
                </c:pt>
                <c:pt idx="10">
                  <c:v>97.98</c:v>
                </c:pt>
                <c:pt idx="11">
                  <c:v>99.59</c:v>
                </c:pt>
                <c:pt idx="12">
                  <c:v>101.09</c:v>
                </c:pt>
                <c:pt idx="13">
                  <c:v>102.42</c:v>
                </c:pt>
                <c:pt idx="14">
                  <c:v>103.7</c:v>
                </c:pt>
                <c:pt idx="15">
                  <c:v>104.87</c:v>
                </c:pt>
                <c:pt idx="16">
                  <c:v>105.98</c:v>
                </c:pt>
                <c:pt idx="17">
                  <c:v>107.03</c:v>
                </c:pt>
                <c:pt idx="18">
                  <c:v>107.99</c:v>
                </c:pt>
                <c:pt idx="19">
                  <c:v>108.9</c:v>
                </c:pt>
                <c:pt idx="20">
                  <c:v>109.79</c:v>
                </c:pt>
                <c:pt idx="21">
                  <c:v>110.6</c:v>
                </c:pt>
                <c:pt idx="22">
                  <c:v>111.37</c:v>
                </c:pt>
                <c:pt idx="23">
                  <c:v>112.08</c:v>
                </c:pt>
                <c:pt idx="24">
                  <c:v>112.76</c:v>
                </c:pt>
                <c:pt idx="25">
                  <c:v>113.4</c:v>
                </c:pt>
                <c:pt idx="26">
                  <c:v>114.01</c:v>
                </c:pt>
                <c:pt idx="27">
                  <c:v>114.57</c:v>
                </c:pt>
                <c:pt idx="28">
                  <c:v>115.12</c:v>
                </c:pt>
                <c:pt idx="29">
                  <c:v>115.63</c:v>
                </c:pt>
                <c:pt idx="30">
                  <c:v>116.1</c:v>
                </c:pt>
                <c:pt idx="31">
                  <c:v>116.55</c:v>
                </c:pt>
                <c:pt idx="32">
                  <c:v>116.98</c:v>
                </c:pt>
                <c:pt idx="33">
                  <c:v>117.37</c:v>
                </c:pt>
                <c:pt idx="34">
                  <c:v>117.76</c:v>
                </c:pt>
                <c:pt idx="35">
                  <c:v>118.12</c:v>
                </c:pt>
                <c:pt idx="36">
                  <c:v>118.48</c:v>
                </c:pt>
                <c:pt idx="37">
                  <c:v>118.83</c:v>
                </c:pt>
                <c:pt idx="38">
                  <c:v>119.16</c:v>
                </c:pt>
                <c:pt idx="39">
                  <c:v>119.47</c:v>
                </c:pt>
                <c:pt idx="40">
                  <c:v>119.74</c:v>
                </c:pt>
                <c:pt idx="41">
                  <c:v>120.02</c:v>
                </c:pt>
                <c:pt idx="42">
                  <c:v>120.25</c:v>
                </c:pt>
                <c:pt idx="43">
                  <c:v>120.49</c:v>
                </c:pt>
                <c:pt idx="44">
                  <c:v>120.69</c:v>
                </c:pt>
                <c:pt idx="45">
                  <c:v>120.9</c:v>
                </c:pt>
                <c:pt idx="46">
                  <c:v>121.08</c:v>
                </c:pt>
                <c:pt idx="47">
                  <c:v>121.26</c:v>
                </c:pt>
                <c:pt idx="48">
                  <c:v>121.43</c:v>
                </c:pt>
                <c:pt idx="49">
                  <c:v>121.59</c:v>
                </c:pt>
                <c:pt idx="50">
                  <c:v>121.73</c:v>
                </c:pt>
                <c:pt idx="51">
                  <c:v>121.87</c:v>
                </c:pt>
                <c:pt idx="52">
                  <c:v>122.01</c:v>
                </c:pt>
                <c:pt idx="53">
                  <c:v>122.13</c:v>
                </c:pt>
                <c:pt idx="54">
                  <c:v>122.25</c:v>
                </c:pt>
                <c:pt idx="55">
                  <c:v>122.36</c:v>
                </c:pt>
                <c:pt idx="56">
                  <c:v>122.46</c:v>
                </c:pt>
                <c:pt idx="57">
                  <c:v>122.57</c:v>
                </c:pt>
                <c:pt idx="58">
                  <c:v>122.67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C1C9-46A4-B344-7B569B51E715}"/>
            </c:ext>
          </c:extLst>
        </c:ser>
        <c:ser>
          <c:idx val="2"/>
          <c:order val="2"/>
          <c:tx>
            <c:strRef>
              <c:f>'DESEMPEÑO  TEMP1'!$BD$30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'DESEMPEÑO  TEMP1'!$B$70:$B$128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TEMP1'!$BD$70:$BD$128</c:f>
              <c:numCache>
                <c:formatCode>0.0</c:formatCode>
                <c:ptCount val="59"/>
                <c:pt idx="0">
                  <c:v>95.53</c:v>
                </c:pt>
                <c:pt idx="1">
                  <c:v>97.82</c:v>
                </c:pt>
                <c:pt idx="2">
                  <c:v>100.1</c:v>
                </c:pt>
                <c:pt idx="3">
                  <c:v>102.2</c:v>
                </c:pt>
                <c:pt idx="4">
                  <c:v>104.16</c:v>
                </c:pt>
                <c:pt idx="5">
                  <c:v>105.86</c:v>
                </c:pt>
                <c:pt idx="6">
                  <c:v>107.42</c:v>
                </c:pt>
                <c:pt idx="7">
                  <c:v>108.79</c:v>
                </c:pt>
                <c:pt idx="8">
                  <c:v>110.03</c:v>
                </c:pt>
                <c:pt idx="9">
                  <c:v>111.15</c:v>
                </c:pt>
                <c:pt idx="10">
                  <c:v>112.15</c:v>
                </c:pt>
                <c:pt idx="11">
                  <c:v>113.07</c:v>
                </c:pt>
                <c:pt idx="12">
                  <c:v>113.91</c:v>
                </c:pt>
                <c:pt idx="13">
                  <c:v>114.66</c:v>
                </c:pt>
                <c:pt idx="14">
                  <c:v>115.33</c:v>
                </c:pt>
                <c:pt idx="15">
                  <c:v>115.96</c:v>
                </c:pt>
                <c:pt idx="16">
                  <c:v>116.51</c:v>
                </c:pt>
                <c:pt idx="17">
                  <c:v>117.02</c:v>
                </c:pt>
                <c:pt idx="18">
                  <c:v>117.48</c:v>
                </c:pt>
                <c:pt idx="19">
                  <c:v>117.89</c:v>
                </c:pt>
                <c:pt idx="20">
                  <c:v>118.27</c:v>
                </c:pt>
                <c:pt idx="21">
                  <c:v>118.61</c:v>
                </c:pt>
                <c:pt idx="22">
                  <c:v>118.92</c:v>
                </c:pt>
                <c:pt idx="23">
                  <c:v>119.2</c:v>
                </c:pt>
                <c:pt idx="24">
                  <c:v>119.45</c:v>
                </c:pt>
                <c:pt idx="25">
                  <c:v>119.7</c:v>
                </c:pt>
                <c:pt idx="26">
                  <c:v>119.88</c:v>
                </c:pt>
                <c:pt idx="27">
                  <c:v>120.09</c:v>
                </c:pt>
                <c:pt idx="28">
                  <c:v>120.25</c:v>
                </c:pt>
                <c:pt idx="29">
                  <c:v>120.42</c:v>
                </c:pt>
                <c:pt idx="30">
                  <c:v>120.55</c:v>
                </c:pt>
                <c:pt idx="31">
                  <c:v>120.7</c:v>
                </c:pt>
                <c:pt idx="32">
                  <c:v>120.8</c:v>
                </c:pt>
                <c:pt idx="33">
                  <c:v>120.93</c:v>
                </c:pt>
                <c:pt idx="34">
                  <c:v>121.01</c:v>
                </c:pt>
                <c:pt idx="35">
                  <c:v>121.13</c:v>
                </c:pt>
                <c:pt idx="36">
                  <c:v>121.19</c:v>
                </c:pt>
                <c:pt idx="37">
                  <c:v>121.29</c:v>
                </c:pt>
                <c:pt idx="38">
                  <c:v>121.35</c:v>
                </c:pt>
                <c:pt idx="39">
                  <c:v>121.42</c:v>
                </c:pt>
                <c:pt idx="40">
                  <c:v>121.47</c:v>
                </c:pt>
                <c:pt idx="41">
                  <c:v>121.53</c:v>
                </c:pt>
                <c:pt idx="42">
                  <c:v>121.58</c:v>
                </c:pt>
                <c:pt idx="43">
                  <c:v>121.63</c:v>
                </c:pt>
                <c:pt idx="44">
                  <c:v>121.67</c:v>
                </c:pt>
                <c:pt idx="45">
                  <c:v>121.7</c:v>
                </c:pt>
                <c:pt idx="46">
                  <c:v>121.74</c:v>
                </c:pt>
                <c:pt idx="47">
                  <c:v>121.78</c:v>
                </c:pt>
                <c:pt idx="48">
                  <c:v>121.79</c:v>
                </c:pt>
                <c:pt idx="49">
                  <c:v>121.84</c:v>
                </c:pt>
                <c:pt idx="50">
                  <c:v>121.86</c:v>
                </c:pt>
                <c:pt idx="51">
                  <c:v>121.89</c:v>
                </c:pt>
                <c:pt idx="52">
                  <c:v>121.91</c:v>
                </c:pt>
                <c:pt idx="53">
                  <c:v>121.93</c:v>
                </c:pt>
                <c:pt idx="54">
                  <c:v>121.95</c:v>
                </c:pt>
                <c:pt idx="55">
                  <c:v>121.98</c:v>
                </c:pt>
                <c:pt idx="56">
                  <c:v>121.99</c:v>
                </c:pt>
                <c:pt idx="57">
                  <c:v>122.01</c:v>
                </c:pt>
                <c:pt idx="58">
                  <c:v>122.03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C1C9-46A4-B344-7B569B51E715}"/>
            </c:ext>
          </c:extLst>
        </c:ser>
        <c:ser>
          <c:idx val="3"/>
          <c:order val="3"/>
          <c:tx>
            <c:strRef>
              <c:f>'DESEMPEÑO  TEMP1'!$BE$30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'DESEMPEÑO  TEMP1'!$B$70:$B$128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TEMP1'!$BE$70:$BE$128</c:f>
              <c:numCache>
                <c:formatCode>0.0</c:formatCode>
                <c:ptCount val="59"/>
                <c:pt idx="0">
                  <c:v>96.89</c:v>
                </c:pt>
                <c:pt idx="1">
                  <c:v>99.34</c:v>
                </c:pt>
                <c:pt idx="2">
                  <c:v>101.51</c:v>
                </c:pt>
                <c:pt idx="3">
                  <c:v>103.52</c:v>
                </c:pt>
                <c:pt idx="4">
                  <c:v>105.36</c:v>
                </c:pt>
                <c:pt idx="5">
                  <c:v>107.01</c:v>
                </c:pt>
                <c:pt idx="6">
                  <c:v>108.51</c:v>
                </c:pt>
                <c:pt idx="7">
                  <c:v>109.93</c:v>
                </c:pt>
                <c:pt idx="8">
                  <c:v>111.2</c:v>
                </c:pt>
                <c:pt idx="9">
                  <c:v>112.3</c:v>
                </c:pt>
                <c:pt idx="10">
                  <c:v>113.39</c:v>
                </c:pt>
                <c:pt idx="11">
                  <c:v>114.3</c:v>
                </c:pt>
                <c:pt idx="12">
                  <c:v>115.13</c:v>
                </c:pt>
                <c:pt idx="13">
                  <c:v>115.88</c:v>
                </c:pt>
                <c:pt idx="14">
                  <c:v>116.55</c:v>
                </c:pt>
                <c:pt idx="15">
                  <c:v>117.17</c:v>
                </c:pt>
                <c:pt idx="16">
                  <c:v>117.71</c:v>
                </c:pt>
                <c:pt idx="17">
                  <c:v>118.21</c:v>
                </c:pt>
                <c:pt idx="18">
                  <c:v>118.67</c:v>
                </c:pt>
                <c:pt idx="19">
                  <c:v>119.07</c:v>
                </c:pt>
                <c:pt idx="20">
                  <c:v>119.45</c:v>
                </c:pt>
                <c:pt idx="21">
                  <c:v>119.79</c:v>
                </c:pt>
                <c:pt idx="22">
                  <c:v>120.09</c:v>
                </c:pt>
                <c:pt idx="23">
                  <c:v>120.36</c:v>
                </c:pt>
                <c:pt idx="24">
                  <c:v>120.61</c:v>
                </c:pt>
                <c:pt idx="25">
                  <c:v>120.84</c:v>
                </c:pt>
                <c:pt idx="26">
                  <c:v>121.04</c:v>
                </c:pt>
                <c:pt idx="27">
                  <c:v>121.26</c:v>
                </c:pt>
                <c:pt idx="28">
                  <c:v>121.4</c:v>
                </c:pt>
                <c:pt idx="29">
                  <c:v>121.57</c:v>
                </c:pt>
                <c:pt idx="30">
                  <c:v>121.7</c:v>
                </c:pt>
                <c:pt idx="31">
                  <c:v>121.85</c:v>
                </c:pt>
                <c:pt idx="32">
                  <c:v>121.95</c:v>
                </c:pt>
                <c:pt idx="33">
                  <c:v>122.08</c:v>
                </c:pt>
                <c:pt idx="34">
                  <c:v>122.16</c:v>
                </c:pt>
                <c:pt idx="35">
                  <c:v>122.26</c:v>
                </c:pt>
                <c:pt idx="36">
                  <c:v>122.33</c:v>
                </c:pt>
                <c:pt idx="37">
                  <c:v>122.43</c:v>
                </c:pt>
                <c:pt idx="38">
                  <c:v>122.49</c:v>
                </c:pt>
                <c:pt idx="39">
                  <c:v>122.58</c:v>
                </c:pt>
                <c:pt idx="40">
                  <c:v>122.63</c:v>
                </c:pt>
                <c:pt idx="41">
                  <c:v>122.69</c:v>
                </c:pt>
                <c:pt idx="42">
                  <c:v>122.74</c:v>
                </c:pt>
                <c:pt idx="43">
                  <c:v>122.79</c:v>
                </c:pt>
                <c:pt idx="44">
                  <c:v>122.83</c:v>
                </c:pt>
                <c:pt idx="45">
                  <c:v>122.88</c:v>
                </c:pt>
                <c:pt idx="46">
                  <c:v>122.91</c:v>
                </c:pt>
                <c:pt idx="47">
                  <c:v>122.96</c:v>
                </c:pt>
                <c:pt idx="48">
                  <c:v>122.99</c:v>
                </c:pt>
                <c:pt idx="49">
                  <c:v>123.01</c:v>
                </c:pt>
                <c:pt idx="50">
                  <c:v>123.04</c:v>
                </c:pt>
                <c:pt idx="51">
                  <c:v>123.08</c:v>
                </c:pt>
                <c:pt idx="52">
                  <c:v>123.11</c:v>
                </c:pt>
                <c:pt idx="53">
                  <c:v>123.13</c:v>
                </c:pt>
                <c:pt idx="54">
                  <c:v>123.15</c:v>
                </c:pt>
                <c:pt idx="55">
                  <c:v>123.18</c:v>
                </c:pt>
                <c:pt idx="56">
                  <c:v>123.19</c:v>
                </c:pt>
                <c:pt idx="57">
                  <c:v>123.22</c:v>
                </c:pt>
                <c:pt idx="58">
                  <c:v>123.23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C1C9-46A4-B344-7B569B51E715}"/>
            </c:ext>
          </c:extLst>
        </c:ser>
        <c:ser>
          <c:idx val="4"/>
          <c:order val="4"/>
          <c:tx>
            <c:strRef>
              <c:f>'DESEMPEÑO  TEMP1'!$BF$30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'DESEMPEÑO  TEMP1'!$B$70:$B$128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TEMP1'!$BF$70:$BF$128</c:f>
              <c:numCache>
                <c:formatCode>0.0</c:formatCode>
                <c:ptCount val="59"/>
                <c:pt idx="0">
                  <c:v>100.66</c:v>
                </c:pt>
                <c:pt idx="1">
                  <c:v>103</c:v>
                </c:pt>
                <c:pt idx="2">
                  <c:v>105.13</c:v>
                </c:pt>
                <c:pt idx="3">
                  <c:v>107.03</c:v>
                </c:pt>
                <c:pt idx="4">
                  <c:v>108.78</c:v>
                </c:pt>
                <c:pt idx="5">
                  <c:v>110.3</c:v>
                </c:pt>
                <c:pt idx="6">
                  <c:v>111.62</c:v>
                </c:pt>
                <c:pt idx="7">
                  <c:v>112.76</c:v>
                </c:pt>
                <c:pt idx="8">
                  <c:v>113.79</c:v>
                </c:pt>
                <c:pt idx="9">
                  <c:v>114.71</c:v>
                </c:pt>
                <c:pt idx="10">
                  <c:v>115.49</c:v>
                </c:pt>
                <c:pt idx="11">
                  <c:v>116.25</c:v>
                </c:pt>
                <c:pt idx="12">
                  <c:v>116.89</c:v>
                </c:pt>
                <c:pt idx="13">
                  <c:v>117.48</c:v>
                </c:pt>
                <c:pt idx="14">
                  <c:v>118</c:v>
                </c:pt>
                <c:pt idx="15">
                  <c:v>118.49</c:v>
                </c:pt>
                <c:pt idx="16">
                  <c:v>118.9</c:v>
                </c:pt>
                <c:pt idx="17">
                  <c:v>119.28</c:v>
                </c:pt>
                <c:pt idx="18">
                  <c:v>119.62</c:v>
                </c:pt>
                <c:pt idx="19">
                  <c:v>119.91</c:v>
                </c:pt>
                <c:pt idx="20">
                  <c:v>120.19</c:v>
                </c:pt>
                <c:pt idx="21">
                  <c:v>120.4</c:v>
                </c:pt>
                <c:pt idx="22">
                  <c:v>120.62</c:v>
                </c:pt>
                <c:pt idx="23">
                  <c:v>120.8</c:v>
                </c:pt>
                <c:pt idx="24">
                  <c:v>120.97</c:v>
                </c:pt>
                <c:pt idx="25">
                  <c:v>121.11</c:v>
                </c:pt>
                <c:pt idx="26">
                  <c:v>121.22</c:v>
                </c:pt>
                <c:pt idx="27">
                  <c:v>121.34</c:v>
                </c:pt>
                <c:pt idx="28">
                  <c:v>121.43</c:v>
                </c:pt>
                <c:pt idx="29">
                  <c:v>121.53</c:v>
                </c:pt>
                <c:pt idx="30">
                  <c:v>121.6</c:v>
                </c:pt>
                <c:pt idx="31">
                  <c:v>121.68</c:v>
                </c:pt>
                <c:pt idx="32">
                  <c:v>121.74</c:v>
                </c:pt>
                <c:pt idx="33">
                  <c:v>121.79</c:v>
                </c:pt>
                <c:pt idx="34">
                  <c:v>121.85</c:v>
                </c:pt>
                <c:pt idx="35">
                  <c:v>121.88</c:v>
                </c:pt>
                <c:pt idx="36">
                  <c:v>121.93</c:v>
                </c:pt>
                <c:pt idx="37">
                  <c:v>121.95</c:v>
                </c:pt>
                <c:pt idx="38">
                  <c:v>121.99</c:v>
                </c:pt>
                <c:pt idx="39">
                  <c:v>122.02</c:v>
                </c:pt>
                <c:pt idx="40">
                  <c:v>122.03</c:v>
                </c:pt>
                <c:pt idx="41">
                  <c:v>122.03</c:v>
                </c:pt>
                <c:pt idx="42">
                  <c:v>122.05</c:v>
                </c:pt>
                <c:pt idx="43">
                  <c:v>122.06</c:v>
                </c:pt>
                <c:pt idx="44">
                  <c:v>122.06</c:v>
                </c:pt>
                <c:pt idx="45">
                  <c:v>122.08</c:v>
                </c:pt>
                <c:pt idx="46">
                  <c:v>122.09</c:v>
                </c:pt>
                <c:pt idx="47">
                  <c:v>122.1</c:v>
                </c:pt>
                <c:pt idx="48">
                  <c:v>122.1</c:v>
                </c:pt>
                <c:pt idx="49">
                  <c:v>122.11</c:v>
                </c:pt>
                <c:pt idx="50">
                  <c:v>122.12</c:v>
                </c:pt>
                <c:pt idx="51">
                  <c:v>122.13</c:v>
                </c:pt>
                <c:pt idx="52">
                  <c:v>122.14</c:v>
                </c:pt>
                <c:pt idx="53">
                  <c:v>122.15</c:v>
                </c:pt>
                <c:pt idx="54">
                  <c:v>122.16</c:v>
                </c:pt>
                <c:pt idx="55">
                  <c:v>122.16</c:v>
                </c:pt>
                <c:pt idx="56">
                  <c:v>122.17</c:v>
                </c:pt>
                <c:pt idx="57">
                  <c:v>122.17</c:v>
                </c:pt>
                <c:pt idx="58">
                  <c:v>122.18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C1C9-46A4-B344-7B569B51E715}"/>
            </c:ext>
          </c:extLst>
        </c:ser>
        <c:ser>
          <c:idx val="5"/>
          <c:order val="5"/>
          <c:tx>
            <c:strRef>
              <c:f>'DESEMPEÑO  TEMP1'!$BG$30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'DESEMPEÑO  TEMP1'!$B$70:$B$128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TEMP1'!$BG$70:$BG$128</c:f>
              <c:numCache>
                <c:formatCode>0.0</c:formatCode>
                <c:ptCount val="59"/>
                <c:pt idx="0">
                  <c:v>111.19</c:v>
                </c:pt>
                <c:pt idx="1">
                  <c:v>112.62</c:v>
                </c:pt>
                <c:pt idx="2">
                  <c:v>113.9</c:v>
                </c:pt>
                <c:pt idx="3">
                  <c:v>114.96</c:v>
                </c:pt>
                <c:pt idx="4">
                  <c:v>115.91</c:v>
                </c:pt>
                <c:pt idx="5">
                  <c:v>116.74</c:v>
                </c:pt>
                <c:pt idx="6">
                  <c:v>117.41</c:v>
                </c:pt>
                <c:pt idx="7">
                  <c:v>118.07</c:v>
                </c:pt>
                <c:pt idx="8">
                  <c:v>118.57</c:v>
                </c:pt>
                <c:pt idx="9">
                  <c:v>119.06</c:v>
                </c:pt>
                <c:pt idx="10">
                  <c:v>119.44</c:v>
                </c:pt>
                <c:pt idx="11">
                  <c:v>119.8</c:v>
                </c:pt>
                <c:pt idx="12">
                  <c:v>120.1</c:v>
                </c:pt>
                <c:pt idx="13">
                  <c:v>120.39</c:v>
                </c:pt>
                <c:pt idx="14">
                  <c:v>120.6</c:v>
                </c:pt>
                <c:pt idx="15">
                  <c:v>120.8</c:v>
                </c:pt>
                <c:pt idx="16">
                  <c:v>120.99</c:v>
                </c:pt>
                <c:pt idx="17">
                  <c:v>121.13</c:v>
                </c:pt>
                <c:pt idx="18">
                  <c:v>121.21</c:v>
                </c:pt>
                <c:pt idx="19">
                  <c:v>121.38</c:v>
                </c:pt>
                <c:pt idx="20">
                  <c:v>121.42</c:v>
                </c:pt>
                <c:pt idx="21">
                  <c:v>121.58</c:v>
                </c:pt>
                <c:pt idx="22">
                  <c:v>121.57</c:v>
                </c:pt>
                <c:pt idx="23">
                  <c:v>121.7</c:v>
                </c:pt>
                <c:pt idx="24">
                  <c:v>121.66</c:v>
                </c:pt>
                <c:pt idx="25">
                  <c:v>121.81</c:v>
                </c:pt>
                <c:pt idx="26">
                  <c:v>121.78</c:v>
                </c:pt>
                <c:pt idx="27">
                  <c:v>121.91</c:v>
                </c:pt>
                <c:pt idx="28">
                  <c:v>121.92</c:v>
                </c:pt>
                <c:pt idx="29">
                  <c:v>121.87</c:v>
                </c:pt>
                <c:pt idx="30">
                  <c:v>122</c:v>
                </c:pt>
                <c:pt idx="31">
                  <c:v>121.92</c:v>
                </c:pt>
                <c:pt idx="32">
                  <c:v>122.1</c:v>
                </c:pt>
                <c:pt idx="33">
                  <c:v>122.02</c:v>
                </c:pt>
                <c:pt idx="34">
                  <c:v>122.05</c:v>
                </c:pt>
                <c:pt idx="35">
                  <c:v>122.04</c:v>
                </c:pt>
                <c:pt idx="36">
                  <c:v>122.02</c:v>
                </c:pt>
                <c:pt idx="37">
                  <c:v>122.09</c:v>
                </c:pt>
                <c:pt idx="38">
                  <c:v>122.03</c:v>
                </c:pt>
                <c:pt idx="39">
                  <c:v>122.08</c:v>
                </c:pt>
                <c:pt idx="40">
                  <c:v>122.07</c:v>
                </c:pt>
                <c:pt idx="41">
                  <c:v>122.09</c:v>
                </c:pt>
                <c:pt idx="42">
                  <c:v>122.07</c:v>
                </c:pt>
                <c:pt idx="43">
                  <c:v>122.09</c:v>
                </c:pt>
                <c:pt idx="44">
                  <c:v>122.12</c:v>
                </c:pt>
                <c:pt idx="45">
                  <c:v>122.11</c:v>
                </c:pt>
                <c:pt idx="46">
                  <c:v>122.12</c:v>
                </c:pt>
                <c:pt idx="47">
                  <c:v>122.1</c:v>
                </c:pt>
                <c:pt idx="48">
                  <c:v>122.13</c:v>
                </c:pt>
                <c:pt idx="49">
                  <c:v>122.12</c:v>
                </c:pt>
                <c:pt idx="50">
                  <c:v>122.15</c:v>
                </c:pt>
                <c:pt idx="51">
                  <c:v>122.14</c:v>
                </c:pt>
                <c:pt idx="52">
                  <c:v>122.18</c:v>
                </c:pt>
                <c:pt idx="53">
                  <c:v>122.13</c:v>
                </c:pt>
                <c:pt idx="54">
                  <c:v>122.17</c:v>
                </c:pt>
                <c:pt idx="55">
                  <c:v>122.15</c:v>
                </c:pt>
                <c:pt idx="56">
                  <c:v>122.17</c:v>
                </c:pt>
                <c:pt idx="57">
                  <c:v>122.13</c:v>
                </c:pt>
                <c:pt idx="58">
                  <c:v>122.2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C1C9-46A4-B344-7B569B51E715}"/>
            </c:ext>
          </c:extLst>
        </c:ser>
        <c:ser>
          <c:idx val="6"/>
          <c:order val="6"/>
          <c:tx>
            <c:strRef>
              <c:f>'DESEMPEÑO  TEMP1'!$BH$30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'DESEMPEÑO  TEMP1'!$B$70:$B$128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TEMP1'!$BH$70:$BH$128</c:f>
              <c:numCache>
                <c:formatCode>0.0</c:formatCode>
                <c:ptCount val="59"/>
                <c:pt idx="0">
                  <c:v>116.91</c:v>
                </c:pt>
                <c:pt idx="1">
                  <c:v>117.7</c:v>
                </c:pt>
                <c:pt idx="2">
                  <c:v>117.93</c:v>
                </c:pt>
                <c:pt idx="3">
                  <c:v>118.77</c:v>
                </c:pt>
                <c:pt idx="4">
                  <c:v>118.89</c:v>
                </c:pt>
                <c:pt idx="5">
                  <c:v>119.49</c:v>
                </c:pt>
                <c:pt idx="6">
                  <c:v>119.94</c:v>
                </c:pt>
                <c:pt idx="7">
                  <c:v>119.94</c:v>
                </c:pt>
                <c:pt idx="8">
                  <c:v>120.49</c:v>
                </c:pt>
                <c:pt idx="9">
                  <c:v>120.22</c:v>
                </c:pt>
                <c:pt idx="10">
                  <c:v>120.83</c:v>
                </c:pt>
                <c:pt idx="11">
                  <c:v>120.38</c:v>
                </c:pt>
                <c:pt idx="12">
                  <c:v>121.22</c:v>
                </c:pt>
                <c:pt idx="13">
                  <c:v>120.76</c:v>
                </c:pt>
                <c:pt idx="14">
                  <c:v>121.36</c:v>
                </c:pt>
                <c:pt idx="15">
                  <c:v>121.58</c:v>
                </c:pt>
                <c:pt idx="16">
                  <c:v>121.35</c:v>
                </c:pt>
                <c:pt idx="17">
                  <c:v>121.69</c:v>
                </c:pt>
                <c:pt idx="18">
                  <c:v>121.28</c:v>
                </c:pt>
                <c:pt idx="19">
                  <c:v>121.91</c:v>
                </c:pt>
                <c:pt idx="20">
                  <c:v>121.19</c:v>
                </c:pt>
                <c:pt idx="21">
                  <c:v>122.08</c:v>
                </c:pt>
                <c:pt idx="22">
                  <c:v>121.68</c:v>
                </c:pt>
                <c:pt idx="23">
                  <c:v>121.92</c:v>
                </c:pt>
                <c:pt idx="24">
                  <c:v>122.26</c:v>
                </c:pt>
                <c:pt idx="25">
                  <c:v>121.72</c:v>
                </c:pt>
                <c:pt idx="26">
                  <c:v>122.3</c:v>
                </c:pt>
                <c:pt idx="27">
                  <c:v>121.5</c:v>
                </c:pt>
                <c:pt idx="28">
                  <c:v>122.3</c:v>
                </c:pt>
                <c:pt idx="29">
                  <c:v>122.41</c:v>
                </c:pt>
                <c:pt idx="30">
                  <c:v>122.1</c:v>
                </c:pt>
                <c:pt idx="31">
                  <c:v>122.51</c:v>
                </c:pt>
                <c:pt idx="32">
                  <c:v>121.83</c:v>
                </c:pt>
                <c:pt idx="33">
                  <c:v>122.64</c:v>
                </c:pt>
                <c:pt idx="34">
                  <c:v>121.64</c:v>
                </c:pt>
                <c:pt idx="35">
                  <c:v>122.44</c:v>
                </c:pt>
                <c:pt idx="36">
                  <c:v>122.59</c:v>
                </c:pt>
                <c:pt idx="37">
                  <c:v>122.04</c:v>
                </c:pt>
                <c:pt idx="38">
                  <c:v>122.72</c:v>
                </c:pt>
                <c:pt idx="39">
                  <c:v>121.83</c:v>
                </c:pt>
                <c:pt idx="40">
                  <c:v>122.78</c:v>
                </c:pt>
                <c:pt idx="41">
                  <c:v>121.7</c:v>
                </c:pt>
                <c:pt idx="42">
                  <c:v>122.75</c:v>
                </c:pt>
                <c:pt idx="43">
                  <c:v>121.67</c:v>
                </c:pt>
                <c:pt idx="44">
                  <c:v>122.69</c:v>
                </c:pt>
                <c:pt idx="45">
                  <c:v>121.76</c:v>
                </c:pt>
                <c:pt idx="46">
                  <c:v>122.59</c:v>
                </c:pt>
                <c:pt idx="47">
                  <c:v>122.15</c:v>
                </c:pt>
                <c:pt idx="48">
                  <c:v>122.53</c:v>
                </c:pt>
                <c:pt idx="49">
                  <c:v>122.33</c:v>
                </c:pt>
                <c:pt idx="50">
                  <c:v>122.46</c:v>
                </c:pt>
                <c:pt idx="51">
                  <c:v>122.85</c:v>
                </c:pt>
                <c:pt idx="52">
                  <c:v>122.33</c:v>
                </c:pt>
                <c:pt idx="53">
                  <c:v>122.85</c:v>
                </c:pt>
                <c:pt idx="54">
                  <c:v>122.16</c:v>
                </c:pt>
                <c:pt idx="55">
                  <c:v>122.89</c:v>
                </c:pt>
                <c:pt idx="56">
                  <c:v>122.05</c:v>
                </c:pt>
                <c:pt idx="57">
                  <c:v>122.78</c:v>
                </c:pt>
                <c:pt idx="58">
                  <c:v>121.96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C1C9-46A4-B344-7B569B51E715}"/>
            </c:ext>
          </c:extLst>
        </c:ser>
        <c:ser>
          <c:idx val="7"/>
          <c:order val="7"/>
          <c:tx>
            <c:strRef>
              <c:f>'DESEMPEÑO  TEMP1'!$BI$30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'DESEMPEÑO  TEMP1'!$B$70:$B$128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TEMP1'!$BI$70:$BI$128</c:f>
              <c:numCache>
                <c:formatCode>0.0</c:formatCode>
                <c:ptCount val="59"/>
                <c:pt idx="0">
                  <c:v>123.56</c:v>
                </c:pt>
                <c:pt idx="1">
                  <c:v>123.26</c:v>
                </c:pt>
                <c:pt idx="2">
                  <c:v>122.65</c:v>
                </c:pt>
                <c:pt idx="3">
                  <c:v>123.85</c:v>
                </c:pt>
                <c:pt idx="4">
                  <c:v>122.64</c:v>
                </c:pt>
                <c:pt idx="5">
                  <c:v>123.59</c:v>
                </c:pt>
                <c:pt idx="6">
                  <c:v>123.29</c:v>
                </c:pt>
                <c:pt idx="7">
                  <c:v>122.73</c:v>
                </c:pt>
                <c:pt idx="8">
                  <c:v>123.16</c:v>
                </c:pt>
                <c:pt idx="9">
                  <c:v>122.42</c:v>
                </c:pt>
                <c:pt idx="10">
                  <c:v>123.12</c:v>
                </c:pt>
                <c:pt idx="11">
                  <c:v>122.2</c:v>
                </c:pt>
                <c:pt idx="12">
                  <c:v>123.22</c:v>
                </c:pt>
                <c:pt idx="13">
                  <c:v>122.3</c:v>
                </c:pt>
                <c:pt idx="14">
                  <c:v>123.07</c:v>
                </c:pt>
                <c:pt idx="15">
                  <c:v>123.03</c:v>
                </c:pt>
                <c:pt idx="16">
                  <c:v>122.9</c:v>
                </c:pt>
                <c:pt idx="17">
                  <c:v>123.01</c:v>
                </c:pt>
                <c:pt idx="18">
                  <c:v>122.36</c:v>
                </c:pt>
                <c:pt idx="19">
                  <c:v>123.03</c:v>
                </c:pt>
                <c:pt idx="20">
                  <c:v>122.03</c:v>
                </c:pt>
                <c:pt idx="21">
                  <c:v>123.07</c:v>
                </c:pt>
                <c:pt idx="22">
                  <c:v>122.4</c:v>
                </c:pt>
                <c:pt idx="23">
                  <c:v>122.76</c:v>
                </c:pt>
                <c:pt idx="24">
                  <c:v>123.01</c:v>
                </c:pt>
                <c:pt idx="25">
                  <c:v>122.37</c:v>
                </c:pt>
                <c:pt idx="26">
                  <c:v>122.99</c:v>
                </c:pt>
                <c:pt idx="27">
                  <c:v>121.96</c:v>
                </c:pt>
                <c:pt idx="28">
                  <c:v>122.89</c:v>
                </c:pt>
                <c:pt idx="29">
                  <c:v>122.86</c:v>
                </c:pt>
                <c:pt idx="30">
                  <c:v>122.55</c:v>
                </c:pt>
                <c:pt idx="31">
                  <c:v>122.95</c:v>
                </c:pt>
                <c:pt idx="32">
                  <c:v>122.17</c:v>
                </c:pt>
                <c:pt idx="33">
                  <c:v>123.05</c:v>
                </c:pt>
                <c:pt idx="34">
                  <c:v>121.86</c:v>
                </c:pt>
                <c:pt idx="35">
                  <c:v>122.78</c:v>
                </c:pt>
                <c:pt idx="36">
                  <c:v>122.89</c:v>
                </c:pt>
                <c:pt idx="37">
                  <c:v>122.29</c:v>
                </c:pt>
                <c:pt idx="38">
                  <c:v>123.02</c:v>
                </c:pt>
                <c:pt idx="39">
                  <c:v>122</c:v>
                </c:pt>
                <c:pt idx="40">
                  <c:v>123.06</c:v>
                </c:pt>
                <c:pt idx="41">
                  <c:v>121.82</c:v>
                </c:pt>
                <c:pt idx="42">
                  <c:v>122.99</c:v>
                </c:pt>
                <c:pt idx="43">
                  <c:v>121.76</c:v>
                </c:pt>
                <c:pt idx="44">
                  <c:v>122.9</c:v>
                </c:pt>
                <c:pt idx="45">
                  <c:v>121.82</c:v>
                </c:pt>
                <c:pt idx="46">
                  <c:v>122.78</c:v>
                </c:pt>
                <c:pt idx="47">
                  <c:v>122.23</c:v>
                </c:pt>
                <c:pt idx="48">
                  <c:v>122.7</c:v>
                </c:pt>
                <c:pt idx="49">
                  <c:v>122.42</c:v>
                </c:pt>
                <c:pt idx="50">
                  <c:v>122.6</c:v>
                </c:pt>
                <c:pt idx="51">
                  <c:v>123.01</c:v>
                </c:pt>
                <c:pt idx="52">
                  <c:v>122.45</c:v>
                </c:pt>
                <c:pt idx="53">
                  <c:v>123.01</c:v>
                </c:pt>
                <c:pt idx="54">
                  <c:v>122.25</c:v>
                </c:pt>
                <c:pt idx="55">
                  <c:v>123.04</c:v>
                </c:pt>
                <c:pt idx="56">
                  <c:v>122.12</c:v>
                </c:pt>
                <c:pt idx="57">
                  <c:v>122.93</c:v>
                </c:pt>
                <c:pt idx="58">
                  <c:v>122.02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C1C9-46A4-B344-7B569B51E715}"/>
            </c:ext>
          </c:extLst>
        </c:ser>
        <c:ser>
          <c:idx val="8"/>
          <c:order val="8"/>
          <c:tx>
            <c:strRef>
              <c:f>'DESEMPEÑO  TEMP1'!$BJ$30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'DESEMPEÑO  TEMP1'!$B$70:$B$128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TEMP1'!$BJ$70:$BJ$128</c:f>
              <c:numCache>
                <c:formatCode>0.0</c:formatCode>
                <c:ptCount val="59"/>
                <c:pt idx="0">
                  <c:v>122.79</c:v>
                </c:pt>
                <c:pt idx="1">
                  <c:v>123.17</c:v>
                </c:pt>
                <c:pt idx="2">
                  <c:v>122.02</c:v>
                </c:pt>
                <c:pt idx="3">
                  <c:v>123.02</c:v>
                </c:pt>
                <c:pt idx="4">
                  <c:v>122.46</c:v>
                </c:pt>
                <c:pt idx="5">
                  <c:v>122.6</c:v>
                </c:pt>
                <c:pt idx="6">
                  <c:v>122.98</c:v>
                </c:pt>
                <c:pt idx="7">
                  <c:v>122.3</c:v>
                </c:pt>
                <c:pt idx="8">
                  <c:v>122.99</c:v>
                </c:pt>
                <c:pt idx="9">
                  <c:v>122.09</c:v>
                </c:pt>
                <c:pt idx="10">
                  <c:v>122.83</c:v>
                </c:pt>
                <c:pt idx="11">
                  <c:v>121.95</c:v>
                </c:pt>
                <c:pt idx="12">
                  <c:v>123</c:v>
                </c:pt>
                <c:pt idx="13">
                  <c:v>122.19</c:v>
                </c:pt>
                <c:pt idx="14">
                  <c:v>122.8</c:v>
                </c:pt>
                <c:pt idx="15">
                  <c:v>122.99</c:v>
                </c:pt>
                <c:pt idx="16">
                  <c:v>122.52</c:v>
                </c:pt>
                <c:pt idx="17">
                  <c:v>122.83</c:v>
                </c:pt>
                <c:pt idx="18">
                  <c:v>122.18</c:v>
                </c:pt>
                <c:pt idx="19">
                  <c:v>122.89</c:v>
                </c:pt>
                <c:pt idx="20">
                  <c:v>121.86</c:v>
                </c:pt>
                <c:pt idx="21">
                  <c:v>122.92</c:v>
                </c:pt>
                <c:pt idx="22">
                  <c:v>122.38</c:v>
                </c:pt>
                <c:pt idx="23">
                  <c:v>122.57</c:v>
                </c:pt>
                <c:pt idx="24">
                  <c:v>122.91</c:v>
                </c:pt>
                <c:pt idx="25">
                  <c:v>122.2</c:v>
                </c:pt>
                <c:pt idx="26">
                  <c:v>122.85</c:v>
                </c:pt>
                <c:pt idx="27">
                  <c:v>121.82</c:v>
                </c:pt>
                <c:pt idx="28">
                  <c:v>122.76</c:v>
                </c:pt>
                <c:pt idx="29">
                  <c:v>122.91</c:v>
                </c:pt>
                <c:pt idx="30">
                  <c:v>122.41</c:v>
                </c:pt>
                <c:pt idx="31">
                  <c:v>122.89</c:v>
                </c:pt>
                <c:pt idx="32">
                  <c:v>122.04</c:v>
                </c:pt>
                <c:pt idx="33">
                  <c:v>122.98</c:v>
                </c:pt>
                <c:pt idx="34">
                  <c:v>121.75</c:v>
                </c:pt>
                <c:pt idx="35">
                  <c:v>122.67</c:v>
                </c:pt>
                <c:pt idx="36">
                  <c:v>122.93</c:v>
                </c:pt>
                <c:pt idx="37">
                  <c:v>122.17</c:v>
                </c:pt>
                <c:pt idx="38">
                  <c:v>122.93</c:v>
                </c:pt>
                <c:pt idx="39">
                  <c:v>121.89</c:v>
                </c:pt>
                <c:pt idx="40">
                  <c:v>122.98</c:v>
                </c:pt>
                <c:pt idx="41">
                  <c:v>121.7</c:v>
                </c:pt>
                <c:pt idx="42">
                  <c:v>122.9</c:v>
                </c:pt>
                <c:pt idx="43">
                  <c:v>121.65</c:v>
                </c:pt>
                <c:pt idx="44">
                  <c:v>122.78</c:v>
                </c:pt>
                <c:pt idx="45">
                  <c:v>121.76</c:v>
                </c:pt>
                <c:pt idx="46">
                  <c:v>122.67</c:v>
                </c:pt>
                <c:pt idx="47">
                  <c:v>122.26</c:v>
                </c:pt>
                <c:pt idx="48">
                  <c:v>122.59</c:v>
                </c:pt>
                <c:pt idx="49">
                  <c:v>122.46</c:v>
                </c:pt>
                <c:pt idx="50">
                  <c:v>122.48</c:v>
                </c:pt>
                <c:pt idx="51">
                  <c:v>122.98</c:v>
                </c:pt>
                <c:pt idx="52">
                  <c:v>122.34</c:v>
                </c:pt>
                <c:pt idx="53">
                  <c:v>122.96</c:v>
                </c:pt>
                <c:pt idx="54">
                  <c:v>122.14</c:v>
                </c:pt>
                <c:pt idx="55">
                  <c:v>122.97</c:v>
                </c:pt>
                <c:pt idx="56">
                  <c:v>122.01</c:v>
                </c:pt>
                <c:pt idx="57">
                  <c:v>122.83</c:v>
                </c:pt>
                <c:pt idx="58">
                  <c:v>121.92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C1C9-46A4-B344-7B569B51E715}"/>
            </c:ext>
          </c:extLst>
        </c:ser>
        <c:ser>
          <c:idx val="9"/>
          <c:order val="9"/>
          <c:tx>
            <c:strRef>
              <c:f>'DESEMPEÑO  TEMP1'!$BK$30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'DESEMPEÑO  TEMP1'!$B$70:$B$128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TEMP1'!$BK$70:$BK$128</c:f>
              <c:numCache>
                <c:formatCode>0.0</c:formatCode>
                <c:ptCount val="59"/>
                <c:pt idx="0">
                  <c:v>120.68</c:v>
                </c:pt>
                <c:pt idx="1">
                  <c:v>120.88</c:v>
                </c:pt>
                <c:pt idx="2">
                  <c:v>121.32</c:v>
                </c:pt>
                <c:pt idx="3">
                  <c:v>121.51</c:v>
                </c:pt>
                <c:pt idx="4">
                  <c:v>121.62</c:v>
                </c:pt>
                <c:pt idx="5">
                  <c:v>121.92</c:v>
                </c:pt>
                <c:pt idx="6">
                  <c:v>121.91</c:v>
                </c:pt>
                <c:pt idx="7">
                  <c:v>122.16</c:v>
                </c:pt>
                <c:pt idx="8">
                  <c:v>122.15</c:v>
                </c:pt>
                <c:pt idx="9">
                  <c:v>122.29</c:v>
                </c:pt>
                <c:pt idx="10">
                  <c:v>122.31</c:v>
                </c:pt>
                <c:pt idx="11">
                  <c:v>122.36</c:v>
                </c:pt>
                <c:pt idx="12">
                  <c:v>122.43</c:v>
                </c:pt>
                <c:pt idx="13">
                  <c:v>122.4</c:v>
                </c:pt>
                <c:pt idx="14">
                  <c:v>122.51</c:v>
                </c:pt>
                <c:pt idx="15">
                  <c:v>122.41</c:v>
                </c:pt>
                <c:pt idx="16">
                  <c:v>122.55</c:v>
                </c:pt>
                <c:pt idx="17">
                  <c:v>122.45</c:v>
                </c:pt>
                <c:pt idx="18">
                  <c:v>122.54</c:v>
                </c:pt>
                <c:pt idx="19">
                  <c:v>122.48</c:v>
                </c:pt>
                <c:pt idx="20">
                  <c:v>122.5</c:v>
                </c:pt>
                <c:pt idx="21">
                  <c:v>122.52</c:v>
                </c:pt>
                <c:pt idx="22">
                  <c:v>122.44</c:v>
                </c:pt>
                <c:pt idx="23">
                  <c:v>122.56</c:v>
                </c:pt>
                <c:pt idx="24">
                  <c:v>122.43</c:v>
                </c:pt>
                <c:pt idx="25">
                  <c:v>122.55</c:v>
                </c:pt>
                <c:pt idx="26">
                  <c:v>122.48</c:v>
                </c:pt>
                <c:pt idx="27">
                  <c:v>122.49</c:v>
                </c:pt>
                <c:pt idx="28">
                  <c:v>122.53</c:v>
                </c:pt>
                <c:pt idx="29">
                  <c:v>122.42</c:v>
                </c:pt>
                <c:pt idx="30">
                  <c:v>122.54</c:v>
                </c:pt>
                <c:pt idx="31">
                  <c:v>122.44</c:v>
                </c:pt>
                <c:pt idx="32">
                  <c:v>122.53</c:v>
                </c:pt>
                <c:pt idx="33">
                  <c:v>122.49</c:v>
                </c:pt>
                <c:pt idx="34">
                  <c:v>122.47</c:v>
                </c:pt>
                <c:pt idx="35">
                  <c:v>122.53</c:v>
                </c:pt>
                <c:pt idx="36">
                  <c:v>122.39</c:v>
                </c:pt>
                <c:pt idx="37">
                  <c:v>122.51</c:v>
                </c:pt>
                <c:pt idx="38">
                  <c:v>122.43</c:v>
                </c:pt>
                <c:pt idx="39">
                  <c:v>122.47</c:v>
                </c:pt>
                <c:pt idx="40">
                  <c:v>122.46</c:v>
                </c:pt>
                <c:pt idx="41">
                  <c:v>122.43</c:v>
                </c:pt>
                <c:pt idx="42">
                  <c:v>122.47</c:v>
                </c:pt>
                <c:pt idx="43">
                  <c:v>122.42</c:v>
                </c:pt>
                <c:pt idx="44">
                  <c:v>122.5</c:v>
                </c:pt>
                <c:pt idx="45">
                  <c:v>122.4</c:v>
                </c:pt>
                <c:pt idx="46">
                  <c:v>122.5</c:v>
                </c:pt>
                <c:pt idx="47">
                  <c:v>122.38</c:v>
                </c:pt>
                <c:pt idx="48">
                  <c:v>122.51</c:v>
                </c:pt>
                <c:pt idx="49">
                  <c:v>122.37</c:v>
                </c:pt>
                <c:pt idx="50">
                  <c:v>122.52</c:v>
                </c:pt>
                <c:pt idx="51">
                  <c:v>122.37</c:v>
                </c:pt>
                <c:pt idx="52">
                  <c:v>122.52</c:v>
                </c:pt>
                <c:pt idx="53">
                  <c:v>122.4</c:v>
                </c:pt>
                <c:pt idx="54">
                  <c:v>122.5</c:v>
                </c:pt>
                <c:pt idx="55">
                  <c:v>122.41</c:v>
                </c:pt>
                <c:pt idx="56">
                  <c:v>122.48</c:v>
                </c:pt>
                <c:pt idx="57">
                  <c:v>122.43</c:v>
                </c:pt>
                <c:pt idx="58">
                  <c:v>122.46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C1C9-46A4-B344-7B569B51E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5704392"/>
        <c:axId val="515706360"/>
      </c:lineChart>
      <c:catAx>
        <c:axId val="515704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\ AM/PM" sourceLinked="1"/>
        <c:majorTickMark val="out"/>
        <c:minorTickMark val="none"/>
        <c:tickLblPos val="nextTo"/>
        <c:crossAx val="515706360"/>
        <c:crosses val="autoZero"/>
        <c:auto val="1"/>
        <c:lblAlgn val="ctr"/>
        <c:lblOffset val="100"/>
        <c:noMultiLvlLbl val="0"/>
      </c:catAx>
      <c:valAx>
        <c:axId val="5157063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1570439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2.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030303 MARCA: HOGNER UBICACIÓN: ESTERILIZADO POLVO ANTIBIOTICO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BAGÓ DE BOLIVIA S.A.  FECHA CALIFICACIÓN: 2017-11-01</a:t>
            </a:r>
          </a:p>
        </c:rich>
      </c:tx>
      <c:layout>
        <c:manualLayout>
          <c:xMode val="edge"/>
          <c:yMode val="edge"/>
          <c:x val="0.17268794754859068"/>
          <c:y val="1.253968225235073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'DESEMPEÑO  TEMP2'!$B$31:$B$159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TEMP2'!$BB$31:$BB$159</c:f>
              <c:numCache>
                <c:formatCode>0.0</c:formatCode>
                <c:ptCount val="129"/>
                <c:pt idx="0">
                  <c:v>23.61</c:v>
                </c:pt>
                <c:pt idx="1">
                  <c:v>23.53</c:v>
                </c:pt>
                <c:pt idx="2">
                  <c:v>24.33</c:v>
                </c:pt>
                <c:pt idx="3">
                  <c:v>23.96</c:v>
                </c:pt>
                <c:pt idx="4">
                  <c:v>24.98</c:v>
                </c:pt>
                <c:pt idx="5">
                  <c:v>25.04</c:v>
                </c:pt>
                <c:pt idx="6">
                  <c:v>24.59</c:v>
                </c:pt>
                <c:pt idx="7">
                  <c:v>24.27</c:v>
                </c:pt>
                <c:pt idx="8">
                  <c:v>24.13</c:v>
                </c:pt>
                <c:pt idx="9">
                  <c:v>23.77</c:v>
                </c:pt>
                <c:pt idx="10">
                  <c:v>23.44</c:v>
                </c:pt>
                <c:pt idx="11">
                  <c:v>23.19</c:v>
                </c:pt>
                <c:pt idx="12">
                  <c:v>22.41</c:v>
                </c:pt>
                <c:pt idx="13">
                  <c:v>19</c:v>
                </c:pt>
                <c:pt idx="14">
                  <c:v>18.739999999999998</c:v>
                </c:pt>
                <c:pt idx="15">
                  <c:v>18.850000000000001</c:v>
                </c:pt>
                <c:pt idx="16">
                  <c:v>18.899999999999999</c:v>
                </c:pt>
                <c:pt idx="17">
                  <c:v>19.27</c:v>
                </c:pt>
                <c:pt idx="18">
                  <c:v>19.54</c:v>
                </c:pt>
                <c:pt idx="19">
                  <c:v>19.73</c:v>
                </c:pt>
                <c:pt idx="20">
                  <c:v>19.8</c:v>
                </c:pt>
                <c:pt idx="21">
                  <c:v>20.05</c:v>
                </c:pt>
                <c:pt idx="22">
                  <c:v>20.48</c:v>
                </c:pt>
                <c:pt idx="23">
                  <c:v>22.05</c:v>
                </c:pt>
                <c:pt idx="24">
                  <c:v>25.62</c:v>
                </c:pt>
                <c:pt idx="25">
                  <c:v>30.57</c:v>
                </c:pt>
                <c:pt idx="26">
                  <c:v>36.32</c:v>
                </c:pt>
                <c:pt idx="27">
                  <c:v>42.21</c:v>
                </c:pt>
                <c:pt idx="28">
                  <c:v>48.18</c:v>
                </c:pt>
                <c:pt idx="29">
                  <c:v>53.99</c:v>
                </c:pt>
                <c:pt idx="30">
                  <c:v>59.47</c:v>
                </c:pt>
                <c:pt idx="31">
                  <c:v>64.64</c:v>
                </c:pt>
                <c:pt idx="32">
                  <c:v>69.540000000000006</c:v>
                </c:pt>
                <c:pt idx="33">
                  <c:v>74.150000000000006</c:v>
                </c:pt>
                <c:pt idx="34">
                  <c:v>78.459999999999994</c:v>
                </c:pt>
                <c:pt idx="35">
                  <c:v>82.44</c:v>
                </c:pt>
                <c:pt idx="36">
                  <c:v>86.18</c:v>
                </c:pt>
                <c:pt idx="37">
                  <c:v>89.65</c:v>
                </c:pt>
                <c:pt idx="38">
                  <c:v>92.79</c:v>
                </c:pt>
                <c:pt idx="39">
                  <c:v>95.53</c:v>
                </c:pt>
                <c:pt idx="40">
                  <c:v>97.82</c:v>
                </c:pt>
                <c:pt idx="41">
                  <c:v>100.1</c:v>
                </c:pt>
                <c:pt idx="42">
                  <c:v>102.2</c:v>
                </c:pt>
                <c:pt idx="43">
                  <c:v>104.16</c:v>
                </c:pt>
                <c:pt idx="44">
                  <c:v>105.86</c:v>
                </c:pt>
                <c:pt idx="45">
                  <c:v>107.42</c:v>
                </c:pt>
                <c:pt idx="46">
                  <c:v>108.79</c:v>
                </c:pt>
                <c:pt idx="47">
                  <c:v>110.03</c:v>
                </c:pt>
                <c:pt idx="48">
                  <c:v>111.15</c:v>
                </c:pt>
                <c:pt idx="49">
                  <c:v>112.15</c:v>
                </c:pt>
                <c:pt idx="50">
                  <c:v>113.07</c:v>
                </c:pt>
                <c:pt idx="51">
                  <c:v>113.91</c:v>
                </c:pt>
                <c:pt idx="52">
                  <c:v>114.66</c:v>
                </c:pt>
                <c:pt idx="53">
                  <c:v>115.33</c:v>
                </c:pt>
                <c:pt idx="54">
                  <c:v>115.96</c:v>
                </c:pt>
                <c:pt idx="55">
                  <c:v>116.51</c:v>
                </c:pt>
                <c:pt idx="56">
                  <c:v>117.02</c:v>
                </c:pt>
                <c:pt idx="57">
                  <c:v>117.48</c:v>
                </c:pt>
                <c:pt idx="58">
                  <c:v>117.89</c:v>
                </c:pt>
                <c:pt idx="59">
                  <c:v>118.27</c:v>
                </c:pt>
                <c:pt idx="60">
                  <c:v>118.61</c:v>
                </c:pt>
                <c:pt idx="61">
                  <c:v>118.92</c:v>
                </c:pt>
                <c:pt idx="62">
                  <c:v>119.2</c:v>
                </c:pt>
                <c:pt idx="63">
                  <c:v>119.45</c:v>
                </c:pt>
                <c:pt idx="64">
                  <c:v>119.7</c:v>
                </c:pt>
                <c:pt idx="65">
                  <c:v>119.88</c:v>
                </c:pt>
                <c:pt idx="66">
                  <c:v>120.09</c:v>
                </c:pt>
                <c:pt idx="67">
                  <c:v>120.25</c:v>
                </c:pt>
                <c:pt idx="68">
                  <c:v>120.42</c:v>
                </c:pt>
                <c:pt idx="69">
                  <c:v>120.55</c:v>
                </c:pt>
                <c:pt idx="70">
                  <c:v>120.7</c:v>
                </c:pt>
                <c:pt idx="71">
                  <c:v>120.8</c:v>
                </c:pt>
                <c:pt idx="72">
                  <c:v>120.93</c:v>
                </c:pt>
                <c:pt idx="73">
                  <c:v>121.01</c:v>
                </c:pt>
                <c:pt idx="74">
                  <c:v>121.13</c:v>
                </c:pt>
                <c:pt idx="75">
                  <c:v>121.19</c:v>
                </c:pt>
                <c:pt idx="76">
                  <c:v>121.29</c:v>
                </c:pt>
                <c:pt idx="77">
                  <c:v>121.35</c:v>
                </c:pt>
                <c:pt idx="78">
                  <c:v>121.42</c:v>
                </c:pt>
                <c:pt idx="79">
                  <c:v>121.47</c:v>
                </c:pt>
                <c:pt idx="80">
                  <c:v>121.53</c:v>
                </c:pt>
                <c:pt idx="81">
                  <c:v>121.58</c:v>
                </c:pt>
                <c:pt idx="82">
                  <c:v>121.63</c:v>
                </c:pt>
                <c:pt idx="83">
                  <c:v>121.67</c:v>
                </c:pt>
                <c:pt idx="84">
                  <c:v>121.7</c:v>
                </c:pt>
                <c:pt idx="85">
                  <c:v>121.74</c:v>
                </c:pt>
                <c:pt idx="86">
                  <c:v>121.78</c:v>
                </c:pt>
                <c:pt idx="87">
                  <c:v>121.79</c:v>
                </c:pt>
                <c:pt idx="88">
                  <c:v>121.84</c:v>
                </c:pt>
                <c:pt idx="89">
                  <c:v>121.86</c:v>
                </c:pt>
                <c:pt idx="90">
                  <c:v>121.89</c:v>
                </c:pt>
                <c:pt idx="91">
                  <c:v>121.91</c:v>
                </c:pt>
                <c:pt idx="92">
                  <c:v>121.93</c:v>
                </c:pt>
                <c:pt idx="93">
                  <c:v>121.95</c:v>
                </c:pt>
                <c:pt idx="94">
                  <c:v>121.98</c:v>
                </c:pt>
                <c:pt idx="95">
                  <c:v>121.99</c:v>
                </c:pt>
                <c:pt idx="96">
                  <c:v>122.01</c:v>
                </c:pt>
                <c:pt idx="97">
                  <c:v>122.03</c:v>
                </c:pt>
                <c:pt idx="98">
                  <c:v>122.04</c:v>
                </c:pt>
                <c:pt idx="99">
                  <c:v>119.99</c:v>
                </c:pt>
                <c:pt idx="100">
                  <c:v>114.47</c:v>
                </c:pt>
                <c:pt idx="101">
                  <c:v>108.94</c:v>
                </c:pt>
                <c:pt idx="102">
                  <c:v>104.34</c:v>
                </c:pt>
                <c:pt idx="103">
                  <c:v>100.83</c:v>
                </c:pt>
                <c:pt idx="104">
                  <c:v>98.1</c:v>
                </c:pt>
                <c:pt idx="105">
                  <c:v>96.12</c:v>
                </c:pt>
                <c:pt idx="106">
                  <c:v>94.93</c:v>
                </c:pt>
                <c:pt idx="107">
                  <c:v>94.38</c:v>
                </c:pt>
                <c:pt idx="108">
                  <c:v>94.11</c:v>
                </c:pt>
                <c:pt idx="109">
                  <c:v>93.93</c:v>
                </c:pt>
                <c:pt idx="110">
                  <c:v>93.81</c:v>
                </c:pt>
                <c:pt idx="111">
                  <c:v>93.69</c:v>
                </c:pt>
                <c:pt idx="112">
                  <c:v>93.58</c:v>
                </c:pt>
                <c:pt idx="113">
                  <c:v>93.5</c:v>
                </c:pt>
                <c:pt idx="114">
                  <c:v>93.45</c:v>
                </c:pt>
                <c:pt idx="115">
                  <c:v>93.37</c:v>
                </c:pt>
                <c:pt idx="116">
                  <c:v>93.3</c:v>
                </c:pt>
                <c:pt idx="117">
                  <c:v>93.04</c:v>
                </c:pt>
                <c:pt idx="118">
                  <c:v>92.66</c:v>
                </c:pt>
                <c:pt idx="119">
                  <c:v>92.28</c:v>
                </c:pt>
                <c:pt idx="120">
                  <c:v>91.91</c:v>
                </c:pt>
                <c:pt idx="121">
                  <c:v>91.57</c:v>
                </c:pt>
                <c:pt idx="122">
                  <c:v>91.18</c:v>
                </c:pt>
                <c:pt idx="123">
                  <c:v>90.37</c:v>
                </c:pt>
                <c:pt idx="124">
                  <c:v>72.28</c:v>
                </c:pt>
                <c:pt idx="125">
                  <c:v>60.43</c:v>
                </c:pt>
                <c:pt idx="126">
                  <c:v>52.31</c:v>
                </c:pt>
                <c:pt idx="127">
                  <c:v>45.52</c:v>
                </c:pt>
                <c:pt idx="128">
                  <c:v>39.770000000000003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F3CA-409C-89D1-36680D78D7F2}"/>
            </c:ext>
          </c:extLst>
        </c:ser>
        <c:ser>
          <c:idx val="1"/>
          <c:order val="1"/>
          <c:tx>
            <c:strRef>
              <c:f>'DESEMPEÑO 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'DESEMPEÑO  TEMP2'!$B$31:$B$159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TEMP2'!$BC$31:$BC$159</c:f>
              <c:numCache>
                <c:formatCode>0.0</c:formatCode>
                <c:ptCount val="129"/>
                <c:pt idx="0">
                  <c:v>23.08</c:v>
                </c:pt>
                <c:pt idx="1">
                  <c:v>22.95</c:v>
                </c:pt>
                <c:pt idx="2">
                  <c:v>22.85</c:v>
                </c:pt>
                <c:pt idx="3">
                  <c:v>25.03</c:v>
                </c:pt>
                <c:pt idx="4">
                  <c:v>25.46</c:v>
                </c:pt>
                <c:pt idx="5">
                  <c:v>26.09</c:v>
                </c:pt>
                <c:pt idx="6">
                  <c:v>25.54</c:v>
                </c:pt>
                <c:pt idx="7">
                  <c:v>25.06</c:v>
                </c:pt>
                <c:pt idx="8">
                  <c:v>25.33</c:v>
                </c:pt>
                <c:pt idx="9">
                  <c:v>18.62</c:v>
                </c:pt>
                <c:pt idx="10">
                  <c:v>18.399999999999999</c:v>
                </c:pt>
                <c:pt idx="11">
                  <c:v>18.38</c:v>
                </c:pt>
                <c:pt idx="12">
                  <c:v>18.41</c:v>
                </c:pt>
                <c:pt idx="13">
                  <c:v>18.41</c:v>
                </c:pt>
                <c:pt idx="14">
                  <c:v>18.43</c:v>
                </c:pt>
                <c:pt idx="15">
                  <c:v>18.47</c:v>
                </c:pt>
                <c:pt idx="16">
                  <c:v>18.52</c:v>
                </c:pt>
                <c:pt idx="17">
                  <c:v>18.86</c:v>
                </c:pt>
                <c:pt idx="18">
                  <c:v>19.41</c:v>
                </c:pt>
                <c:pt idx="19">
                  <c:v>19.829999999999998</c:v>
                </c:pt>
                <c:pt idx="20">
                  <c:v>19.37</c:v>
                </c:pt>
                <c:pt idx="21">
                  <c:v>19.7</c:v>
                </c:pt>
                <c:pt idx="22">
                  <c:v>22.07</c:v>
                </c:pt>
                <c:pt idx="23">
                  <c:v>22.53</c:v>
                </c:pt>
                <c:pt idx="24">
                  <c:v>23.91</c:v>
                </c:pt>
                <c:pt idx="25">
                  <c:v>26.19</c:v>
                </c:pt>
                <c:pt idx="26">
                  <c:v>29.21</c:v>
                </c:pt>
                <c:pt idx="27">
                  <c:v>32.72</c:v>
                </c:pt>
                <c:pt idx="28">
                  <c:v>36.46</c:v>
                </c:pt>
                <c:pt idx="29">
                  <c:v>40.299999999999997</c:v>
                </c:pt>
                <c:pt idx="30">
                  <c:v>44.2</c:v>
                </c:pt>
                <c:pt idx="31">
                  <c:v>48.11</c:v>
                </c:pt>
                <c:pt idx="32">
                  <c:v>51.99</c:v>
                </c:pt>
                <c:pt idx="33">
                  <c:v>55.8</c:v>
                </c:pt>
                <c:pt idx="34">
                  <c:v>59.56</c:v>
                </c:pt>
                <c:pt idx="35">
                  <c:v>63.18</c:v>
                </c:pt>
                <c:pt idx="36">
                  <c:v>66.739999999999995</c:v>
                </c:pt>
                <c:pt idx="37">
                  <c:v>70.2</c:v>
                </c:pt>
                <c:pt idx="38">
                  <c:v>73.44</c:v>
                </c:pt>
                <c:pt idx="39">
                  <c:v>76.400000000000006</c:v>
                </c:pt>
                <c:pt idx="40">
                  <c:v>79.16</c:v>
                </c:pt>
                <c:pt idx="41">
                  <c:v>81.78</c:v>
                </c:pt>
                <c:pt idx="42">
                  <c:v>84.22</c:v>
                </c:pt>
                <c:pt idx="43">
                  <c:v>86.59</c:v>
                </c:pt>
                <c:pt idx="44">
                  <c:v>88.75</c:v>
                </c:pt>
                <c:pt idx="45">
                  <c:v>90.85</c:v>
                </c:pt>
                <c:pt idx="46">
                  <c:v>92.75</c:v>
                </c:pt>
                <c:pt idx="47">
                  <c:v>94.6</c:v>
                </c:pt>
                <c:pt idx="48">
                  <c:v>96.26</c:v>
                </c:pt>
                <c:pt idx="49">
                  <c:v>97.98</c:v>
                </c:pt>
                <c:pt idx="50">
                  <c:v>99.59</c:v>
                </c:pt>
                <c:pt idx="51">
                  <c:v>101.09</c:v>
                </c:pt>
                <c:pt idx="52">
                  <c:v>102.42</c:v>
                </c:pt>
                <c:pt idx="53">
                  <c:v>103.7</c:v>
                </c:pt>
                <c:pt idx="54">
                  <c:v>104.87</c:v>
                </c:pt>
                <c:pt idx="55">
                  <c:v>105.98</c:v>
                </c:pt>
                <c:pt idx="56">
                  <c:v>107.03</c:v>
                </c:pt>
                <c:pt idx="57">
                  <c:v>107.99</c:v>
                </c:pt>
                <c:pt idx="58">
                  <c:v>108.9</c:v>
                </c:pt>
                <c:pt idx="59">
                  <c:v>109.79</c:v>
                </c:pt>
                <c:pt idx="60">
                  <c:v>110.6</c:v>
                </c:pt>
                <c:pt idx="61">
                  <c:v>111.37</c:v>
                </c:pt>
                <c:pt idx="62">
                  <c:v>112.08</c:v>
                </c:pt>
                <c:pt idx="63">
                  <c:v>112.76</c:v>
                </c:pt>
                <c:pt idx="64">
                  <c:v>113.4</c:v>
                </c:pt>
                <c:pt idx="65">
                  <c:v>114.01</c:v>
                </c:pt>
                <c:pt idx="66">
                  <c:v>114.57</c:v>
                </c:pt>
                <c:pt idx="67">
                  <c:v>115.12</c:v>
                </c:pt>
                <c:pt idx="68">
                  <c:v>115.63</c:v>
                </c:pt>
                <c:pt idx="69">
                  <c:v>116.1</c:v>
                </c:pt>
                <c:pt idx="70">
                  <c:v>116.55</c:v>
                </c:pt>
                <c:pt idx="71">
                  <c:v>116.98</c:v>
                </c:pt>
                <c:pt idx="72">
                  <c:v>117.37</c:v>
                </c:pt>
                <c:pt idx="73">
                  <c:v>117.76</c:v>
                </c:pt>
                <c:pt idx="74">
                  <c:v>118.12</c:v>
                </c:pt>
                <c:pt idx="75">
                  <c:v>118.48</c:v>
                </c:pt>
                <c:pt idx="76">
                  <c:v>118.83</c:v>
                </c:pt>
                <c:pt idx="77">
                  <c:v>119.16</c:v>
                </c:pt>
                <c:pt idx="78">
                  <c:v>119.47</c:v>
                </c:pt>
                <c:pt idx="79">
                  <c:v>119.74</c:v>
                </c:pt>
                <c:pt idx="80">
                  <c:v>120.02</c:v>
                </c:pt>
                <c:pt idx="81">
                  <c:v>120.25</c:v>
                </c:pt>
                <c:pt idx="82">
                  <c:v>120.49</c:v>
                </c:pt>
                <c:pt idx="83">
                  <c:v>120.69</c:v>
                </c:pt>
                <c:pt idx="84">
                  <c:v>120.9</c:v>
                </c:pt>
                <c:pt idx="85">
                  <c:v>121.08</c:v>
                </c:pt>
                <c:pt idx="86">
                  <c:v>121.26</c:v>
                </c:pt>
                <c:pt idx="87">
                  <c:v>121.43</c:v>
                </c:pt>
                <c:pt idx="88">
                  <c:v>121.59</c:v>
                </c:pt>
                <c:pt idx="89">
                  <c:v>121.73</c:v>
                </c:pt>
                <c:pt idx="90">
                  <c:v>121.87</c:v>
                </c:pt>
                <c:pt idx="91">
                  <c:v>122.01</c:v>
                </c:pt>
                <c:pt idx="92">
                  <c:v>122.13</c:v>
                </c:pt>
                <c:pt idx="93">
                  <c:v>122.25</c:v>
                </c:pt>
                <c:pt idx="94">
                  <c:v>122.36</c:v>
                </c:pt>
                <c:pt idx="95">
                  <c:v>122.46</c:v>
                </c:pt>
                <c:pt idx="96">
                  <c:v>122.57</c:v>
                </c:pt>
                <c:pt idx="97">
                  <c:v>122.67</c:v>
                </c:pt>
                <c:pt idx="98">
                  <c:v>122.74</c:v>
                </c:pt>
                <c:pt idx="99">
                  <c:v>122.2</c:v>
                </c:pt>
                <c:pt idx="100">
                  <c:v>117.5</c:v>
                </c:pt>
                <c:pt idx="101">
                  <c:v>112.19</c:v>
                </c:pt>
                <c:pt idx="102">
                  <c:v>107.83</c:v>
                </c:pt>
                <c:pt idx="103">
                  <c:v>104.01</c:v>
                </c:pt>
                <c:pt idx="104">
                  <c:v>101.35</c:v>
                </c:pt>
                <c:pt idx="105">
                  <c:v>99.7</c:v>
                </c:pt>
                <c:pt idx="106">
                  <c:v>98.51</c:v>
                </c:pt>
                <c:pt idx="107">
                  <c:v>97.4</c:v>
                </c:pt>
                <c:pt idx="108">
                  <c:v>96.71</c:v>
                </c:pt>
                <c:pt idx="109">
                  <c:v>96.41</c:v>
                </c:pt>
                <c:pt idx="110">
                  <c:v>96.09</c:v>
                </c:pt>
                <c:pt idx="111">
                  <c:v>95.97</c:v>
                </c:pt>
                <c:pt idx="112">
                  <c:v>95.75</c:v>
                </c:pt>
                <c:pt idx="113">
                  <c:v>95.59</c:v>
                </c:pt>
                <c:pt idx="114">
                  <c:v>95.48</c:v>
                </c:pt>
                <c:pt idx="115">
                  <c:v>95.4</c:v>
                </c:pt>
                <c:pt idx="116">
                  <c:v>95.31</c:v>
                </c:pt>
                <c:pt idx="117">
                  <c:v>95.19</c:v>
                </c:pt>
                <c:pt idx="118">
                  <c:v>94.91</c:v>
                </c:pt>
                <c:pt idx="119">
                  <c:v>92.63</c:v>
                </c:pt>
                <c:pt idx="120">
                  <c:v>92.17</c:v>
                </c:pt>
                <c:pt idx="121">
                  <c:v>91.8</c:v>
                </c:pt>
                <c:pt idx="122">
                  <c:v>91.45</c:v>
                </c:pt>
                <c:pt idx="123">
                  <c:v>91.11</c:v>
                </c:pt>
                <c:pt idx="124">
                  <c:v>90.77</c:v>
                </c:pt>
                <c:pt idx="125">
                  <c:v>90.41</c:v>
                </c:pt>
                <c:pt idx="126">
                  <c:v>90.31</c:v>
                </c:pt>
                <c:pt idx="127">
                  <c:v>90.15</c:v>
                </c:pt>
                <c:pt idx="128">
                  <c:v>89.95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F3CA-409C-89D1-36680D78D7F2}"/>
            </c:ext>
          </c:extLst>
        </c:ser>
        <c:ser>
          <c:idx val="2"/>
          <c:order val="2"/>
          <c:tx>
            <c:strRef>
              <c:f>'DESEMPEÑO 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'DESEMPEÑO  TEMP2'!$B$31:$B$159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TEMP2'!$BD$31:$BD$159</c:f>
              <c:numCache>
                <c:formatCode>0.0</c:formatCode>
                <c:ptCount val="129"/>
                <c:pt idx="0">
                  <c:v>23.61</c:v>
                </c:pt>
                <c:pt idx="1">
                  <c:v>23.53</c:v>
                </c:pt>
                <c:pt idx="2">
                  <c:v>24.33</c:v>
                </c:pt>
                <c:pt idx="3">
                  <c:v>23.96</c:v>
                </c:pt>
                <c:pt idx="4">
                  <c:v>24.98</c:v>
                </c:pt>
                <c:pt idx="5">
                  <c:v>25.04</c:v>
                </c:pt>
                <c:pt idx="6">
                  <c:v>24.59</c:v>
                </c:pt>
                <c:pt idx="7">
                  <c:v>24.27</c:v>
                </c:pt>
                <c:pt idx="8">
                  <c:v>24.13</c:v>
                </c:pt>
                <c:pt idx="9">
                  <c:v>23.77</c:v>
                </c:pt>
                <c:pt idx="10">
                  <c:v>23.44</c:v>
                </c:pt>
                <c:pt idx="11">
                  <c:v>23.19</c:v>
                </c:pt>
                <c:pt idx="12">
                  <c:v>22.41</c:v>
                </c:pt>
                <c:pt idx="13">
                  <c:v>19</c:v>
                </c:pt>
                <c:pt idx="14">
                  <c:v>18.739999999999998</c:v>
                </c:pt>
                <c:pt idx="15">
                  <c:v>18.850000000000001</c:v>
                </c:pt>
                <c:pt idx="16">
                  <c:v>18.899999999999999</c:v>
                </c:pt>
                <c:pt idx="17">
                  <c:v>19.27</c:v>
                </c:pt>
                <c:pt idx="18">
                  <c:v>19.54</c:v>
                </c:pt>
                <c:pt idx="19">
                  <c:v>19.73</c:v>
                </c:pt>
                <c:pt idx="20">
                  <c:v>19.8</c:v>
                </c:pt>
                <c:pt idx="21">
                  <c:v>20.05</c:v>
                </c:pt>
                <c:pt idx="22">
                  <c:v>20.48</c:v>
                </c:pt>
                <c:pt idx="23">
                  <c:v>22.05</c:v>
                </c:pt>
                <c:pt idx="24">
                  <c:v>25.62</c:v>
                </c:pt>
                <c:pt idx="25">
                  <c:v>30.57</c:v>
                </c:pt>
                <c:pt idx="26">
                  <c:v>36.32</c:v>
                </c:pt>
                <c:pt idx="27">
                  <c:v>42.21</c:v>
                </c:pt>
                <c:pt idx="28">
                  <c:v>48.18</c:v>
                </c:pt>
                <c:pt idx="29">
                  <c:v>53.99</c:v>
                </c:pt>
                <c:pt idx="30">
                  <c:v>59.47</c:v>
                </c:pt>
                <c:pt idx="31">
                  <c:v>64.64</c:v>
                </c:pt>
                <c:pt idx="32">
                  <c:v>69.540000000000006</c:v>
                </c:pt>
                <c:pt idx="33">
                  <c:v>74.150000000000006</c:v>
                </c:pt>
                <c:pt idx="34">
                  <c:v>78.459999999999994</c:v>
                </c:pt>
                <c:pt idx="35">
                  <c:v>82.44</c:v>
                </c:pt>
                <c:pt idx="36">
                  <c:v>86.18</c:v>
                </c:pt>
                <c:pt idx="37">
                  <c:v>89.65</c:v>
                </c:pt>
                <c:pt idx="38">
                  <c:v>92.79</c:v>
                </c:pt>
                <c:pt idx="39">
                  <c:v>95.53</c:v>
                </c:pt>
                <c:pt idx="40">
                  <c:v>97.82</c:v>
                </c:pt>
                <c:pt idx="41">
                  <c:v>100.1</c:v>
                </c:pt>
                <c:pt idx="42">
                  <c:v>102.2</c:v>
                </c:pt>
                <c:pt idx="43">
                  <c:v>104.16</c:v>
                </c:pt>
                <c:pt idx="44">
                  <c:v>105.86</c:v>
                </c:pt>
                <c:pt idx="45">
                  <c:v>107.42</c:v>
                </c:pt>
                <c:pt idx="46">
                  <c:v>108.79</c:v>
                </c:pt>
                <c:pt idx="47">
                  <c:v>110.03</c:v>
                </c:pt>
                <c:pt idx="48">
                  <c:v>111.15</c:v>
                </c:pt>
                <c:pt idx="49">
                  <c:v>112.15</c:v>
                </c:pt>
                <c:pt idx="50">
                  <c:v>113.07</c:v>
                </c:pt>
                <c:pt idx="51">
                  <c:v>113.91</c:v>
                </c:pt>
                <c:pt idx="52">
                  <c:v>114.66</c:v>
                </c:pt>
                <c:pt idx="53">
                  <c:v>115.33</c:v>
                </c:pt>
                <c:pt idx="54">
                  <c:v>115.96</c:v>
                </c:pt>
                <c:pt idx="55">
                  <c:v>116.51</c:v>
                </c:pt>
                <c:pt idx="56">
                  <c:v>117.02</c:v>
                </c:pt>
                <c:pt idx="57">
                  <c:v>117.48</c:v>
                </c:pt>
                <c:pt idx="58">
                  <c:v>117.89</c:v>
                </c:pt>
                <c:pt idx="59">
                  <c:v>118.27</c:v>
                </c:pt>
                <c:pt idx="60">
                  <c:v>118.61</c:v>
                </c:pt>
                <c:pt idx="61">
                  <c:v>118.92</c:v>
                </c:pt>
                <c:pt idx="62">
                  <c:v>119.2</c:v>
                </c:pt>
                <c:pt idx="63">
                  <c:v>119.45</c:v>
                </c:pt>
                <c:pt idx="64">
                  <c:v>119.7</c:v>
                </c:pt>
                <c:pt idx="65">
                  <c:v>119.88</c:v>
                </c:pt>
                <c:pt idx="66">
                  <c:v>120.09</c:v>
                </c:pt>
                <c:pt idx="67">
                  <c:v>120.25</c:v>
                </c:pt>
                <c:pt idx="68">
                  <c:v>120.42</c:v>
                </c:pt>
                <c:pt idx="69">
                  <c:v>120.55</c:v>
                </c:pt>
                <c:pt idx="70">
                  <c:v>120.7</c:v>
                </c:pt>
                <c:pt idx="71">
                  <c:v>120.8</c:v>
                </c:pt>
                <c:pt idx="72">
                  <c:v>120.93</c:v>
                </c:pt>
                <c:pt idx="73">
                  <c:v>121.01</c:v>
                </c:pt>
                <c:pt idx="74">
                  <c:v>121.13</c:v>
                </c:pt>
                <c:pt idx="75">
                  <c:v>121.19</c:v>
                </c:pt>
                <c:pt idx="76">
                  <c:v>121.29</c:v>
                </c:pt>
                <c:pt idx="77">
                  <c:v>121.35</c:v>
                </c:pt>
                <c:pt idx="78">
                  <c:v>121.42</c:v>
                </c:pt>
                <c:pt idx="79">
                  <c:v>121.47</c:v>
                </c:pt>
                <c:pt idx="80">
                  <c:v>121.53</c:v>
                </c:pt>
                <c:pt idx="81">
                  <c:v>121.58</c:v>
                </c:pt>
                <c:pt idx="82">
                  <c:v>121.63</c:v>
                </c:pt>
                <c:pt idx="83">
                  <c:v>121.67</c:v>
                </c:pt>
                <c:pt idx="84">
                  <c:v>121.7</c:v>
                </c:pt>
                <c:pt idx="85">
                  <c:v>121.74</c:v>
                </c:pt>
                <c:pt idx="86">
                  <c:v>121.78</c:v>
                </c:pt>
                <c:pt idx="87">
                  <c:v>121.79</c:v>
                </c:pt>
                <c:pt idx="88">
                  <c:v>121.84</c:v>
                </c:pt>
                <c:pt idx="89">
                  <c:v>121.86</c:v>
                </c:pt>
                <c:pt idx="90">
                  <c:v>121.89</c:v>
                </c:pt>
                <c:pt idx="91">
                  <c:v>121.91</c:v>
                </c:pt>
                <c:pt idx="92">
                  <c:v>121.93</c:v>
                </c:pt>
                <c:pt idx="93">
                  <c:v>121.95</c:v>
                </c:pt>
                <c:pt idx="94">
                  <c:v>121.98</c:v>
                </c:pt>
                <c:pt idx="95">
                  <c:v>121.99</c:v>
                </c:pt>
                <c:pt idx="96">
                  <c:v>122.01</c:v>
                </c:pt>
                <c:pt idx="97">
                  <c:v>122.03</c:v>
                </c:pt>
                <c:pt idx="98">
                  <c:v>122.04</c:v>
                </c:pt>
                <c:pt idx="99">
                  <c:v>119.99</c:v>
                </c:pt>
                <c:pt idx="100">
                  <c:v>114.47</c:v>
                </c:pt>
                <c:pt idx="101">
                  <c:v>108.94</c:v>
                </c:pt>
                <c:pt idx="102">
                  <c:v>104.34</c:v>
                </c:pt>
                <c:pt idx="103">
                  <c:v>100.83</c:v>
                </c:pt>
                <c:pt idx="104">
                  <c:v>98.1</c:v>
                </c:pt>
                <c:pt idx="105">
                  <c:v>96.12</c:v>
                </c:pt>
                <c:pt idx="106">
                  <c:v>94.93</c:v>
                </c:pt>
                <c:pt idx="107">
                  <c:v>94.38</c:v>
                </c:pt>
                <c:pt idx="108">
                  <c:v>94.11</c:v>
                </c:pt>
                <c:pt idx="109">
                  <c:v>93.93</c:v>
                </c:pt>
                <c:pt idx="110">
                  <c:v>93.81</c:v>
                </c:pt>
                <c:pt idx="111">
                  <c:v>93.69</c:v>
                </c:pt>
                <c:pt idx="112">
                  <c:v>93.58</c:v>
                </c:pt>
                <c:pt idx="113">
                  <c:v>93.5</c:v>
                </c:pt>
                <c:pt idx="114">
                  <c:v>93.45</c:v>
                </c:pt>
                <c:pt idx="115">
                  <c:v>93.37</c:v>
                </c:pt>
                <c:pt idx="116">
                  <c:v>93.3</c:v>
                </c:pt>
                <c:pt idx="117">
                  <c:v>93.04</c:v>
                </c:pt>
                <c:pt idx="118">
                  <c:v>92.66</c:v>
                </c:pt>
                <c:pt idx="119">
                  <c:v>92.28</c:v>
                </c:pt>
                <c:pt idx="120">
                  <c:v>91.91</c:v>
                </c:pt>
                <c:pt idx="121">
                  <c:v>91.57</c:v>
                </c:pt>
                <c:pt idx="122">
                  <c:v>91.18</c:v>
                </c:pt>
                <c:pt idx="123">
                  <c:v>90.37</c:v>
                </c:pt>
                <c:pt idx="124">
                  <c:v>72.28</c:v>
                </c:pt>
                <c:pt idx="125">
                  <c:v>60.43</c:v>
                </c:pt>
                <c:pt idx="126">
                  <c:v>52.31</c:v>
                </c:pt>
                <c:pt idx="127">
                  <c:v>45.52</c:v>
                </c:pt>
                <c:pt idx="128">
                  <c:v>39.770000000000003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F3CA-409C-89D1-36680D78D7F2}"/>
            </c:ext>
          </c:extLst>
        </c:ser>
        <c:ser>
          <c:idx val="3"/>
          <c:order val="3"/>
          <c:tx>
            <c:strRef>
              <c:f>'DESEMPEÑO 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'DESEMPEÑO  TEMP2'!$B$31:$B$159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TEMP2'!$BE$31:$BE$159</c:f>
              <c:numCache>
                <c:formatCode>0.0</c:formatCode>
                <c:ptCount val="129"/>
                <c:pt idx="0">
                  <c:v>23.43</c:v>
                </c:pt>
                <c:pt idx="1">
                  <c:v>23.32</c:v>
                </c:pt>
                <c:pt idx="2">
                  <c:v>24.6</c:v>
                </c:pt>
                <c:pt idx="3">
                  <c:v>25.63</c:v>
                </c:pt>
                <c:pt idx="4">
                  <c:v>25.7</c:v>
                </c:pt>
                <c:pt idx="5">
                  <c:v>26.27</c:v>
                </c:pt>
                <c:pt idx="6">
                  <c:v>25.47</c:v>
                </c:pt>
                <c:pt idx="7">
                  <c:v>24.85</c:v>
                </c:pt>
                <c:pt idx="8">
                  <c:v>24.4</c:v>
                </c:pt>
                <c:pt idx="9">
                  <c:v>24.05</c:v>
                </c:pt>
                <c:pt idx="10">
                  <c:v>23.81</c:v>
                </c:pt>
                <c:pt idx="11">
                  <c:v>23.69</c:v>
                </c:pt>
                <c:pt idx="12">
                  <c:v>21.13</c:v>
                </c:pt>
                <c:pt idx="13">
                  <c:v>18.920000000000002</c:v>
                </c:pt>
                <c:pt idx="14">
                  <c:v>18.84</c:v>
                </c:pt>
                <c:pt idx="15">
                  <c:v>19.02</c:v>
                </c:pt>
                <c:pt idx="16">
                  <c:v>19.18</c:v>
                </c:pt>
                <c:pt idx="17">
                  <c:v>19.399999999999999</c:v>
                </c:pt>
                <c:pt idx="18">
                  <c:v>19.559999999999999</c:v>
                </c:pt>
                <c:pt idx="19">
                  <c:v>19.829999999999998</c:v>
                </c:pt>
                <c:pt idx="20">
                  <c:v>20.49</c:v>
                </c:pt>
                <c:pt idx="21">
                  <c:v>20.8</c:v>
                </c:pt>
                <c:pt idx="22">
                  <c:v>21.22</c:v>
                </c:pt>
                <c:pt idx="23">
                  <c:v>22.7</c:v>
                </c:pt>
                <c:pt idx="24">
                  <c:v>26.28</c:v>
                </c:pt>
                <c:pt idx="25">
                  <c:v>31.32</c:v>
                </c:pt>
                <c:pt idx="26">
                  <c:v>37.08</c:v>
                </c:pt>
                <c:pt idx="27">
                  <c:v>43.17</c:v>
                </c:pt>
                <c:pt idx="28">
                  <c:v>49.25</c:v>
                </c:pt>
                <c:pt idx="29">
                  <c:v>55.12</c:v>
                </c:pt>
                <c:pt idx="30">
                  <c:v>60.74</c:v>
                </c:pt>
                <c:pt idx="31">
                  <c:v>66.08</c:v>
                </c:pt>
                <c:pt idx="32">
                  <c:v>71.08</c:v>
                </c:pt>
                <c:pt idx="33">
                  <c:v>75.73</c:v>
                </c:pt>
                <c:pt idx="34">
                  <c:v>80.13</c:v>
                </c:pt>
                <c:pt idx="35">
                  <c:v>84.16</c:v>
                </c:pt>
                <c:pt idx="36">
                  <c:v>87.83</c:v>
                </c:pt>
                <c:pt idx="37">
                  <c:v>91.32</c:v>
                </c:pt>
                <c:pt idx="38">
                  <c:v>94.23</c:v>
                </c:pt>
                <c:pt idx="39">
                  <c:v>96.89</c:v>
                </c:pt>
                <c:pt idx="40">
                  <c:v>99.34</c:v>
                </c:pt>
                <c:pt idx="41">
                  <c:v>101.51</c:v>
                </c:pt>
                <c:pt idx="42">
                  <c:v>103.52</c:v>
                </c:pt>
                <c:pt idx="43">
                  <c:v>105.36</c:v>
                </c:pt>
                <c:pt idx="44">
                  <c:v>107.01</c:v>
                </c:pt>
                <c:pt idx="45">
                  <c:v>108.51</c:v>
                </c:pt>
                <c:pt idx="46">
                  <c:v>109.93</c:v>
                </c:pt>
                <c:pt idx="47">
                  <c:v>111.2</c:v>
                </c:pt>
                <c:pt idx="48">
                  <c:v>112.3</c:v>
                </c:pt>
                <c:pt idx="49">
                  <c:v>113.39</c:v>
                </c:pt>
                <c:pt idx="50">
                  <c:v>114.3</c:v>
                </c:pt>
                <c:pt idx="51">
                  <c:v>115.13</c:v>
                </c:pt>
                <c:pt idx="52">
                  <c:v>115.88</c:v>
                </c:pt>
                <c:pt idx="53">
                  <c:v>116.55</c:v>
                </c:pt>
                <c:pt idx="54">
                  <c:v>117.17</c:v>
                </c:pt>
                <c:pt idx="55">
                  <c:v>117.71</c:v>
                </c:pt>
                <c:pt idx="56">
                  <c:v>118.21</c:v>
                </c:pt>
                <c:pt idx="57">
                  <c:v>118.67</c:v>
                </c:pt>
                <c:pt idx="58">
                  <c:v>119.07</c:v>
                </c:pt>
                <c:pt idx="59">
                  <c:v>119.45</c:v>
                </c:pt>
                <c:pt idx="60">
                  <c:v>119.79</c:v>
                </c:pt>
                <c:pt idx="61">
                  <c:v>120.09</c:v>
                </c:pt>
                <c:pt idx="62">
                  <c:v>120.36</c:v>
                </c:pt>
                <c:pt idx="63">
                  <c:v>120.61</c:v>
                </c:pt>
                <c:pt idx="64">
                  <c:v>120.84</c:v>
                </c:pt>
                <c:pt idx="65">
                  <c:v>121.04</c:v>
                </c:pt>
                <c:pt idx="66">
                  <c:v>121.26</c:v>
                </c:pt>
                <c:pt idx="67">
                  <c:v>121.4</c:v>
                </c:pt>
                <c:pt idx="68">
                  <c:v>121.57</c:v>
                </c:pt>
                <c:pt idx="69">
                  <c:v>121.7</c:v>
                </c:pt>
                <c:pt idx="70">
                  <c:v>121.85</c:v>
                </c:pt>
                <c:pt idx="71">
                  <c:v>121.95</c:v>
                </c:pt>
                <c:pt idx="72">
                  <c:v>122.08</c:v>
                </c:pt>
                <c:pt idx="73">
                  <c:v>122.16</c:v>
                </c:pt>
                <c:pt idx="74">
                  <c:v>122.26</c:v>
                </c:pt>
                <c:pt idx="75">
                  <c:v>122.33</c:v>
                </c:pt>
                <c:pt idx="76">
                  <c:v>122.43</c:v>
                </c:pt>
                <c:pt idx="77">
                  <c:v>122.49</c:v>
                </c:pt>
                <c:pt idx="78">
                  <c:v>122.58</c:v>
                </c:pt>
                <c:pt idx="79">
                  <c:v>122.63</c:v>
                </c:pt>
                <c:pt idx="80">
                  <c:v>122.69</c:v>
                </c:pt>
                <c:pt idx="81">
                  <c:v>122.74</c:v>
                </c:pt>
                <c:pt idx="82">
                  <c:v>122.79</c:v>
                </c:pt>
                <c:pt idx="83">
                  <c:v>122.83</c:v>
                </c:pt>
                <c:pt idx="84">
                  <c:v>122.88</c:v>
                </c:pt>
                <c:pt idx="85">
                  <c:v>122.91</c:v>
                </c:pt>
                <c:pt idx="86">
                  <c:v>122.96</c:v>
                </c:pt>
                <c:pt idx="87">
                  <c:v>122.99</c:v>
                </c:pt>
                <c:pt idx="88">
                  <c:v>123.01</c:v>
                </c:pt>
                <c:pt idx="89">
                  <c:v>123.04</c:v>
                </c:pt>
                <c:pt idx="90">
                  <c:v>123.08</c:v>
                </c:pt>
                <c:pt idx="91">
                  <c:v>123.11</c:v>
                </c:pt>
                <c:pt idx="92">
                  <c:v>123.13</c:v>
                </c:pt>
                <c:pt idx="93">
                  <c:v>123.15</c:v>
                </c:pt>
                <c:pt idx="94">
                  <c:v>123.18</c:v>
                </c:pt>
                <c:pt idx="95">
                  <c:v>123.19</c:v>
                </c:pt>
                <c:pt idx="96">
                  <c:v>123.22</c:v>
                </c:pt>
                <c:pt idx="97">
                  <c:v>123.23</c:v>
                </c:pt>
                <c:pt idx="98">
                  <c:v>123.25</c:v>
                </c:pt>
                <c:pt idx="99">
                  <c:v>121.27</c:v>
                </c:pt>
                <c:pt idx="100">
                  <c:v>116.16</c:v>
                </c:pt>
                <c:pt idx="101">
                  <c:v>110.62</c:v>
                </c:pt>
                <c:pt idx="102">
                  <c:v>105.72</c:v>
                </c:pt>
                <c:pt idx="103">
                  <c:v>101.73</c:v>
                </c:pt>
                <c:pt idx="104">
                  <c:v>98.78</c:v>
                </c:pt>
                <c:pt idx="105">
                  <c:v>96.74</c:v>
                </c:pt>
                <c:pt idx="106">
                  <c:v>95.63</c:v>
                </c:pt>
                <c:pt idx="107">
                  <c:v>95.06</c:v>
                </c:pt>
                <c:pt idx="108">
                  <c:v>94.73</c:v>
                </c:pt>
                <c:pt idx="109">
                  <c:v>94.61</c:v>
                </c:pt>
                <c:pt idx="110">
                  <c:v>94.46</c:v>
                </c:pt>
                <c:pt idx="111">
                  <c:v>94.33</c:v>
                </c:pt>
                <c:pt idx="112">
                  <c:v>94.22</c:v>
                </c:pt>
                <c:pt idx="113">
                  <c:v>94.15</c:v>
                </c:pt>
                <c:pt idx="114">
                  <c:v>94.08</c:v>
                </c:pt>
                <c:pt idx="115">
                  <c:v>94.05</c:v>
                </c:pt>
                <c:pt idx="116">
                  <c:v>93.98</c:v>
                </c:pt>
                <c:pt idx="117">
                  <c:v>93.82</c:v>
                </c:pt>
                <c:pt idx="118">
                  <c:v>93.41</c:v>
                </c:pt>
                <c:pt idx="119">
                  <c:v>92.95</c:v>
                </c:pt>
                <c:pt idx="120">
                  <c:v>92.26</c:v>
                </c:pt>
                <c:pt idx="121">
                  <c:v>81.92</c:v>
                </c:pt>
                <c:pt idx="122">
                  <c:v>59.17</c:v>
                </c:pt>
                <c:pt idx="123">
                  <c:v>44.52</c:v>
                </c:pt>
                <c:pt idx="124">
                  <c:v>41.27</c:v>
                </c:pt>
                <c:pt idx="125">
                  <c:v>38.31</c:v>
                </c:pt>
                <c:pt idx="126">
                  <c:v>35.97</c:v>
                </c:pt>
                <c:pt idx="127">
                  <c:v>34.03</c:v>
                </c:pt>
                <c:pt idx="128">
                  <c:v>31.44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F3CA-409C-89D1-36680D78D7F2}"/>
            </c:ext>
          </c:extLst>
        </c:ser>
        <c:ser>
          <c:idx val="4"/>
          <c:order val="4"/>
          <c:tx>
            <c:strRef>
              <c:f>'DESEMPEÑO 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'DESEMPEÑO  TEMP2'!$B$31:$B$159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TEMP2'!$BF$31:$BF$159</c:f>
              <c:numCache>
                <c:formatCode>0.0</c:formatCode>
                <c:ptCount val="129"/>
                <c:pt idx="0">
                  <c:v>25.22</c:v>
                </c:pt>
                <c:pt idx="1">
                  <c:v>25.95</c:v>
                </c:pt>
                <c:pt idx="2">
                  <c:v>25.82</c:v>
                </c:pt>
                <c:pt idx="3">
                  <c:v>25.38</c:v>
                </c:pt>
                <c:pt idx="4">
                  <c:v>25.01</c:v>
                </c:pt>
                <c:pt idx="5">
                  <c:v>24.78</c:v>
                </c:pt>
                <c:pt idx="6">
                  <c:v>24.72</c:v>
                </c:pt>
                <c:pt idx="7">
                  <c:v>24.59</c:v>
                </c:pt>
                <c:pt idx="8">
                  <c:v>24.45</c:v>
                </c:pt>
                <c:pt idx="9">
                  <c:v>24.13</c:v>
                </c:pt>
                <c:pt idx="10">
                  <c:v>23.79</c:v>
                </c:pt>
                <c:pt idx="11">
                  <c:v>23.54</c:v>
                </c:pt>
                <c:pt idx="12">
                  <c:v>23.36</c:v>
                </c:pt>
                <c:pt idx="13">
                  <c:v>22.21</c:v>
                </c:pt>
                <c:pt idx="14">
                  <c:v>20.43</c:v>
                </c:pt>
                <c:pt idx="15">
                  <c:v>20.239999999999998</c:v>
                </c:pt>
                <c:pt idx="16">
                  <c:v>20.23</c:v>
                </c:pt>
                <c:pt idx="17">
                  <c:v>20.29</c:v>
                </c:pt>
                <c:pt idx="18">
                  <c:v>20.5</c:v>
                </c:pt>
                <c:pt idx="19">
                  <c:v>20.69</c:v>
                </c:pt>
                <c:pt idx="20">
                  <c:v>21.07</c:v>
                </c:pt>
                <c:pt idx="21">
                  <c:v>21.36</c:v>
                </c:pt>
                <c:pt idx="22">
                  <c:v>21.77</c:v>
                </c:pt>
                <c:pt idx="23">
                  <c:v>23.75</c:v>
                </c:pt>
                <c:pt idx="24">
                  <c:v>27.54</c:v>
                </c:pt>
                <c:pt idx="25">
                  <c:v>32.65</c:v>
                </c:pt>
                <c:pt idx="26">
                  <c:v>38.89</c:v>
                </c:pt>
                <c:pt idx="27">
                  <c:v>45.44</c:v>
                </c:pt>
                <c:pt idx="28">
                  <c:v>51.79</c:v>
                </c:pt>
                <c:pt idx="29">
                  <c:v>58.07</c:v>
                </c:pt>
                <c:pt idx="30">
                  <c:v>64.010000000000005</c:v>
                </c:pt>
                <c:pt idx="31">
                  <c:v>69.55</c:v>
                </c:pt>
                <c:pt idx="32">
                  <c:v>74.680000000000007</c:v>
                </c:pt>
                <c:pt idx="33">
                  <c:v>79.459999999999994</c:v>
                </c:pt>
                <c:pt idx="34">
                  <c:v>83.92</c:v>
                </c:pt>
                <c:pt idx="35">
                  <c:v>88.03</c:v>
                </c:pt>
                <c:pt idx="36">
                  <c:v>91.83</c:v>
                </c:pt>
                <c:pt idx="37">
                  <c:v>95.26</c:v>
                </c:pt>
                <c:pt idx="38">
                  <c:v>98.08</c:v>
                </c:pt>
                <c:pt idx="39">
                  <c:v>100.66</c:v>
                </c:pt>
                <c:pt idx="40">
                  <c:v>103</c:v>
                </c:pt>
                <c:pt idx="41">
                  <c:v>105.13</c:v>
                </c:pt>
                <c:pt idx="42">
                  <c:v>107.03</c:v>
                </c:pt>
                <c:pt idx="43">
                  <c:v>108.78</c:v>
                </c:pt>
                <c:pt idx="44">
                  <c:v>110.3</c:v>
                </c:pt>
                <c:pt idx="45">
                  <c:v>111.62</c:v>
                </c:pt>
                <c:pt idx="46">
                  <c:v>112.76</c:v>
                </c:pt>
                <c:pt idx="47">
                  <c:v>113.79</c:v>
                </c:pt>
                <c:pt idx="48">
                  <c:v>114.71</c:v>
                </c:pt>
                <c:pt idx="49">
                  <c:v>115.49</c:v>
                </c:pt>
                <c:pt idx="50">
                  <c:v>116.25</c:v>
                </c:pt>
                <c:pt idx="51">
                  <c:v>116.89</c:v>
                </c:pt>
                <c:pt idx="52">
                  <c:v>117.48</c:v>
                </c:pt>
                <c:pt idx="53">
                  <c:v>118</c:v>
                </c:pt>
                <c:pt idx="54">
                  <c:v>118.49</c:v>
                </c:pt>
                <c:pt idx="55">
                  <c:v>118.9</c:v>
                </c:pt>
                <c:pt idx="56">
                  <c:v>119.28</c:v>
                </c:pt>
                <c:pt idx="57">
                  <c:v>119.62</c:v>
                </c:pt>
                <c:pt idx="58">
                  <c:v>119.91</c:v>
                </c:pt>
                <c:pt idx="59">
                  <c:v>120.19</c:v>
                </c:pt>
                <c:pt idx="60">
                  <c:v>120.4</c:v>
                </c:pt>
                <c:pt idx="61">
                  <c:v>120.62</c:v>
                </c:pt>
                <c:pt idx="62">
                  <c:v>120.8</c:v>
                </c:pt>
                <c:pt idx="63">
                  <c:v>120.97</c:v>
                </c:pt>
                <c:pt idx="64">
                  <c:v>121.11</c:v>
                </c:pt>
                <c:pt idx="65">
                  <c:v>121.22</c:v>
                </c:pt>
                <c:pt idx="66">
                  <c:v>121.34</c:v>
                </c:pt>
                <c:pt idx="67">
                  <c:v>121.43</c:v>
                </c:pt>
                <c:pt idx="68">
                  <c:v>121.53</c:v>
                </c:pt>
                <c:pt idx="69">
                  <c:v>121.6</c:v>
                </c:pt>
                <c:pt idx="70">
                  <c:v>121.68</c:v>
                </c:pt>
                <c:pt idx="71">
                  <c:v>121.74</c:v>
                </c:pt>
                <c:pt idx="72">
                  <c:v>121.79</c:v>
                </c:pt>
                <c:pt idx="73">
                  <c:v>121.85</c:v>
                </c:pt>
                <c:pt idx="74">
                  <c:v>121.88</c:v>
                </c:pt>
                <c:pt idx="75">
                  <c:v>121.93</c:v>
                </c:pt>
                <c:pt idx="76">
                  <c:v>121.95</c:v>
                </c:pt>
                <c:pt idx="77">
                  <c:v>121.99</c:v>
                </c:pt>
                <c:pt idx="78">
                  <c:v>122.02</c:v>
                </c:pt>
                <c:pt idx="79">
                  <c:v>122.03</c:v>
                </c:pt>
                <c:pt idx="80">
                  <c:v>122.03</c:v>
                </c:pt>
                <c:pt idx="81">
                  <c:v>122.05</c:v>
                </c:pt>
                <c:pt idx="82">
                  <c:v>122.06</c:v>
                </c:pt>
                <c:pt idx="83">
                  <c:v>122.06</c:v>
                </c:pt>
                <c:pt idx="84">
                  <c:v>122.08</c:v>
                </c:pt>
                <c:pt idx="85">
                  <c:v>122.09</c:v>
                </c:pt>
                <c:pt idx="86">
                  <c:v>122.1</c:v>
                </c:pt>
                <c:pt idx="87">
                  <c:v>122.1</c:v>
                </c:pt>
                <c:pt idx="88">
                  <c:v>122.11</c:v>
                </c:pt>
                <c:pt idx="89">
                  <c:v>122.12</c:v>
                </c:pt>
                <c:pt idx="90">
                  <c:v>122.13</c:v>
                </c:pt>
                <c:pt idx="91">
                  <c:v>122.14</c:v>
                </c:pt>
                <c:pt idx="92">
                  <c:v>122.15</c:v>
                </c:pt>
                <c:pt idx="93">
                  <c:v>122.16</c:v>
                </c:pt>
                <c:pt idx="94">
                  <c:v>122.16</c:v>
                </c:pt>
                <c:pt idx="95">
                  <c:v>122.17</c:v>
                </c:pt>
                <c:pt idx="96">
                  <c:v>122.17</c:v>
                </c:pt>
                <c:pt idx="97">
                  <c:v>122.18</c:v>
                </c:pt>
                <c:pt idx="98">
                  <c:v>122.17</c:v>
                </c:pt>
                <c:pt idx="99">
                  <c:v>120.49</c:v>
                </c:pt>
                <c:pt idx="100">
                  <c:v>115.35</c:v>
                </c:pt>
                <c:pt idx="101">
                  <c:v>111.11</c:v>
                </c:pt>
                <c:pt idx="102">
                  <c:v>107.41</c:v>
                </c:pt>
                <c:pt idx="103">
                  <c:v>103.79</c:v>
                </c:pt>
                <c:pt idx="104">
                  <c:v>100.12</c:v>
                </c:pt>
                <c:pt idx="105">
                  <c:v>96.94</c:v>
                </c:pt>
                <c:pt idx="106">
                  <c:v>95.28</c:v>
                </c:pt>
                <c:pt idx="107">
                  <c:v>94.37</c:v>
                </c:pt>
                <c:pt idx="108">
                  <c:v>93.98</c:v>
                </c:pt>
                <c:pt idx="109">
                  <c:v>93.72</c:v>
                </c:pt>
                <c:pt idx="110">
                  <c:v>93.63</c:v>
                </c:pt>
                <c:pt idx="111">
                  <c:v>93.51</c:v>
                </c:pt>
                <c:pt idx="112">
                  <c:v>93.43</c:v>
                </c:pt>
                <c:pt idx="113">
                  <c:v>93.36</c:v>
                </c:pt>
                <c:pt idx="114">
                  <c:v>93.32</c:v>
                </c:pt>
                <c:pt idx="115">
                  <c:v>93.27</c:v>
                </c:pt>
                <c:pt idx="116">
                  <c:v>93.23</c:v>
                </c:pt>
                <c:pt idx="117">
                  <c:v>93.09</c:v>
                </c:pt>
                <c:pt idx="118">
                  <c:v>92.69</c:v>
                </c:pt>
                <c:pt idx="119">
                  <c:v>92.31</c:v>
                </c:pt>
                <c:pt idx="120">
                  <c:v>91.99</c:v>
                </c:pt>
                <c:pt idx="121">
                  <c:v>91.26</c:v>
                </c:pt>
                <c:pt idx="122">
                  <c:v>80.760000000000005</c:v>
                </c:pt>
                <c:pt idx="123">
                  <c:v>78.209999999999994</c:v>
                </c:pt>
                <c:pt idx="124">
                  <c:v>76.84</c:v>
                </c:pt>
                <c:pt idx="125">
                  <c:v>75.66</c:v>
                </c:pt>
                <c:pt idx="126">
                  <c:v>72.98</c:v>
                </c:pt>
                <c:pt idx="127">
                  <c:v>44.61</c:v>
                </c:pt>
                <c:pt idx="128">
                  <c:v>36.590000000000003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F3CA-409C-89D1-36680D78D7F2}"/>
            </c:ext>
          </c:extLst>
        </c:ser>
        <c:ser>
          <c:idx val="5"/>
          <c:order val="5"/>
          <c:tx>
            <c:strRef>
              <c:f>'DESEMPEÑO  TEMP2'!$BG$30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'DESEMPEÑO  TEMP2'!$B$31:$B$159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TEMP2'!$BG$31:$BG$159</c:f>
              <c:numCache>
                <c:formatCode>0.0</c:formatCode>
                <c:ptCount val="129"/>
                <c:pt idx="0">
                  <c:v>27.07</c:v>
                </c:pt>
                <c:pt idx="1">
                  <c:v>26.74</c:v>
                </c:pt>
                <c:pt idx="2">
                  <c:v>26.79</c:v>
                </c:pt>
                <c:pt idx="3">
                  <c:v>26.7</c:v>
                </c:pt>
                <c:pt idx="4">
                  <c:v>27.87</c:v>
                </c:pt>
                <c:pt idx="5">
                  <c:v>27.51</c:v>
                </c:pt>
                <c:pt idx="6">
                  <c:v>29.8</c:v>
                </c:pt>
                <c:pt idx="7">
                  <c:v>28.55</c:v>
                </c:pt>
                <c:pt idx="8">
                  <c:v>27.29</c:v>
                </c:pt>
                <c:pt idx="9">
                  <c:v>26.15</c:v>
                </c:pt>
                <c:pt idx="10">
                  <c:v>25.63</c:v>
                </c:pt>
                <c:pt idx="11">
                  <c:v>25.05</c:v>
                </c:pt>
                <c:pt idx="12">
                  <c:v>24.85</c:v>
                </c:pt>
                <c:pt idx="13">
                  <c:v>25.1</c:v>
                </c:pt>
                <c:pt idx="14">
                  <c:v>20.12</c:v>
                </c:pt>
                <c:pt idx="15">
                  <c:v>20</c:v>
                </c:pt>
                <c:pt idx="16">
                  <c:v>20</c:v>
                </c:pt>
                <c:pt idx="17">
                  <c:v>20.190000000000001</c:v>
                </c:pt>
                <c:pt idx="18">
                  <c:v>20.260000000000002</c:v>
                </c:pt>
                <c:pt idx="19">
                  <c:v>20.55</c:v>
                </c:pt>
                <c:pt idx="20">
                  <c:v>20.91</c:v>
                </c:pt>
                <c:pt idx="21">
                  <c:v>21.56</c:v>
                </c:pt>
                <c:pt idx="22">
                  <c:v>28.38</c:v>
                </c:pt>
                <c:pt idx="23">
                  <c:v>38.159999999999997</c:v>
                </c:pt>
                <c:pt idx="24">
                  <c:v>47.18</c:v>
                </c:pt>
                <c:pt idx="25">
                  <c:v>55.41</c:v>
                </c:pt>
                <c:pt idx="26">
                  <c:v>62.74</c:v>
                </c:pt>
                <c:pt idx="27">
                  <c:v>69.25</c:v>
                </c:pt>
                <c:pt idx="28">
                  <c:v>75.08</c:v>
                </c:pt>
                <c:pt idx="29">
                  <c:v>80.36</c:v>
                </c:pt>
                <c:pt idx="30">
                  <c:v>85.04</c:v>
                </c:pt>
                <c:pt idx="31">
                  <c:v>89.27</c:v>
                </c:pt>
                <c:pt idx="32">
                  <c:v>93.1</c:v>
                </c:pt>
                <c:pt idx="33">
                  <c:v>96.56</c:v>
                </c:pt>
                <c:pt idx="34">
                  <c:v>99.69</c:v>
                </c:pt>
                <c:pt idx="35">
                  <c:v>102.55</c:v>
                </c:pt>
                <c:pt idx="36">
                  <c:v>105.17</c:v>
                </c:pt>
                <c:pt idx="37">
                  <c:v>107.54</c:v>
                </c:pt>
                <c:pt idx="38">
                  <c:v>109.53</c:v>
                </c:pt>
                <c:pt idx="39">
                  <c:v>111.19</c:v>
                </c:pt>
                <c:pt idx="40">
                  <c:v>112.62</c:v>
                </c:pt>
                <c:pt idx="41">
                  <c:v>113.9</c:v>
                </c:pt>
                <c:pt idx="42">
                  <c:v>114.96</c:v>
                </c:pt>
                <c:pt idx="43">
                  <c:v>115.91</c:v>
                </c:pt>
                <c:pt idx="44">
                  <c:v>116.74</c:v>
                </c:pt>
                <c:pt idx="45">
                  <c:v>117.41</c:v>
                </c:pt>
                <c:pt idx="46">
                  <c:v>118.07</c:v>
                </c:pt>
                <c:pt idx="47">
                  <c:v>118.57</c:v>
                </c:pt>
                <c:pt idx="48">
                  <c:v>119.06</c:v>
                </c:pt>
                <c:pt idx="49">
                  <c:v>119.44</c:v>
                </c:pt>
                <c:pt idx="50">
                  <c:v>119.8</c:v>
                </c:pt>
                <c:pt idx="51">
                  <c:v>120.1</c:v>
                </c:pt>
                <c:pt idx="52">
                  <c:v>120.39</c:v>
                </c:pt>
                <c:pt idx="53">
                  <c:v>120.6</c:v>
                </c:pt>
                <c:pt idx="54">
                  <c:v>120.8</c:v>
                </c:pt>
                <c:pt idx="55">
                  <c:v>120.99</c:v>
                </c:pt>
                <c:pt idx="56">
                  <c:v>121.13</c:v>
                </c:pt>
                <c:pt idx="57">
                  <c:v>121.21</c:v>
                </c:pt>
                <c:pt idx="58">
                  <c:v>121.38</c:v>
                </c:pt>
                <c:pt idx="59">
                  <c:v>121.42</c:v>
                </c:pt>
                <c:pt idx="60">
                  <c:v>121.58</c:v>
                </c:pt>
                <c:pt idx="61">
                  <c:v>121.57</c:v>
                </c:pt>
                <c:pt idx="62">
                  <c:v>121.7</c:v>
                </c:pt>
                <c:pt idx="63">
                  <c:v>121.66</c:v>
                </c:pt>
                <c:pt idx="64">
                  <c:v>121.81</c:v>
                </c:pt>
                <c:pt idx="65">
                  <c:v>121.78</c:v>
                </c:pt>
                <c:pt idx="66">
                  <c:v>121.91</c:v>
                </c:pt>
                <c:pt idx="67">
                  <c:v>121.92</c:v>
                </c:pt>
                <c:pt idx="68">
                  <c:v>121.87</c:v>
                </c:pt>
                <c:pt idx="69">
                  <c:v>122</c:v>
                </c:pt>
                <c:pt idx="70">
                  <c:v>121.92</c:v>
                </c:pt>
                <c:pt idx="71">
                  <c:v>122.1</c:v>
                </c:pt>
                <c:pt idx="72">
                  <c:v>122.02</c:v>
                </c:pt>
                <c:pt idx="73">
                  <c:v>122.05</c:v>
                </c:pt>
                <c:pt idx="74">
                  <c:v>122.04</c:v>
                </c:pt>
                <c:pt idx="75">
                  <c:v>122.02</c:v>
                </c:pt>
                <c:pt idx="76">
                  <c:v>122.09</c:v>
                </c:pt>
                <c:pt idx="77">
                  <c:v>122.03</c:v>
                </c:pt>
                <c:pt idx="78">
                  <c:v>122.08</c:v>
                </c:pt>
                <c:pt idx="79">
                  <c:v>122.07</c:v>
                </c:pt>
                <c:pt idx="80">
                  <c:v>122.09</c:v>
                </c:pt>
                <c:pt idx="81">
                  <c:v>122.07</c:v>
                </c:pt>
                <c:pt idx="82">
                  <c:v>122.09</c:v>
                </c:pt>
                <c:pt idx="83">
                  <c:v>122.12</c:v>
                </c:pt>
                <c:pt idx="84">
                  <c:v>122.11</c:v>
                </c:pt>
                <c:pt idx="85">
                  <c:v>122.12</c:v>
                </c:pt>
                <c:pt idx="86">
                  <c:v>122.1</c:v>
                </c:pt>
                <c:pt idx="87">
                  <c:v>122.13</c:v>
                </c:pt>
                <c:pt idx="88">
                  <c:v>122.12</c:v>
                </c:pt>
                <c:pt idx="89">
                  <c:v>122.15</c:v>
                </c:pt>
                <c:pt idx="90">
                  <c:v>122.14</c:v>
                </c:pt>
                <c:pt idx="91">
                  <c:v>122.18</c:v>
                </c:pt>
                <c:pt idx="92">
                  <c:v>122.13</c:v>
                </c:pt>
                <c:pt idx="93">
                  <c:v>122.17</c:v>
                </c:pt>
                <c:pt idx="94">
                  <c:v>122.15</c:v>
                </c:pt>
                <c:pt idx="95">
                  <c:v>122.17</c:v>
                </c:pt>
                <c:pt idx="96">
                  <c:v>122.13</c:v>
                </c:pt>
                <c:pt idx="97">
                  <c:v>122.2</c:v>
                </c:pt>
                <c:pt idx="98">
                  <c:v>122.14</c:v>
                </c:pt>
                <c:pt idx="99">
                  <c:v>118.55</c:v>
                </c:pt>
                <c:pt idx="100">
                  <c:v>112.77</c:v>
                </c:pt>
                <c:pt idx="101">
                  <c:v>107.25</c:v>
                </c:pt>
                <c:pt idx="102">
                  <c:v>102.66</c:v>
                </c:pt>
                <c:pt idx="103">
                  <c:v>99.1</c:v>
                </c:pt>
                <c:pt idx="104">
                  <c:v>96.5</c:v>
                </c:pt>
                <c:pt idx="105">
                  <c:v>94.75</c:v>
                </c:pt>
                <c:pt idx="106">
                  <c:v>93.67</c:v>
                </c:pt>
                <c:pt idx="107">
                  <c:v>93.13</c:v>
                </c:pt>
                <c:pt idx="108">
                  <c:v>92.9</c:v>
                </c:pt>
                <c:pt idx="109">
                  <c:v>92.81</c:v>
                </c:pt>
                <c:pt idx="110">
                  <c:v>92.7</c:v>
                </c:pt>
                <c:pt idx="111">
                  <c:v>92.64</c:v>
                </c:pt>
                <c:pt idx="112">
                  <c:v>92.62</c:v>
                </c:pt>
                <c:pt idx="113">
                  <c:v>92.61</c:v>
                </c:pt>
                <c:pt idx="114">
                  <c:v>92.61</c:v>
                </c:pt>
                <c:pt idx="115">
                  <c:v>92.56</c:v>
                </c:pt>
                <c:pt idx="116">
                  <c:v>92.43</c:v>
                </c:pt>
                <c:pt idx="117">
                  <c:v>92.23</c:v>
                </c:pt>
                <c:pt idx="118">
                  <c:v>92.02</c:v>
                </c:pt>
                <c:pt idx="119">
                  <c:v>90.59</c:v>
                </c:pt>
                <c:pt idx="120">
                  <c:v>52.27</c:v>
                </c:pt>
                <c:pt idx="121">
                  <c:v>42.05</c:v>
                </c:pt>
                <c:pt idx="122">
                  <c:v>37.04</c:v>
                </c:pt>
                <c:pt idx="123">
                  <c:v>38.950000000000003</c:v>
                </c:pt>
                <c:pt idx="124">
                  <c:v>41.26</c:v>
                </c:pt>
                <c:pt idx="125">
                  <c:v>42.06</c:v>
                </c:pt>
                <c:pt idx="126">
                  <c:v>42.09</c:v>
                </c:pt>
                <c:pt idx="127">
                  <c:v>38.520000000000003</c:v>
                </c:pt>
                <c:pt idx="128">
                  <c:v>38.43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F3CA-409C-89D1-36680D78D7F2}"/>
            </c:ext>
          </c:extLst>
        </c:ser>
        <c:ser>
          <c:idx val="6"/>
          <c:order val="6"/>
          <c:tx>
            <c:strRef>
              <c:f>'DESEMPEÑO  TEMP2'!$BH$30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'DESEMPEÑO  TEMP2'!$B$31:$B$159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TEMP2'!$BH$31:$BH$159</c:f>
              <c:numCache>
                <c:formatCode>0.0</c:formatCode>
                <c:ptCount val="129"/>
                <c:pt idx="0">
                  <c:v>23.48</c:v>
                </c:pt>
                <c:pt idx="1">
                  <c:v>23.75</c:v>
                </c:pt>
                <c:pt idx="2">
                  <c:v>25.57</c:v>
                </c:pt>
                <c:pt idx="3">
                  <c:v>24.08</c:v>
                </c:pt>
                <c:pt idx="4">
                  <c:v>24.33</c:v>
                </c:pt>
                <c:pt idx="5">
                  <c:v>24.4</c:v>
                </c:pt>
                <c:pt idx="6">
                  <c:v>24.24</c:v>
                </c:pt>
                <c:pt idx="7">
                  <c:v>24.89</c:v>
                </c:pt>
                <c:pt idx="8">
                  <c:v>23.99</c:v>
                </c:pt>
                <c:pt idx="9">
                  <c:v>23.23</c:v>
                </c:pt>
                <c:pt idx="10">
                  <c:v>23.05</c:v>
                </c:pt>
                <c:pt idx="11">
                  <c:v>22.75</c:v>
                </c:pt>
                <c:pt idx="12">
                  <c:v>22.94</c:v>
                </c:pt>
                <c:pt idx="13">
                  <c:v>23.09</c:v>
                </c:pt>
                <c:pt idx="14">
                  <c:v>20.66</c:v>
                </c:pt>
                <c:pt idx="15">
                  <c:v>20.2</c:v>
                </c:pt>
                <c:pt idx="16">
                  <c:v>20.62</c:v>
                </c:pt>
                <c:pt idx="17">
                  <c:v>21.39</c:v>
                </c:pt>
                <c:pt idx="18">
                  <c:v>21.95</c:v>
                </c:pt>
                <c:pt idx="19">
                  <c:v>22.72</c:v>
                </c:pt>
                <c:pt idx="20">
                  <c:v>23.71</c:v>
                </c:pt>
                <c:pt idx="21">
                  <c:v>27.72</c:v>
                </c:pt>
                <c:pt idx="22">
                  <c:v>46.68</c:v>
                </c:pt>
                <c:pt idx="23">
                  <c:v>60.47</c:v>
                </c:pt>
                <c:pt idx="24">
                  <c:v>70.650000000000006</c:v>
                </c:pt>
                <c:pt idx="25">
                  <c:v>78.52</c:v>
                </c:pt>
                <c:pt idx="26">
                  <c:v>84.27</c:v>
                </c:pt>
                <c:pt idx="27">
                  <c:v>89.19</c:v>
                </c:pt>
                <c:pt idx="28">
                  <c:v>93.49</c:v>
                </c:pt>
                <c:pt idx="29">
                  <c:v>97.23</c:v>
                </c:pt>
                <c:pt idx="30">
                  <c:v>100.46</c:v>
                </c:pt>
                <c:pt idx="31">
                  <c:v>103.33</c:v>
                </c:pt>
                <c:pt idx="32">
                  <c:v>105.9</c:v>
                </c:pt>
                <c:pt idx="33">
                  <c:v>108.22</c:v>
                </c:pt>
                <c:pt idx="34">
                  <c:v>110.29</c:v>
                </c:pt>
                <c:pt idx="35">
                  <c:v>112.22</c:v>
                </c:pt>
                <c:pt idx="36">
                  <c:v>114.03</c:v>
                </c:pt>
                <c:pt idx="37">
                  <c:v>115.44</c:v>
                </c:pt>
                <c:pt idx="38">
                  <c:v>115.64</c:v>
                </c:pt>
                <c:pt idx="39">
                  <c:v>116.91</c:v>
                </c:pt>
                <c:pt idx="40">
                  <c:v>117.7</c:v>
                </c:pt>
                <c:pt idx="41">
                  <c:v>117.93</c:v>
                </c:pt>
                <c:pt idx="42">
                  <c:v>118.77</c:v>
                </c:pt>
                <c:pt idx="43">
                  <c:v>118.89</c:v>
                </c:pt>
                <c:pt idx="44">
                  <c:v>119.49</c:v>
                </c:pt>
                <c:pt idx="45">
                  <c:v>119.94</c:v>
                </c:pt>
                <c:pt idx="46">
                  <c:v>119.94</c:v>
                </c:pt>
                <c:pt idx="47">
                  <c:v>120.49</c:v>
                </c:pt>
                <c:pt idx="48">
                  <c:v>120.22</c:v>
                </c:pt>
                <c:pt idx="49">
                  <c:v>120.83</c:v>
                </c:pt>
                <c:pt idx="50">
                  <c:v>120.38</c:v>
                </c:pt>
                <c:pt idx="51">
                  <c:v>121.22</c:v>
                </c:pt>
                <c:pt idx="52">
                  <c:v>120.76</c:v>
                </c:pt>
                <c:pt idx="53">
                  <c:v>121.36</c:v>
                </c:pt>
                <c:pt idx="54">
                  <c:v>121.58</c:v>
                </c:pt>
                <c:pt idx="55">
                  <c:v>121.35</c:v>
                </c:pt>
                <c:pt idx="56">
                  <c:v>121.69</c:v>
                </c:pt>
                <c:pt idx="57">
                  <c:v>121.28</c:v>
                </c:pt>
                <c:pt idx="58">
                  <c:v>121.91</c:v>
                </c:pt>
                <c:pt idx="59">
                  <c:v>121.19</c:v>
                </c:pt>
                <c:pt idx="60">
                  <c:v>122.08</c:v>
                </c:pt>
                <c:pt idx="61">
                  <c:v>121.68</c:v>
                </c:pt>
                <c:pt idx="62">
                  <c:v>121.92</c:v>
                </c:pt>
                <c:pt idx="63">
                  <c:v>122.26</c:v>
                </c:pt>
                <c:pt idx="64">
                  <c:v>121.72</c:v>
                </c:pt>
                <c:pt idx="65">
                  <c:v>122.3</c:v>
                </c:pt>
                <c:pt idx="66">
                  <c:v>121.5</c:v>
                </c:pt>
                <c:pt idx="67">
                  <c:v>122.3</c:v>
                </c:pt>
                <c:pt idx="68">
                  <c:v>122.41</c:v>
                </c:pt>
                <c:pt idx="69">
                  <c:v>122.1</c:v>
                </c:pt>
                <c:pt idx="70">
                  <c:v>122.51</c:v>
                </c:pt>
                <c:pt idx="71">
                  <c:v>121.83</c:v>
                </c:pt>
                <c:pt idx="72">
                  <c:v>122.64</c:v>
                </c:pt>
                <c:pt idx="73">
                  <c:v>121.64</c:v>
                </c:pt>
                <c:pt idx="74">
                  <c:v>122.44</c:v>
                </c:pt>
                <c:pt idx="75">
                  <c:v>122.59</c:v>
                </c:pt>
                <c:pt idx="76">
                  <c:v>122.04</c:v>
                </c:pt>
                <c:pt idx="77">
                  <c:v>122.72</c:v>
                </c:pt>
                <c:pt idx="78">
                  <c:v>121.83</c:v>
                </c:pt>
                <c:pt idx="79">
                  <c:v>122.78</c:v>
                </c:pt>
                <c:pt idx="80">
                  <c:v>121.7</c:v>
                </c:pt>
                <c:pt idx="81">
                  <c:v>122.75</c:v>
                </c:pt>
                <c:pt idx="82">
                  <c:v>121.67</c:v>
                </c:pt>
                <c:pt idx="83">
                  <c:v>122.69</c:v>
                </c:pt>
                <c:pt idx="84">
                  <c:v>121.76</c:v>
                </c:pt>
                <c:pt idx="85">
                  <c:v>122.59</c:v>
                </c:pt>
                <c:pt idx="86">
                  <c:v>122.15</c:v>
                </c:pt>
                <c:pt idx="87">
                  <c:v>122.53</c:v>
                </c:pt>
                <c:pt idx="88">
                  <c:v>122.33</c:v>
                </c:pt>
                <c:pt idx="89">
                  <c:v>122.46</c:v>
                </c:pt>
                <c:pt idx="90">
                  <c:v>122.85</c:v>
                </c:pt>
                <c:pt idx="91">
                  <c:v>122.33</c:v>
                </c:pt>
                <c:pt idx="92">
                  <c:v>122.85</c:v>
                </c:pt>
                <c:pt idx="93">
                  <c:v>122.16</c:v>
                </c:pt>
                <c:pt idx="94">
                  <c:v>122.89</c:v>
                </c:pt>
                <c:pt idx="95">
                  <c:v>122.05</c:v>
                </c:pt>
                <c:pt idx="96">
                  <c:v>122.78</c:v>
                </c:pt>
                <c:pt idx="97">
                  <c:v>121.96</c:v>
                </c:pt>
                <c:pt idx="98">
                  <c:v>122.65</c:v>
                </c:pt>
                <c:pt idx="99">
                  <c:v>117.34</c:v>
                </c:pt>
                <c:pt idx="100">
                  <c:v>111.34</c:v>
                </c:pt>
                <c:pt idx="101">
                  <c:v>105.97</c:v>
                </c:pt>
                <c:pt idx="102">
                  <c:v>101.57</c:v>
                </c:pt>
                <c:pt idx="103">
                  <c:v>98.13</c:v>
                </c:pt>
                <c:pt idx="104">
                  <c:v>95.62</c:v>
                </c:pt>
                <c:pt idx="105">
                  <c:v>94.06</c:v>
                </c:pt>
                <c:pt idx="106">
                  <c:v>93.04</c:v>
                </c:pt>
                <c:pt idx="107">
                  <c:v>92.67</c:v>
                </c:pt>
                <c:pt idx="108">
                  <c:v>92.5</c:v>
                </c:pt>
                <c:pt idx="109">
                  <c:v>92.42</c:v>
                </c:pt>
                <c:pt idx="110">
                  <c:v>92.35</c:v>
                </c:pt>
                <c:pt idx="111">
                  <c:v>92.27</c:v>
                </c:pt>
                <c:pt idx="112">
                  <c:v>92.33</c:v>
                </c:pt>
                <c:pt idx="113">
                  <c:v>92.3</c:v>
                </c:pt>
                <c:pt idx="114">
                  <c:v>92.25</c:v>
                </c:pt>
                <c:pt idx="115">
                  <c:v>92.21</c:v>
                </c:pt>
                <c:pt idx="116">
                  <c:v>91.97</c:v>
                </c:pt>
                <c:pt idx="117">
                  <c:v>91.94</c:v>
                </c:pt>
                <c:pt idx="118">
                  <c:v>91.62</c:v>
                </c:pt>
                <c:pt idx="119">
                  <c:v>90.88</c:v>
                </c:pt>
                <c:pt idx="120">
                  <c:v>90.38</c:v>
                </c:pt>
                <c:pt idx="121">
                  <c:v>89.93</c:v>
                </c:pt>
                <c:pt idx="122">
                  <c:v>89.55</c:v>
                </c:pt>
                <c:pt idx="123">
                  <c:v>88.93</c:v>
                </c:pt>
                <c:pt idx="124">
                  <c:v>86.62</c:v>
                </c:pt>
                <c:pt idx="125">
                  <c:v>36.020000000000003</c:v>
                </c:pt>
                <c:pt idx="126">
                  <c:v>32.61</c:v>
                </c:pt>
                <c:pt idx="127">
                  <c:v>30.62</c:v>
                </c:pt>
                <c:pt idx="128">
                  <c:v>29.85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F3CA-409C-89D1-36680D78D7F2}"/>
            </c:ext>
          </c:extLst>
        </c:ser>
        <c:ser>
          <c:idx val="7"/>
          <c:order val="7"/>
          <c:tx>
            <c:strRef>
              <c:f>'DESEMPEÑO  TEMP2'!$BI$30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'DESEMPEÑO  TEMP2'!$B$31:$B$159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TEMP2'!$BI$31:$BI$159</c:f>
              <c:numCache>
                <c:formatCode>0.0</c:formatCode>
                <c:ptCount val="129"/>
                <c:pt idx="0">
                  <c:v>23.81</c:v>
                </c:pt>
                <c:pt idx="1">
                  <c:v>24</c:v>
                </c:pt>
                <c:pt idx="2">
                  <c:v>24.19</c:v>
                </c:pt>
                <c:pt idx="3">
                  <c:v>24.11</c:v>
                </c:pt>
                <c:pt idx="4">
                  <c:v>28.81</c:v>
                </c:pt>
                <c:pt idx="5">
                  <c:v>25.25</c:v>
                </c:pt>
                <c:pt idx="6">
                  <c:v>24.94</c:v>
                </c:pt>
                <c:pt idx="7">
                  <c:v>24.99</c:v>
                </c:pt>
                <c:pt idx="8">
                  <c:v>26.2</c:v>
                </c:pt>
                <c:pt idx="9">
                  <c:v>23.53</c:v>
                </c:pt>
                <c:pt idx="10">
                  <c:v>23.14</c:v>
                </c:pt>
                <c:pt idx="11">
                  <c:v>22.86</c:v>
                </c:pt>
                <c:pt idx="12">
                  <c:v>23.03</c:v>
                </c:pt>
                <c:pt idx="13">
                  <c:v>23.12</c:v>
                </c:pt>
                <c:pt idx="14">
                  <c:v>23.04</c:v>
                </c:pt>
                <c:pt idx="15">
                  <c:v>24.23</c:v>
                </c:pt>
                <c:pt idx="16">
                  <c:v>24.13</c:v>
                </c:pt>
                <c:pt idx="17">
                  <c:v>29.36</c:v>
                </c:pt>
                <c:pt idx="18">
                  <c:v>31.03</c:v>
                </c:pt>
                <c:pt idx="19">
                  <c:v>44.58</c:v>
                </c:pt>
                <c:pt idx="20">
                  <c:v>55.96</c:v>
                </c:pt>
                <c:pt idx="21">
                  <c:v>81.349999999999994</c:v>
                </c:pt>
                <c:pt idx="22">
                  <c:v>95.31</c:v>
                </c:pt>
                <c:pt idx="23">
                  <c:v>104.76</c:v>
                </c:pt>
                <c:pt idx="24">
                  <c:v>108.48</c:v>
                </c:pt>
                <c:pt idx="25">
                  <c:v>111.65</c:v>
                </c:pt>
                <c:pt idx="26">
                  <c:v>113.85</c:v>
                </c:pt>
                <c:pt idx="27">
                  <c:v>115.8</c:v>
                </c:pt>
                <c:pt idx="28">
                  <c:v>117.68</c:v>
                </c:pt>
                <c:pt idx="29">
                  <c:v>118.94</c:v>
                </c:pt>
                <c:pt idx="30">
                  <c:v>120.03</c:v>
                </c:pt>
                <c:pt idx="31">
                  <c:v>121.26</c:v>
                </c:pt>
                <c:pt idx="32">
                  <c:v>122.33</c:v>
                </c:pt>
                <c:pt idx="33">
                  <c:v>123.3</c:v>
                </c:pt>
                <c:pt idx="34">
                  <c:v>124.26</c:v>
                </c:pt>
                <c:pt idx="35">
                  <c:v>125.34</c:v>
                </c:pt>
                <c:pt idx="36">
                  <c:v>126.5</c:v>
                </c:pt>
                <c:pt idx="37">
                  <c:v>124.78</c:v>
                </c:pt>
                <c:pt idx="38">
                  <c:v>121.87</c:v>
                </c:pt>
                <c:pt idx="39">
                  <c:v>123.56</c:v>
                </c:pt>
                <c:pt idx="40">
                  <c:v>123.26</c:v>
                </c:pt>
                <c:pt idx="41">
                  <c:v>122.65</c:v>
                </c:pt>
                <c:pt idx="42">
                  <c:v>123.85</c:v>
                </c:pt>
                <c:pt idx="43">
                  <c:v>122.64</c:v>
                </c:pt>
                <c:pt idx="44">
                  <c:v>123.59</c:v>
                </c:pt>
                <c:pt idx="45">
                  <c:v>123.29</c:v>
                </c:pt>
                <c:pt idx="46">
                  <c:v>122.73</c:v>
                </c:pt>
                <c:pt idx="47">
                  <c:v>123.16</c:v>
                </c:pt>
                <c:pt idx="48">
                  <c:v>122.42</c:v>
                </c:pt>
                <c:pt idx="49">
                  <c:v>123.12</c:v>
                </c:pt>
                <c:pt idx="50">
                  <c:v>122.2</c:v>
                </c:pt>
                <c:pt idx="51">
                  <c:v>123.22</c:v>
                </c:pt>
                <c:pt idx="52">
                  <c:v>122.3</c:v>
                </c:pt>
                <c:pt idx="53">
                  <c:v>123.07</c:v>
                </c:pt>
                <c:pt idx="54">
                  <c:v>123.03</c:v>
                </c:pt>
                <c:pt idx="55">
                  <c:v>122.9</c:v>
                </c:pt>
                <c:pt idx="56">
                  <c:v>123.01</c:v>
                </c:pt>
                <c:pt idx="57">
                  <c:v>122.36</c:v>
                </c:pt>
                <c:pt idx="58">
                  <c:v>123.03</c:v>
                </c:pt>
                <c:pt idx="59">
                  <c:v>122.03</c:v>
                </c:pt>
                <c:pt idx="60">
                  <c:v>123.07</c:v>
                </c:pt>
                <c:pt idx="61">
                  <c:v>122.4</c:v>
                </c:pt>
                <c:pt idx="62">
                  <c:v>122.76</c:v>
                </c:pt>
                <c:pt idx="63">
                  <c:v>123.01</c:v>
                </c:pt>
                <c:pt idx="64">
                  <c:v>122.37</c:v>
                </c:pt>
                <c:pt idx="65">
                  <c:v>122.99</c:v>
                </c:pt>
                <c:pt idx="66">
                  <c:v>121.96</c:v>
                </c:pt>
                <c:pt idx="67">
                  <c:v>122.89</c:v>
                </c:pt>
                <c:pt idx="68">
                  <c:v>122.86</c:v>
                </c:pt>
                <c:pt idx="69">
                  <c:v>122.55</c:v>
                </c:pt>
                <c:pt idx="70">
                  <c:v>122.95</c:v>
                </c:pt>
                <c:pt idx="71">
                  <c:v>122.17</c:v>
                </c:pt>
                <c:pt idx="72">
                  <c:v>123.05</c:v>
                </c:pt>
                <c:pt idx="73">
                  <c:v>121.86</c:v>
                </c:pt>
                <c:pt idx="74">
                  <c:v>122.78</c:v>
                </c:pt>
                <c:pt idx="75">
                  <c:v>122.89</c:v>
                </c:pt>
                <c:pt idx="76">
                  <c:v>122.29</c:v>
                </c:pt>
                <c:pt idx="77">
                  <c:v>123.02</c:v>
                </c:pt>
                <c:pt idx="78">
                  <c:v>122</c:v>
                </c:pt>
                <c:pt idx="79">
                  <c:v>123.06</c:v>
                </c:pt>
                <c:pt idx="80">
                  <c:v>121.82</c:v>
                </c:pt>
                <c:pt idx="81">
                  <c:v>122.99</c:v>
                </c:pt>
                <c:pt idx="82">
                  <c:v>121.76</c:v>
                </c:pt>
                <c:pt idx="83">
                  <c:v>122.9</c:v>
                </c:pt>
                <c:pt idx="84">
                  <c:v>121.82</c:v>
                </c:pt>
                <c:pt idx="85">
                  <c:v>122.78</c:v>
                </c:pt>
                <c:pt idx="86">
                  <c:v>122.23</c:v>
                </c:pt>
                <c:pt idx="87">
                  <c:v>122.7</c:v>
                </c:pt>
                <c:pt idx="88">
                  <c:v>122.42</c:v>
                </c:pt>
                <c:pt idx="89">
                  <c:v>122.6</c:v>
                </c:pt>
                <c:pt idx="90">
                  <c:v>123.01</c:v>
                </c:pt>
                <c:pt idx="91">
                  <c:v>122.45</c:v>
                </c:pt>
                <c:pt idx="92">
                  <c:v>123.01</c:v>
                </c:pt>
                <c:pt idx="93">
                  <c:v>122.25</c:v>
                </c:pt>
                <c:pt idx="94">
                  <c:v>123.04</c:v>
                </c:pt>
                <c:pt idx="95">
                  <c:v>122.12</c:v>
                </c:pt>
                <c:pt idx="96">
                  <c:v>122.93</c:v>
                </c:pt>
                <c:pt idx="97">
                  <c:v>122.02</c:v>
                </c:pt>
                <c:pt idx="98">
                  <c:v>122.79</c:v>
                </c:pt>
                <c:pt idx="99">
                  <c:v>116.9</c:v>
                </c:pt>
                <c:pt idx="100">
                  <c:v>110.96</c:v>
                </c:pt>
                <c:pt idx="101">
                  <c:v>105.95</c:v>
                </c:pt>
                <c:pt idx="102">
                  <c:v>103.38</c:v>
                </c:pt>
                <c:pt idx="103">
                  <c:v>101.27</c:v>
                </c:pt>
                <c:pt idx="104">
                  <c:v>100.14</c:v>
                </c:pt>
                <c:pt idx="105">
                  <c:v>102.85</c:v>
                </c:pt>
                <c:pt idx="106">
                  <c:v>103.89</c:v>
                </c:pt>
                <c:pt idx="107">
                  <c:v>104.64</c:v>
                </c:pt>
                <c:pt idx="108">
                  <c:v>105.13</c:v>
                </c:pt>
                <c:pt idx="109">
                  <c:v>105.4</c:v>
                </c:pt>
                <c:pt idx="110">
                  <c:v>105.53</c:v>
                </c:pt>
                <c:pt idx="111">
                  <c:v>105.55</c:v>
                </c:pt>
                <c:pt idx="112">
                  <c:v>105.56</c:v>
                </c:pt>
                <c:pt idx="113">
                  <c:v>105.49</c:v>
                </c:pt>
                <c:pt idx="114">
                  <c:v>105.38</c:v>
                </c:pt>
                <c:pt idx="115">
                  <c:v>105.27</c:v>
                </c:pt>
                <c:pt idx="116">
                  <c:v>90.62</c:v>
                </c:pt>
                <c:pt idx="117">
                  <c:v>44.35</c:v>
                </c:pt>
                <c:pt idx="118">
                  <c:v>32.729999999999997</c:v>
                </c:pt>
                <c:pt idx="119">
                  <c:v>32.89</c:v>
                </c:pt>
                <c:pt idx="120">
                  <c:v>32.71</c:v>
                </c:pt>
                <c:pt idx="121">
                  <c:v>33.4</c:v>
                </c:pt>
                <c:pt idx="122">
                  <c:v>32.71</c:v>
                </c:pt>
                <c:pt idx="123">
                  <c:v>31.78</c:v>
                </c:pt>
                <c:pt idx="124">
                  <c:v>31.37</c:v>
                </c:pt>
                <c:pt idx="125">
                  <c:v>32.01</c:v>
                </c:pt>
                <c:pt idx="126">
                  <c:v>31.1</c:v>
                </c:pt>
                <c:pt idx="127">
                  <c:v>30.8</c:v>
                </c:pt>
                <c:pt idx="128">
                  <c:v>29.75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F3CA-409C-89D1-36680D78D7F2}"/>
            </c:ext>
          </c:extLst>
        </c:ser>
        <c:ser>
          <c:idx val="8"/>
          <c:order val="8"/>
          <c:tx>
            <c:strRef>
              <c:f>'DESEMPEÑO  TEMP2'!$BJ$30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'DESEMPEÑO  TEMP2'!$B$31:$B$159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TEMP2'!$BJ$31:$BJ$159</c:f>
              <c:numCache>
                <c:formatCode>0.0</c:formatCode>
                <c:ptCount val="129"/>
                <c:pt idx="0">
                  <c:v>23.51</c:v>
                </c:pt>
                <c:pt idx="1">
                  <c:v>23.58</c:v>
                </c:pt>
                <c:pt idx="2">
                  <c:v>23.95</c:v>
                </c:pt>
                <c:pt idx="3">
                  <c:v>23.84</c:v>
                </c:pt>
                <c:pt idx="4">
                  <c:v>24.07</c:v>
                </c:pt>
                <c:pt idx="5">
                  <c:v>24.18</c:v>
                </c:pt>
                <c:pt idx="6">
                  <c:v>25.04</c:v>
                </c:pt>
                <c:pt idx="7">
                  <c:v>27.71</c:v>
                </c:pt>
                <c:pt idx="8">
                  <c:v>26.99</c:v>
                </c:pt>
                <c:pt idx="9">
                  <c:v>23.53</c:v>
                </c:pt>
                <c:pt idx="10">
                  <c:v>23.02</c:v>
                </c:pt>
                <c:pt idx="11">
                  <c:v>22.66</c:v>
                </c:pt>
                <c:pt idx="12">
                  <c:v>22.83</c:v>
                </c:pt>
                <c:pt idx="13">
                  <c:v>22.93</c:v>
                </c:pt>
                <c:pt idx="14">
                  <c:v>22.87</c:v>
                </c:pt>
                <c:pt idx="15">
                  <c:v>23.99</c:v>
                </c:pt>
                <c:pt idx="16">
                  <c:v>23.9</c:v>
                </c:pt>
                <c:pt idx="17">
                  <c:v>23.9</c:v>
                </c:pt>
                <c:pt idx="18">
                  <c:v>30.77</c:v>
                </c:pt>
                <c:pt idx="19">
                  <c:v>46.36</c:v>
                </c:pt>
                <c:pt idx="20">
                  <c:v>58.38</c:v>
                </c:pt>
                <c:pt idx="21">
                  <c:v>84.58</c:v>
                </c:pt>
                <c:pt idx="22">
                  <c:v>94.9</c:v>
                </c:pt>
                <c:pt idx="23">
                  <c:v>102.45</c:v>
                </c:pt>
                <c:pt idx="24">
                  <c:v>109.33</c:v>
                </c:pt>
                <c:pt idx="25">
                  <c:v>111.14</c:v>
                </c:pt>
                <c:pt idx="26">
                  <c:v>113.59</c:v>
                </c:pt>
                <c:pt idx="27">
                  <c:v>114.64</c:v>
                </c:pt>
                <c:pt idx="28">
                  <c:v>117.08</c:v>
                </c:pt>
                <c:pt idx="29">
                  <c:v>116.65</c:v>
                </c:pt>
                <c:pt idx="30">
                  <c:v>118.84</c:v>
                </c:pt>
                <c:pt idx="31">
                  <c:v>118.92</c:v>
                </c:pt>
                <c:pt idx="32">
                  <c:v>120.43</c:v>
                </c:pt>
                <c:pt idx="33">
                  <c:v>121.88</c:v>
                </c:pt>
                <c:pt idx="34">
                  <c:v>122.96</c:v>
                </c:pt>
                <c:pt idx="35">
                  <c:v>123.14</c:v>
                </c:pt>
                <c:pt idx="36">
                  <c:v>123.55</c:v>
                </c:pt>
                <c:pt idx="37">
                  <c:v>123.52</c:v>
                </c:pt>
                <c:pt idx="38">
                  <c:v>121.46</c:v>
                </c:pt>
                <c:pt idx="39">
                  <c:v>122.79</c:v>
                </c:pt>
                <c:pt idx="40">
                  <c:v>123.17</c:v>
                </c:pt>
                <c:pt idx="41">
                  <c:v>122.02</c:v>
                </c:pt>
                <c:pt idx="42">
                  <c:v>123.02</c:v>
                </c:pt>
                <c:pt idx="43">
                  <c:v>122.46</c:v>
                </c:pt>
                <c:pt idx="44">
                  <c:v>122.6</c:v>
                </c:pt>
                <c:pt idx="45">
                  <c:v>122.98</c:v>
                </c:pt>
                <c:pt idx="46">
                  <c:v>122.3</c:v>
                </c:pt>
                <c:pt idx="47">
                  <c:v>122.99</c:v>
                </c:pt>
                <c:pt idx="48">
                  <c:v>122.09</c:v>
                </c:pt>
                <c:pt idx="49">
                  <c:v>122.83</c:v>
                </c:pt>
                <c:pt idx="50">
                  <c:v>121.95</c:v>
                </c:pt>
                <c:pt idx="51">
                  <c:v>123</c:v>
                </c:pt>
                <c:pt idx="52">
                  <c:v>122.19</c:v>
                </c:pt>
                <c:pt idx="53">
                  <c:v>122.8</c:v>
                </c:pt>
                <c:pt idx="54">
                  <c:v>122.99</c:v>
                </c:pt>
                <c:pt idx="55">
                  <c:v>122.52</c:v>
                </c:pt>
                <c:pt idx="56">
                  <c:v>122.83</c:v>
                </c:pt>
                <c:pt idx="57">
                  <c:v>122.18</c:v>
                </c:pt>
                <c:pt idx="58">
                  <c:v>122.89</c:v>
                </c:pt>
                <c:pt idx="59">
                  <c:v>121.86</c:v>
                </c:pt>
                <c:pt idx="60">
                  <c:v>122.92</c:v>
                </c:pt>
                <c:pt idx="61">
                  <c:v>122.38</c:v>
                </c:pt>
                <c:pt idx="62">
                  <c:v>122.57</c:v>
                </c:pt>
                <c:pt idx="63">
                  <c:v>122.91</c:v>
                </c:pt>
                <c:pt idx="64">
                  <c:v>122.2</c:v>
                </c:pt>
                <c:pt idx="65">
                  <c:v>122.85</c:v>
                </c:pt>
                <c:pt idx="66">
                  <c:v>121.82</c:v>
                </c:pt>
                <c:pt idx="67">
                  <c:v>122.76</c:v>
                </c:pt>
                <c:pt idx="68">
                  <c:v>122.91</c:v>
                </c:pt>
                <c:pt idx="69">
                  <c:v>122.41</c:v>
                </c:pt>
                <c:pt idx="70">
                  <c:v>122.89</c:v>
                </c:pt>
                <c:pt idx="71">
                  <c:v>122.04</c:v>
                </c:pt>
                <c:pt idx="72">
                  <c:v>122.98</c:v>
                </c:pt>
                <c:pt idx="73">
                  <c:v>121.75</c:v>
                </c:pt>
                <c:pt idx="74">
                  <c:v>122.67</c:v>
                </c:pt>
                <c:pt idx="75">
                  <c:v>122.93</c:v>
                </c:pt>
                <c:pt idx="76">
                  <c:v>122.17</c:v>
                </c:pt>
                <c:pt idx="77">
                  <c:v>122.93</c:v>
                </c:pt>
                <c:pt idx="78">
                  <c:v>121.89</c:v>
                </c:pt>
                <c:pt idx="79">
                  <c:v>122.98</c:v>
                </c:pt>
                <c:pt idx="80">
                  <c:v>121.7</c:v>
                </c:pt>
                <c:pt idx="81">
                  <c:v>122.9</c:v>
                </c:pt>
                <c:pt idx="82">
                  <c:v>121.65</c:v>
                </c:pt>
                <c:pt idx="83">
                  <c:v>122.78</c:v>
                </c:pt>
                <c:pt idx="84">
                  <c:v>121.76</c:v>
                </c:pt>
                <c:pt idx="85">
                  <c:v>122.67</c:v>
                </c:pt>
                <c:pt idx="86">
                  <c:v>122.26</c:v>
                </c:pt>
                <c:pt idx="87">
                  <c:v>122.59</c:v>
                </c:pt>
                <c:pt idx="88">
                  <c:v>122.46</c:v>
                </c:pt>
                <c:pt idx="89">
                  <c:v>122.48</c:v>
                </c:pt>
                <c:pt idx="90">
                  <c:v>122.98</c:v>
                </c:pt>
                <c:pt idx="91">
                  <c:v>122.34</c:v>
                </c:pt>
                <c:pt idx="92">
                  <c:v>122.96</c:v>
                </c:pt>
                <c:pt idx="93">
                  <c:v>122.14</c:v>
                </c:pt>
                <c:pt idx="94">
                  <c:v>122.97</c:v>
                </c:pt>
                <c:pt idx="95">
                  <c:v>122.01</c:v>
                </c:pt>
                <c:pt idx="96">
                  <c:v>122.83</c:v>
                </c:pt>
                <c:pt idx="97">
                  <c:v>121.92</c:v>
                </c:pt>
                <c:pt idx="98">
                  <c:v>122.66</c:v>
                </c:pt>
                <c:pt idx="99">
                  <c:v>116.66</c:v>
                </c:pt>
                <c:pt idx="100">
                  <c:v>110.7</c:v>
                </c:pt>
                <c:pt idx="101">
                  <c:v>105.37</c:v>
                </c:pt>
                <c:pt idx="102">
                  <c:v>101.09</c:v>
                </c:pt>
                <c:pt idx="103">
                  <c:v>98.03</c:v>
                </c:pt>
                <c:pt idx="104">
                  <c:v>95.7</c:v>
                </c:pt>
                <c:pt idx="105">
                  <c:v>94.23</c:v>
                </c:pt>
                <c:pt idx="106">
                  <c:v>93.36</c:v>
                </c:pt>
                <c:pt idx="107">
                  <c:v>93.06</c:v>
                </c:pt>
                <c:pt idx="108">
                  <c:v>92.92</c:v>
                </c:pt>
                <c:pt idx="109">
                  <c:v>92.89</c:v>
                </c:pt>
                <c:pt idx="110">
                  <c:v>93.12</c:v>
                </c:pt>
                <c:pt idx="111">
                  <c:v>100.1</c:v>
                </c:pt>
                <c:pt idx="112">
                  <c:v>103.73</c:v>
                </c:pt>
                <c:pt idx="113">
                  <c:v>104.82</c:v>
                </c:pt>
                <c:pt idx="114">
                  <c:v>105.15</c:v>
                </c:pt>
                <c:pt idx="115">
                  <c:v>105.29</c:v>
                </c:pt>
                <c:pt idx="116">
                  <c:v>81.59</c:v>
                </c:pt>
                <c:pt idx="117">
                  <c:v>36.99</c:v>
                </c:pt>
                <c:pt idx="118">
                  <c:v>32.450000000000003</c:v>
                </c:pt>
                <c:pt idx="119">
                  <c:v>32.03</c:v>
                </c:pt>
                <c:pt idx="120">
                  <c:v>31.79</c:v>
                </c:pt>
                <c:pt idx="121">
                  <c:v>31.81</c:v>
                </c:pt>
                <c:pt idx="122">
                  <c:v>31.97</c:v>
                </c:pt>
                <c:pt idx="123">
                  <c:v>35.1</c:v>
                </c:pt>
                <c:pt idx="124">
                  <c:v>36.08</c:v>
                </c:pt>
                <c:pt idx="125">
                  <c:v>35</c:v>
                </c:pt>
                <c:pt idx="126">
                  <c:v>33.36</c:v>
                </c:pt>
                <c:pt idx="127">
                  <c:v>34.22</c:v>
                </c:pt>
                <c:pt idx="128">
                  <c:v>30.47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F3CA-409C-89D1-36680D78D7F2}"/>
            </c:ext>
          </c:extLst>
        </c:ser>
        <c:ser>
          <c:idx val="9"/>
          <c:order val="9"/>
          <c:tx>
            <c:strRef>
              <c:f>'DESEMPEÑO 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'DESEMPEÑO  TEMP2'!$B$31:$B$159</c:f>
              <c:numCache>
                <c:formatCode>h:mm:ss\ AM/PM</c:formatCode>
                <c:ptCount val="129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  <c:pt idx="128">
                  <c:v>0.50277777777777777</c:v>
                </c:pt>
              </c:numCache>
            </c:numRef>
          </c:cat>
          <c:val>
            <c:numRef>
              <c:f>'DESEMPEÑO  TEMP2'!$BK$31:$BK$159</c:f>
              <c:numCache>
                <c:formatCode>0.0</c:formatCode>
                <c:ptCount val="129"/>
                <c:pt idx="0">
                  <c:v>31.58</c:v>
                </c:pt>
                <c:pt idx="1">
                  <c:v>31.33</c:v>
                </c:pt>
                <c:pt idx="2">
                  <c:v>31.11</c:v>
                </c:pt>
                <c:pt idx="3">
                  <c:v>30.88</c:v>
                </c:pt>
                <c:pt idx="4">
                  <c:v>30.66</c:v>
                </c:pt>
                <c:pt idx="5">
                  <c:v>30.47</c:v>
                </c:pt>
                <c:pt idx="6">
                  <c:v>30.28</c:v>
                </c:pt>
                <c:pt idx="7">
                  <c:v>30.09</c:v>
                </c:pt>
                <c:pt idx="8">
                  <c:v>30.03</c:v>
                </c:pt>
                <c:pt idx="9">
                  <c:v>29.96</c:v>
                </c:pt>
                <c:pt idx="10">
                  <c:v>29.8</c:v>
                </c:pt>
                <c:pt idx="11">
                  <c:v>29.62</c:v>
                </c:pt>
                <c:pt idx="12">
                  <c:v>29.42</c:v>
                </c:pt>
                <c:pt idx="13">
                  <c:v>29.23</c:v>
                </c:pt>
                <c:pt idx="14">
                  <c:v>29.04</c:v>
                </c:pt>
                <c:pt idx="15">
                  <c:v>28.87</c:v>
                </c:pt>
                <c:pt idx="16">
                  <c:v>28.7</c:v>
                </c:pt>
                <c:pt idx="17">
                  <c:v>28.68</c:v>
                </c:pt>
                <c:pt idx="18">
                  <c:v>28.84</c:v>
                </c:pt>
                <c:pt idx="19">
                  <c:v>28.84</c:v>
                </c:pt>
                <c:pt idx="20">
                  <c:v>30.14</c:v>
                </c:pt>
                <c:pt idx="21">
                  <c:v>33.369999999999997</c:v>
                </c:pt>
                <c:pt idx="22">
                  <c:v>50.05</c:v>
                </c:pt>
                <c:pt idx="23">
                  <c:v>64.58</c:v>
                </c:pt>
                <c:pt idx="24">
                  <c:v>76</c:v>
                </c:pt>
                <c:pt idx="25">
                  <c:v>84.79</c:v>
                </c:pt>
                <c:pt idx="26">
                  <c:v>91.52</c:v>
                </c:pt>
                <c:pt idx="27">
                  <c:v>96.76</c:v>
                </c:pt>
                <c:pt idx="28">
                  <c:v>100.94</c:v>
                </c:pt>
                <c:pt idx="29">
                  <c:v>104.4</c:v>
                </c:pt>
                <c:pt idx="30">
                  <c:v>107.29</c:v>
                </c:pt>
                <c:pt idx="31">
                  <c:v>109.78</c:v>
                </c:pt>
                <c:pt idx="32">
                  <c:v>111.93</c:v>
                </c:pt>
                <c:pt idx="33">
                  <c:v>113.83</c:v>
                </c:pt>
                <c:pt idx="34">
                  <c:v>115.46</c:v>
                </c:pt>
                <c:pt idx="35">
                  <c:v>116.96</c:v>
                </c:pt>
                <c:pt idx="36">
                  <c:v>118.38</c:v>
                </c:pt>
                <c:pt idx="37">
                  <c:v>119.61</c:v>
                </c:pt>
                <c:pt idx="38">
                  <c:v>120.16</c:v>
                </c:pt>
                <c:pt idx="39">
                  <c:v>120.68</c:v>
                </c:pt>
                <c:pt idx="40">
                  <c:v>120.88</c:v>
                </c:pt>
                <c:pt idx="41">
                  <c:v>121.32</c:v>
                </c:pt>
                <c:pt idx="42">
                  <c:v>121.51</c:v>
                </c:pt>
                <c:pt idx="43">
                  <c:v>121.62</c:v>
                </c:pt>
                <c:pt idx="44">
                  <c:v>121.92</c:v>
                </c:pt>
                <c:pt idx="45">
                  <c:v>121.91</c:v>
                </c:pt>
                <c:pt idx="46">
                  <c:v>122.16</c:v>
                </c:pt>
                <c:pt idx="47">
                  <c:v>122.15</c:v>
                </c:pt>
                <c:pt idx="48">
                  <c:v>122.29</c:v>
                </c:pt>
                <c:pt idx="49">
                  <c:v>122.31</c:v>
                </c:pt>
                <c:pt idx="50">
                  <c:v>122.36</c:v>
                </c:pt>
                <c:pt idx="51">
                  <c:v>122.43</c:v>
                </c:pt>
                <c:pt idx="52">
                  <c:v>122.4</c:v>
                </c:pt>
                <c:pt idx="53">
                  <c:v>122.51</c:v>
                </c:pt>
                <c:pt idx="54">
                  <c:v>122.41</c:v>
                </c:pt>
                <c:pt idx="55">
                  <c:v>122.55</c:v>
                </c:pt>
                <c:pt idx="56">
                  <c:v>122.45</c:v>
                </c:pt>
                <c:pt idx="57">
                  <c:v>122.54</c:v>
                </c:pt>
                <c:pt idx="58">
                  <c:v>122.48</c:v>
                </c:pt>
                <c:pt idx="59">
                  <c:v>122.5</c:v>
                </c:pt>
                <c:pt idx="60">
                  <c:v>122.52</c:v>
                </c:pt>
                <c:pt idx="61">
                  <c:v>122.44</c:v>
                </c:pt>
                <c:pt idx="62">
                  <c:v>122.56</c:v>
                </c:pt>
                <c:pt idx="63">
                  <c:v>122.43</c:v>
                </c:pt>
                <c:pt idx="64">
                  <c:v>122.55</c:v>
                </c:pt>
                <c:pt idx="65">
                  <c:v>122.48</c:v>
                </c:pt>
                <c:pt idx="66">
                  <c:v>122.49</c:v>
                </c:pt>
                <c:pt idx="67">
                  <c:v>122.53</c:v>
                </c:pt>
                <c:pt idx="68">
                  <c:v>122.42</c:v>
                </c:pt>
                <c:pt idx="69">
                  <c:v>122.54</c:v>
                </c:pt>
                <c:pt idx="70">
                  <c:v>122.44</c:v>
                </c:pt>
                <c:pt idx="71">
                  <c:v>122.53</c:v>
                </c:pt>
                <c:pt idx="72">
                  <c:v>122.49</c:v>
                </c:pt>
                <c:pt idx="73">
                  <c:v>122.47</c:v>
                </c:pt>
                <c:pt idx="74">
                  <c:v>122.53</c:v>
                </c:pt>
                <c:pt idx="75">
                  <c:v>122.39</c:v>
                </c:pt>
                <c:pt idx="76">
                  <c:v>122.51</c:v>
                </c:pt>
                <c:pt idx="77">
                  <c:v>122.43</c:v>
                </c:pt>
                <c:pt idx="78">
                  <c:v>122.47</c:v>
                </c:pt>
                <c:pt idx="79">
                  <c:v>122.46</c:v>
                </c:pt>
                <c:pt idx="80">
                  <c:v>122.43</c:v>
                </c:pt>
                <c:pt idx="81">
                  <c:v>122.47</c:v>
                </c:pt>
                <c:pt idx="82">
                  <c:v>122.42</c:v>
                </c:pt>
                <c:pt idx="83">
                  <c:v>122.5</c:v>
                </c:pt>
                <c:pt idx="84">
                  <c:v>122.4</c:v>
                </c:pt>
                <c:pt idx="85">
                  <c:v>122.5</c:v>
                </c:pt>
                <c:pt idx="86">
                  <c:v>122.38</c:v>
                </c:pt>
                <c:pt idx="87">
                  <c:v>122.51</c:v>
                </c:pt>
                <c:pt idx="88">
                  <c:v>122.37</c:v>
                </c:pt>
                <c:pt idx="89">
                  <c:v>122.52</c:v>
                </c:pt>
                <c:pt idx="90">
                  <c:v>122.37</c:v>
                </c:pt>
                <c:pt idx="91">
                  <c:v>122.52</c:v>
                </c:pt>
                <c:pt idx="92">
                  <c:v>122.4</c:v>
                </c:pt>
                <c:pt idx="93">
                  <c:v>122.5</c:v>
                </c:pt>
                <c:pt idx="94">
                  <c:v>122.41</c:v>
                </c:pt>
                <c:pt idx="95">
                  <c:v>122.48</c:v>
                </c:pt>
                <c:pt idx="96">
                  <c:v>122.43</c:v>
                </c:pt>
                <c:pt idx="97">
                  <c:v>122.46</c:v>
                </c:pt>
                <c:pt idx="98">
                  <c:v>122.45</c:v>
                </c:pt>
                <c:pt idx="99">
                  <c:v>121.72</c:v>
                </c:pt>
                <c:pt idx="100">
                  <c:v>119.53</c:v>
                </c:pt>
                <c:pt idx="101">
                  <c:v>116.51</c:v>
                </c:pt>
                <c:pt idx="102">
                  <c:v>113.18</c:v>
                </c:pt>
                <c:pt idx="103">
                  <c:v>110.15</c:v>
                </c:pt>
                <c:pt idx="104">
                  <c:v>107.76</c:v>
                </c:pt>
                <c:pt idx="105">
                  <c:v>105.88</c:v>
                </c:pt>
                <c:pt idx="106">
                  <c:v>104.47</c:v>
                </c:pt>
                <c:pt idx="107">
                  <c:v>103.34</c:v>
                </c:pt>
                <c:pt idx="108">
                  <c:v>102.39</c:v>
                </c:pt>
                <c:pt idx="109">
                  <c:v>101.56</c:v>
                </c:pt>
                <c:pt idx="110">
                  <c:v>100.83</c:v>
                </c:pt>
                <c:pt idx="111">
                  <c:v>100.17</c:v>
                </c:pt>
                <c:pt idx="112">
                  <c:v>99.57</c:v>
                </c:pt>
                <c:pt idx="113">
                  <c:v>99.01</c:v>
                </c:pt>
                <c:pt idx="114">
                  <c:v>98.52</c:v>
                </c:pt>
                <c:pt idx="115">
                  <c:v>98.06</c:v>
                </c:pt>
                <c:pt idx="116">
                  <c:v>97.64</c:v>
                </c:pt>
                <c:pt idx="117">
                  <c:v>96.41</c:v>
                </c:pt>
                <c:pt idx="118">
                  <c:v>94.01</c:v>
                </c:pt>
                <c:pt idx="119">
                  <c:v>90.96</c:v>
                </c:pt>
                <c:pt idx="120">
                  <c:v>88.01</c:v>
                </c:pt>
                <c:pt idx="121">
                  <c:v>85.1</c:v>
                </c:pt>
                <c:pt idx="122">
                  <c:v>82.36</c:v>
                </c:pt>
                <c:pt idx="123">
                  <c:v>79.75</c:v>
                </c:pt>
                <c:pt idx="124">
                  <c:v>77.33</c:v>
                </c:pt>
                <c:pt idx="125">
                  <c:v>75.12</c:v>
                </c:pt>
                <c:pt idx="126">
                  <c:v>73.11</c:v>
                </c:pt>
                <c:pt idx="127">
                  <c:v>71.28</c:v>
                </c:pt>
                <c:pt idx="128">
                  <c:v>69.64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F3CA-409C-89D1-36680D78D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459272"/>
        <c:axId val="561460912"/>
      </c:lineChart>
      <c:catAx>
        <c:axId val="561459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\ AM/PM" sourceLinked="1"/>
        <c:majorTickMark val="out"/>
        <c:minorTickMark val="none"/>
        <c:tickLblPos val="nextTo"/>
        <c:crossAx val="561460912"/>
        <c:crosses val="autoZero"/>
        <c:auto val="1"/>
        <c:lblAlgn val="ctr"/>
        <c:lblOffset val="100"/>
        <c:noMultiLvlLbl val="0"/>
      </c:catAx>
      <c:valAx>
        <c:axId val="5614609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614592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 TEMP2'!$BB$30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'DESEMPEÑO  TEMP2'!$B$70:$B$128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TEMP2'!$BB$70:$BB$128</c:f>
              <c:numCache>
                <c:formatCode>0.0</c:formatCode>
                <c:ptCount val="59"/>
                <c:pt idx="0">
                  <c:v>95.53</c:v>
                </c:pt>
                <c:pt idx="1">
                  <c:v>97.82</c:v>
                </c:pt>
                <c:pt idx="2">
                  <c:v>100.1</c:v>
                </c:pt>
                <c:pt idx="3">
                  <c:v>102.2</c:v>
                </c:pt>
                <c:pt idx="4">
                  <c:v>104.16</c:v>
                </c:pt>
                <c:pt idx="5">
                  <c:v>105.86</c:v>
                </c:pt>
                <c:pt idx="6">
                  <c:v>107.42</c:v>
                </c:pt>
                <c:pt idx="7">
                  <c:v>108.79</c:v>
                </c:pt>
                <c:pt idx="8">
                  <c:v>110.03</c:v>
                </c:pt>
                <c:pt idx="9">
                  <c:v>111.15</c:v>
                </c:pt>
                <c:pt idx="10">
                  <c:v>112.15</c:v>
                </c:pt>
                <c:pt idx="11">
                  <c:v>113.07</c:v>
                </c:pt>
                <c:pt idx="12">
                  <c:v>113.91</c:v>
                </c:pt>
                <c:pt idx="13">
                  <c:v>114.66</c:v>
                </c:pt>
                <c:pt idx="14">
                  <c:v>115.33</c:v>
                </c:pt>
                <c:pt idx="15">
                  <c:v>115.96</c:v>
                </c:pt>
                <c:pt idx="16">
                  <c:v>116.51</c:v>
                </c:pt>
                <c:pt idx="17">
                  <c:v>117.02</c:v>
                </c:pt>
                <c:pt idx="18">
                  <c:v>117.48</c:v>
                </c:pt>
                <c:pt idx="19">
                  <c:v>117.89</c:v>
                </c:pt>
                <c:pt idx="20">
                  <c:v>118.27</c:v>
                </c:pt>
                <c:pt idx="21">
                  <c:v>118.61</c:v>
                </c:pt>
                <c:pt idx="22">
                  <c:v>118.92</c:v>
                </c:pt>
                <c:pt idx="23">
                  <c:v>119.2</c:v>
                </c:pt>
                <c:pt idx="24">
                  <c:v>119.45</c:v>
                </c:pt>
                <c:pt idx="25">
                  <c:v>119.7</c:v>
                </c:pt>
                <c:pt idx="26">
                  <c:v>119.88</c:v>
                </c:pt>
                <c:pt idx="27">
                  <c:v>120.09</c:v>
                </c:pt>
                <c:pt idx="28">
                  <c:v>120.25</c:v>
                </c:pt>
                <c:pt idx="29">
                  <c:v>120.42</c:v>
                </c:pt>
                <c:pt idx="30">
                  <c:v>120.55</c:v>
                </c:pt>
                <c:pt idx="31">
                  <c:v>120.7</c:v>
                </c:pt>
                <c:pt idx="32">
                  <c:v>120.8</c:v>
                </c:pt>
                <c:pt idx="33">
                  <c:v>120.93</c:v>
                </c:pt>
                <c:pt idx="34">
                  <c:v>121.01</c:v>
                </c:pt>
                <c:pt idx="35">
                  <c:v>121.13</c:v>
                </c:pt>
                <c:pt idx="36">
                  <c:v>121.19</c:v>
                </c:pt>
                <c:pt idx="37">
                  <c:v>121.29</c:v>
                </c:pt>
                <c:pt idx="38">
                  <c:v>121.35</c:v>
                </c:pt>
                <c:pt idx="39">
                  <c:v>121.42</c:v>
                </c:pt>
                <c:pt idx="40">
                  <c:v>121.47</c:v>
                </c:pt>
                <c:pt idx="41">
                  <c:v>121.53</c:v>
                </c:pt>
                <c:pt idx="42">
                  <c:v>121.58</c:v>
                </c:pt>
                <c:pt idx="43">
                  <c:v>121.63</c:v>
                </c:pt>
                <c:pt idx="44">
                  <c:v>121.67</c:v>
                </c:pt>
                <c:pt idx="45">
                  <c:v>121.7</c:v>
                </c:pt>
                <c:pt idx="46">
                  <c:v>121.74</c:v>
                </c:pt>
                <c:pt idx="47">
                  <c:v>121.78</c:v>
                </c:pt>
                <c:pt idx="48">
                  <c:v>121.79</c:v>
                </c:pt>
                <c:pt idx="49">
                  <c:v>121.84</c:v>
                </c:pt>
                <c:pt idx="50">
                  <c:v>121.86</c:v>
                </c:pt>
                <c:pt idx="51">
                  <c:v>121.89</c:v>
                </c:pt>
                <c:pt idx="52">
                  <c:v>121.91</c:v>
                </c:pt>
                <c:pt idx="53">
                  <c:v>121.93</c:v>
                </c:pt>
                <c:pt idx="54">
                  <c:v>121.95</c:v>
                </c:pt>
                <c:pt idx="55">
                  <c:v>121.98</c:v>
                </c:pt>
                <c:pt idx="56">
                  <c:v>121.99</c:v>
                </c:pt>
                <c:pt idx="57">
                  <c:v>122.01</c:v>
                </c:pt>
                <c:pt idx="58">
                  <c:v>122.03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153-4768-9D0D-75402F217903}"/>
            </c:ext>
          </c:extLst>
        </c:ser>
        <c:ser>
          <c:idx val="1"/>
          <c:order val="1"/>
          <c:tx>
            <c:strRef>
              <c:f>'DESEMPEÑO  TEMP2'!$BC$30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'DESEMPEÑO  TEMP2'!$B$70:$B$128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TEMP2'!$BC$70:$BC$128</c:f>
              <c:numCache>
                <c:formatCode>0.0</c:formatCode>
                <c:ptCount val="59"/>
                <c:pt idx="0">
                  <c:v>76.400000000000006</c:v>
                </c:pt>
                <c:pt idx="1">
                  <c:v>79.16</c:v>
                </c:pt>
                <c:pt idx="2">
                  <c:v>81.78</c:v>
                </c:pt>
                <c:pt idx="3">
                  <c:v>84.22</c:v>
                </c:pt>
                <c:pt idx="4">
                  <c:v>86.59</c:v>
                </c:pt>
                <c:pt idx="5">
                  <c:v>88.75</c:v>
                </c:pt>
                <c:pt idx="6">
                  <c:v>90.85</c:v>
                </c:pt>
                <c:pt idx="7">
                  <c:v>92.75</c:v>
                </c:pt>
                <c:pt idx="8">
                  <c:v>94.6</c:v>
                </c:pt>
                <c:pt idx="9">
                  <c:v>96.26</c:v>
                </c:pt>
                <c:pt idx="10">
                  <c:v>97.98</c:v>
                </c:pt>
                <c:pt idx="11">
                  <c:v>99.59</c:v>
                </c:pt>
                <c:pt idx="12">
                  <c:v>101.09</c:v>
                </c:pt>
                <c:pt idx="13">
                  <c:v>102.42</c:v>
                </c:pt>
                <c:pt idx="14">
                  <c:v>103.7</c:v>
                </c:pt>
                <c:pt idx="15">
                  <c:v>104.87</c:v>
                </c:pt>
                <c:pt idx="16">
                  <c:v>105.98</c:v>
                </c:pt>
                <c:pt idx="17">
                  <c:v>107.03</c:v>
                </c:pt>
                <c:pt idx="18">
                  <c:v>107.99</c:v>
                </c:pt>
                <c:pt idx="19">
                  <c:v>108.9</c:v>
                </c:pt>
                <c:pt idx="20">
                  <c:v>109.79</c:v>
                </c:pt>
                <c:pt idx="21">
                  <c:v>110.6</c:v>
                </c:pt>
                <c:pt idx="22">
                  <c:v>111.37</c:v>
                </c:pt>
                <c:pt idx="23">
                  <c:v>112.08</c:v>
                </c:pt>
                <c:pt idx="24">
                  <c:v>112.76</c:v>
                </c:pt>
                <c:pt idx="25">
                  <c:v>113.4</c:v>
                </c:pt>
                <c:pt idx="26">
                  <c:v>114.01</c:v>
                </c:pt>
                <c:pt idx="27">
                  <c:v>114.57</c:v>
                </c:pt>
                <c:pt idx="28">
                  <c:v>115.12</c:v>
                </c:pt>
                <c:pt idx="29">
                  <c:v>115.63</c:v>
                </c:pt>
                <c:pt idx="30">
                  <c:v>116.1</c:v>
                </c:pt>
                <c:pt idx="31">
                  <c:v>116.55</c:v>
                </c:pt>
                <c:pt idx="32">
                  <c:v>116.98</c:v>
                </c:pt>
                <c:pt idx="33">
                  <c:v>117.37</c:v>
                </c:pt>
                <c:pt idx="34">
                  <c:v>117.76</c:v>
                </c:pt>
                <c:pt idx="35">
                  <c:v>118.12</c:v>
                </c:pt>
                <c:pt idx="36">
                  <c:v>118.48</c:v>
                </c:pt>
                <c:pt idx="37">
                  <c:v>118.83</c:v>
                </c:pt>
                <c:pt idx="38">
                  <c:v>119.16</c:v>
                </c:pt>
                <c:pt idx="39">
                  <c:v>119.47</c:v>
                </c:pt>
                <c:pt idx="40">
                  <c:v>119.74</c:v>
                </c:pt>
                <c:pt idx="41">
                  <c:v>120.02</c:v>
                </c:pt>
                <c:pt idx="42">
                  <c:v>120.25</c:v>
                </c:pt>
                <c:pt idx="43">
                  <c:v>120.49</c:v>
                </c:pt>
                <c:pt idx="44">
                  <c:v>120.69</c:v>
                </c:pt>
                <c:pt idx="45">
                  <c:v>120.9</c:v>
                </c:pt>
                <c:pt idx="46">
                  <c:v>121.08</c:v>
                </c:pt>
                <c:pt idx="47">
                  <c:v>121.26</c:v>
                </c:pt>
                <c:pt idx="48">
                  <c:v>121.43</c:v>
                </c:pt>
                <c:pt idx="49">
                  <c:v>121.59</c:v>
                </c:pt>
                <c:pt idx="50">
                  <c:v>121.73</c:v>
                </c:pt>
                <c:pt idx="51">
                  <c:v>121.87</c:v>
                </c:pt>
                <c:pt idx="52">
                  <c:v>122.01</c:v>
                </c:pt>
                <c:pt idx="53">
                  <c:v>122.13</c:v>
                </c:pt>
                <c:pt idx="54">
                  <c:v>122.25</c:v>
                </c:pt>
                <c:pt idx="55">
                  <c:v>122.36</c:v>
                </c:pt>
                <c:pt idx="56">
                  <c:v>122.46</c:v>
                </c:pt>
                <c:pt idx="57">
                  <c:v>122.57</c:v>
                </c:pt>
                <c:pt idx="58">
                  <c:v>122.67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5153-4768-9D0D-75402F217903}"/>
            </c:ext>
          </c:extLst>
        </c:ser>
        <c:ser>
          <c:idx val="2"/>
          <c:order val="2"/>
          <c:tx>
            <c:strRef>
              <c:f>'DESEMPEÑO  TEMP2'!$BD$30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'DESEMPEÑO  TEMP2'!$B$70:$B$128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TEMP2'!$BD$70:$BD$128</c:f>
              <c:numCache>
                <c:formatCode>0.0</c:formatCode>
                <c:ptCount val="59"/>
                <c:pt idx="0">
                  <c:v>95.53</c:v>
                </c:pt>
                <c:pt idx="1">
                  <c:v>97.82</c:v>
                </c:pt>
                <c:pt idx="2">
                  <c:v>100.1</c:v>
                </c:pt>
                <c:pt idx="3">
                  <c:v>102.2</c:v>
                </c:pt>
                <c:pt idx="4">
                  <c:v>104.16</c:v>
                </c:pt>
                <c:pt idx="5">
                  <c:v>105.86</c:v>
                </c:pt>
                <c:pt idx="6">
                  <c:v>107.42</c:v>
                </c:pt>
                <c:pt idx="7">
                  <c:v>108.79</c:v>
                </c:pt>
                <c:pt idx="8">
                  <c:v>110.03</c:v>
                </c:pt>
                <c:pt idx="9">
                  <c:v>111.15</c:v>
                </c:pt>
                <c:pt idx="10">
                  <c:v>112.15</c:v>
                </c:pt>
                <c:pt idx="11">
                  <c:v>113.07</c:v>
                </c:pt>
                <c:pt idx="12">
                  <c:v>113.91</c:v>
                </c:pt>
                <c:pt idx="13">
                  <c:v>114.66</c:v>
                </c:pt>
                <c:pt idx="14">
                  <c:v>115.33</c:v>
                </c:pt>
                <c:pt idx="15">
                  <c:v>115.96</c:v>
                </c:pt>
                <c:pt idx="16">
                  <c:v>116.51</c:v>
                </c:pt>
                <c:pt idx="17">
                  <c:v>117.02</c:v>
                </c:pt>
                <c:pt idx="18">
                  <c:v>117.48</c:v>
                </c:pt>
                <c:pt idx="19">
                  <c:v>117.89</c:v>
                </c:pt>
                <c:pt idx="20">
                  <c:v>118.27</c:v>
                </c:pt>
                <c:pt idx="21">
                  <c:v>118.61</c:v>
                </c:pt>
                <c:pt idx="22">
                  <c:v>118.92</c:v>
                </c:pt>
                <c:pt idx="23">
                  <c:v>119.2</c:v>
                </c:pt>
                <c:pt idx="24">
                  <c:v>119.45</c:v>
                </c:pt>
                <c:pt idx="25">
                  <c:v>119.7</c:v>
                </c:pt>
                <c:pt idx="26">
                  <c:v>119.88</c:v>
                </c:pt>
                <c:pt idx="27">
                  <c:v>120.09</c:v>
                </c:pt>
                <c:pt idx="28">
                  <c:v>120.25</c:v>
                </c:pt>
                <c:pt idx="29">
                  <c:v>120.42</c:v>
                </c:pt>
                <c:pt idx="30">
                  <c:v>120.55</c:v>
                </c:pt>
                <c:pt idx="31">
                  <c:v>120.7</c:v>
                </c:pt>
                <c:pt idx="32">
                  <c:v>120.8</c:v>
                </c:pt>
                <c:pt idx="33">
                  <c:v>120.93</c:v>
                </c:pt>
                <c:pt idx="34">
                  <c:v>121.01</c:v>
                </c:pt>
                <c:pt idx="35">
                  <c:v>121.13</c:v>
                </c:pt>
                <c:pt idx="36">
                  <c:v>121.19</c:v>
                </c:pt>
                <c:pt idx="37">
                  <c:v>121.29</c:v>
                </c:pt>
                <c:pt idx="38">
                  <c:v>121.35</c:v>
                </c:pt>
                <c:pt idx="39">
                  <c:v>121.42</c:v>
                </c:pt>
                <c:pt idx="40">
                  <c:v>121.47</c:v>
                </c:pt>
                <c:pt idx="41">
                  <c:v>121.53</c:v>
                </c:pt>
                <c:pt idx="42">
                  <c:v>121.58</c:v>
                </c:pt>
                <c:pt idx="43">
                  <c:v>121.63</c:v>
                </c:pt>
                <c:pt idx="44">
                  <c:v>121.67</c:v>
                </c:pt>
                <c:pt idx="45">
                  <c:v>121.7</c:v>
                </c:pt>
                <c:pt idx="46">
                  <c:v>121.74</c:v>
                </c:pt>
                <c:pt idx="47">
                  <c:v>121.78</c:v>
                </c:pt>
                <c:pt idx="48">
                  <c:v>121.79</c:v>
                </c:pt>
                <c:pt idx="49">
                  <c:v>121.84</c:v>
                </c:pt>
                <c:pt idx="50">
                  <c:v>121.86</c:v>
                </c:pt>
                <c:pt idx="51">
                  <c:v>121.89</c:v>
                </c:pt>
                <c:pt idx="52">
                  <c:v>121.91</c:v>
                </c:pt>
                <c:pt idx="53">
                  <c:v>121.93</c:v>
                </c:pt>
                <c:pt idx="54">
                  <c:v>121.95</c:v>
                </c:pt>
                <c:pt idx="55">
                  <c:v>121.98</c:v>
                </c:pt>
                <c:pt idx="56">
                  <c:v>121.99</c:v>
                </c:pt>
                <c:pt idx="57">
                  <c:v>122.01</c:v>
                </c:pt>
                <c:pt idx="58">
                  <c:v>122.03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5153-4768-9D0D-75402F217903}"/>
            </c:ext>
          </c:extLst>
        </c:ser>
        <c:ser>
          <c:idx val="3"/>
          <c:order val="3"/>
          <c:tx>
            <c:strRef>
              <c:f>'DESEMPEÑO  TEMP2'!$BE$30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'DESEMPEÑO  TEMP2'!$B$70:$B$128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TEMP2'!$BE$70:$BE$128</c:f>
              <c:numCache>
                <c:formatCode>0.0</c:formatCode>
                <c:ptCount val="59"/>
                <c:pt idx="0">
                  <c:v>96.89</c:v>
                </c:pt>
                <c:pt idx="1">
                  <c:v>99.34</c:v>
                </c:pt>
                <c:pt idx="2">
                  <c:v>101.51</c:v>
                </c:pt>
                <c:pt idx="3">
                  <c:v>103.52</c:v>
                </c:pt>
                <c:pt idx="4">
                  <c:v>105.36</c:v>
                </c:pt>
                <c:pt idx="5">
                  <c:v>107.01</c:v>
                </c:pt>
                <c:pt idx="6">
                  <c:v>108.51</c:v>
                </c:pt>
                <c:pt idx="7">
                  <c:v>109.93</c:v>
                </c:pt>
                <c:pt idx="8">
                  <c:v>111.2</c:v>
                </c:pt>
                <c:pt idx="9">
                  <c:v>112.3</c:v>
                </c:pt>
                <c:pt idx="10">
                  <c:v>113.39</c:v>
                </c:pt>
                <c:pt idx="11">
                  <c:v>114.3</c:v>
                </c:pt>
                <c:pt idx="12">
                  <c:v>115.13</c:v>
                </c:pt>
                <c:pt idx="13">
                  <c:v>115.88</c:v>
                </c:pt>
                <c:pt idx="14">
                  <c:v>116.55</c:v>
                </c:pt>
                <c:pt idx="15">
                  <c:v>117.17</c:v>
                </c:pt>
                <c:pt idx="16">
                  <c:v>117.71</c:v>
                </c:pt>
                <c:pt idx="17">
                  <c:v>118.21</c:v>
                </c:pt>
                <c:pt idx="18">
                  <c:v>118.67</c:v>
                </c:pt>
                <c:pt idx="19">
                  <c:v>119.07</c:v>
                </c:pt>
                <c:pt idx="20">
                  <c:v>119.45</c:v>
                </c:pt>
                <c:pt idx="21">
                  <c:v>119.79</c:v>
                </c:pt>
                <c:pt idx="22">
                  <c:v>120.09</c:v>
                </c:pt>
                <c:pt idx="23">
                  <c:v>120.36</c:v>
                </c:pt>
                <c:pt idx="24">
                  <c:v>120.61</c:v>
                </c:pt>
                <c:pt idx="25">
                  <c:v>120.84</c:v>
                </c:pt>
                <c:pt idx="26">
                  <c:v>121.04</c:v>
                </c:pt>
                <c:pt idx="27">
                  <c:v>121.26</c:v>
                </c:pt>
                <c:pt idx="28">
                  <c:v>121.4</c:v>
                </c:pt>
                <c:pt idx="29">
                  <c:v>121.57</c:v>
                </c:pt>
                <c:pt idx="30">
                  <c:v>121.7</c:v>
                </c:pt>
                <c:pt idx="31">
                  <c:v>121.85</c:v>
                </c:pt>
                <c:pt idx="32">
                  <c:v>121.95</c:v>
                </c:pt>
                <c:pt idx="33">
                  <c:v>122.08</c:v>
                </c:pt>
                <c:pt idx="34">
                  <c:v>122.16</c:v>
                </c:pt>
                <c:pt idx="35">
                  <c:v>122.26</c:v>
                </c:pt>
                <c:pt idx="36">
                  <c:v>122.33</c:v>
                </c:pt>
                <c:pt idx="37">
                  <c:v>122.43</c:v>
                </c:pt>
                <c:pt idx="38">
                  <c:v>122.49</c:v>
                </c:pt>
                <c:pt idx="39">
                  <c:v>122.58</c:v>
                </c:pt>
                <c:pt idx="40">
                  <c:v>122.63</c:v>
                </c:pt>
                <c:pt idx="41">
                  <c:v>122.69</c:v>
                </c:pt>
                <c:pt idx="42">
                  <c:v>122.74</c:v>
                </c:pt>
                <c:pt idx="43">
                  <c:v>122.79</c:v>
                </c:pt>
                <c:pt idx="44">
                  <c:v>122.83</c:v>
                </c:pt>
                <c:pt idx="45">
                  <c:v>122.88</c:v>
                </c:pt>
                <c:pt idx="46">
                  <c:v>122.91</c:v>
                </c:pt>
                <c:pt idx="47">
                  <c:v>122.96</c:v>
                </c:pt>
                <c:pt idx="48">
                  <c:v>122.99</c:v>
                </c:pt>
                <c:pt idx="49">
                  <c:v>123.01</c:v>
                </c:pt>
                <c:pt idx="50">
                  <c:v>123.04</c:v>
                </c:pt>
                <c:pt idx="51">
                  <c:v>123.08</c:v>
                </c:pt>
                <c:pt idx="52">
                  <c:v>123.11</c:v>
                </c:pt>
                <c:pt idx="53">
                  <c:v>123.13</c:v>
                </c:pt>
                <c:pt idx="54">
                  <c:v>123.15</c:v>
                </c:pt>
                <c:pt idx="55">
                  <c:v>123.18</c:v>
                </c:pt>
                <c:pt idx="56">
                  <c:v>123.19</c:v>
                </c:pt>
                <c:pt idx="57">
                  <c:v>123.22</c:v>
                </c:pt>
                <c:pt idx="58">
                  <c:v>123.23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5153-4768-9D0D-75402F217903}"/>
            </c:ext>
          </c:extLst>
        </c:ser>
        <c:ser>
          <c:idx val="4"/>
          <c:order val="4"/>
          <c:tx>
            <c:strRef>
              <c:f>'DESEMPEÑO  TEMP2'!$BF$30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'DESEMPEÑO  TEMP2'!$B$70:$B$128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TEMP2'!$BF$70:$BF$128</c:f>
              <c:numCache>
                <c:formatCode>0.0</c:formatCode>
                <c:ptCount val="59"/>
                <c:pt idx="0">
                  <c:v>100.66</c:v>
                </c:pt>
                <c:pt idx="1">
                  <c:v>103</c:v>
                </c:pt>
                <c:pt idx="2">
                  <c:v>105.13</c:v>
                </c:pt>
                <c:pt idx="3">
                  <c:v>107.03</c:v>
                </c:pt>
                <c:pt idx="4">
                  <c:v>108.78</c:v>
                </c:pt>
                <c:pt idx="5">
                  <c:v>110.3</c:v>
                </c:pt>
                <c:pt idx="6">
                  <c:v>111.62</c:v>
                </c:pt>
                <c:pt idx="7">
                  <c:v>112.76</c:v>
                </c:pt>
                <c:pt idx="8">
                  <c:v>113.79</c:v>
                </c:pt>
                <c:pt idx="9">
                  <c:v>114.71</c:v>
                </c:pt>
                <c:pt idx="10">
                  <c:v>115.49</c:v>
                </c:pt>
                <c:pt idx="11">
                  <c:v>116.25</c:v>
                </c:pt>
                <c:pt idx="12">
                  <c:v>116.89</c:v>
                </c:pt>
                <c:pt idx="13">
                  <c:v>117.48</c:v>
                </c:pt>
                <c:pt idx="14">
                  <c:v>118</c:v>
                </c:pt>
                <c:pt idx="15">
                  <c:v>118.49</c:v>
                </c:pt>
                <c:pt idx="16">
                  <c:v>118.9</c:v>
                </c:pt>
                <c:pt idx="17">
                  <c:v>119.28</c:v>
                </c:pt>
                <c:pt idx="18">
                  <c:v>119.62</c:v>
                </c:pt>
                <c:pt idx="19">
                  <c:v>119.91</c:v>
                </c:pt>
                <c:pt idx="20">
                  <c:v>120.19</c:v>
                </c:pt>
                <c:pt idx="21">
                  <c:v>120.4</c:v>
                </c:pt>
                <c:pt idx="22">
                  <c:v>120.62</c:v>
                </c:pt>
                <c:pt idx="23">
                  <c:v>120.8</c:v>
                </c:pt>
                <c:pt idx="24">
                  <c:v>120.97</c:v>
                </c:pt>
                <c:pt idx="25">
                  <c:v>121.11</c:v>
                </c:pt>
                <c:pt idx="26">
                  <c:v>121.22</c:v>
                </c:pt>
                <c:pt idx="27">
                  <c:v>121.34</c:v>
                </c:pt>
                <c:pt idx="28">
                  <c:v>121.43</c:v>
                </c:pt>
                <c:pt idx="29">
                  <c:v>121.53</c:v>
                </c:pt>
                <c:pt idx="30">
                  <c:v>121.6</c:v>
                </c:pt>
                <c:pt idx="31">
                  <c:v>121.68</c:v>
                </c:pt>
                <c:pt idx="32">
                  <c:v>121.74</c:v>
                </c:pt>
                <c:pt idx="33">
                  <c:v>121.79</c:v>
                </c:pt>
                <c:pt idx="34">
                  <c:v>121.85</c:v>
                </c:pt>
                <c:pt idx="35">
                  <c:v>121.88</c:v>
                </c:pt>
                <c:pt idx="36">
                  <c:v>121.93</c:v>
                </c:pt>
                <c:pt idx="37">
                  <c:v>121.95</c:v>
                </c:pt>
                <c:pt idx="38">
                  <c:v>121.99</c:v>
                </c:pt>
                <c:pt idx="39">
                  <c:v>122.02</c:v>
                </c:pt>
                <c:pt idx="40">
                  <c:v>122.03</c:v>
                </c:pt>
                <c:pt idx="41">
                  <c:v>122.03</c:v>
                </c:pt>
                <c:pt idx="42">
                  <c:v>122.05</c:v>
                </c:pt>
                <c:pt idx="43">
                  <c:v>122.06</c:v>
                </c:pt>
                <c:pt idx="44">
                  <c:v>122.06</c:v>
                </c:pt>
                <c:pt idx="45">
                  <c:v>122.08</c:v>
                </c:pt>
                <c:pt idx="46">
                  <c:v>122.09</c:v>
                </c:pt>
                <c:pt idx="47">
                  <c:v>122.1</c:v>
                </c:pt>
                <c:pt idx="48">
                  <c:v>122.1</c:v>
                </c:pt>
                <c:pt idx="49">
                  <c:v>122.11</c:v>
                </c:pt>
                <c:pt idx="50">
                  <c:v>122.12</c:v>
                </c:pt>
                <c:pt idx="51">
                  <c:v>122.13</c:v>
                </c:pt>
                <c:pt idx="52">
                  <c:v>122.14</c:v>
                </c:pt>
                <c:pt idx="53">
                  <c:v>122.15</c:v>
                </c:pt>
                <c:pt idx="54">
                  <c:v>122.16</c:v>
                </c:pt>
                <c:pt idx="55">
                  <c:v>122.16</c:v>
                </c:pt>
                <c:pt idx="56">
                  <c:v>122.17</c:v>
                </c:pt>
                <c:pt idx="57">
                  <c:v>122.17</c:v>
                </c:pt>
                <c:pt idx="58">
                  <c:v>122.18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5153-4768-9D0D-75402F217903}"/>
            </c:ext>
          </c:extLst>
        </c:ser>
        <c:ser>
          <c:idx val="5"/>
          <c:order val="5"/>
          <c:tx>
            <c:strRef>
              <c:f>'DESEMPEÑO  TEMP2'!$BG$30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'DESEMPEÑO  TEMP2'!$B$70:$B$128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TEMP2'!$BG$70:$BG$128</c:f>
              <c:numCache>
                <c:formatCode>0.0</c:formatCode>
                <c:ptCount val="59"/>
                <c:pt idx="0">
                  <c:v>111.19</c:v>
                </c:pt>
                <c:pt idx="1">
                  <c:v>112.62</c:v>
                </c:pt>
                <c:pt idx="2">
                  <c:v>113.9</c:v>
                </c:pt>
                <c:pt idx="3">
                  <c:v>114.96</c:v>
                </c:pt>
                <c:pt idx="4">
                  <c:v>115.91</c:v>
                </c:pt>
                <c:pt idx="5">
                  <c:v>116.74</c:v>
                </c:pt>
                <c:pt idx="6">
                  <c:v>117.41</c:v>
                </c:pt>
                <c:pt idx="7">
                  <c:v>118.07</c:v>
                </c:pt>
                <c:pt idx="8">
                  <c:v>118.57</c:v>
                </c:pt>
                <c:pt idx="9">
                  <c:v>119.06</c:v>
                </c:pt>
                <c:pt idx="10">
                  <c:v>119.44</c:v>
                </c:pt>
                <c:pt idx="11">
                  <c:v>119.8</c:v>
                </c:pt>
                <c:pt idx="12">
                  <c:v>120.1</c:v>
                </c:pt>
                <c:pt idx="13">
                  <c:v>120.39</c:v>
                </c:pt>
                <c:pt idx="14">
                  <c:v>120.6</c:v>
                </c:pt>
                <c:pt idx="15">
                  <c:v>120.8</c:v>
                </c:pt>
                <c:pt idx="16">
                  <c:v>120.99</c:v>
                </c:pt>
                <c:pt idx="17">
                  <c:v>121.13</c:v>
                </c:pt>
                <c:pt idx="18">
                  <c:v>121.21</c:v>
                </c:pt>
                <c:pt idx="19">
                  <c:v>121.38</c:v>
                </c:pt>
                <c:pt idx="20">
                  <c:v>121.42</c:v>
                </c:pt>
                <c:pt idx="21">
                  <c:v>121.58</c:v>
                </c:pt>
                <c:pt idx="22">
                  <c:v>121.57</c:v>
                </c:pt>
                <c:pt idx="23">
                  <c:v>121.7</c:v>
                </c:pt>
                <c:pt idx="24">
                  <c:v>121.66</c:v>
                </c:pt>
                <c:pt idx="25">
                  <c:v>121.81</c:v>
                </c:pt>
                <c:pt idx="26">
                  <c:v>121.78</c:v>
                </c:pt>
                <c:pt idx="27">
                  <c:v>121.91</c:v>
                </c:pt>
                <c:pt idx="28">
                  <c:v>121.92</c:v>
                </c:pt>
                <c:pt idx="29">
                  <c:v>121.87</c:v>
                </c:pt>
                <c:pt idx="30">
                  <c:v>122</c:v>
                </c:pt>
                <c:pt idx="31">
                  <c:v>121.92</c:v>
                </c:pt>
                <c:pt idx="32">
                  <c:v>122.1</c:v>
                </c:pt>
                <c:pt idx="33">
                  <c:v>122.02</c:v>
                </c:pt>
                <c:pt idx="34">
                  <c:v>122.05</c:v>
                </c:pt>
                <c:pt idx="35">
                  <c:v>122.04</c:v>
                </c:pt>
                <c:pt idx="36">
                  <c:v>122.02</c:v>
                </c:pt>
                <c:pt idx="37">
                  <c:v>122.09</c:v>
                </c:pt>
                <c:pt idx="38">
                  <c:v>122.03</c:v>
                </c:pt>
                <c:pt idx="39">
                  <c:v>122.08</c:v>
                </c:pt>
                <c:pt idx="40">
                  <c:v>122.07</c:v>
                </c:pt>
                <c:pt idx="41">
                  <c:v>122.09</c:v>
                </c:pt>
                <c:pt idx="42">
                  <c:v>122.07</c:v>
                </c:pt>
                <c:pt idx="43">
                  <c:v>122.09</c:v>
                </c:pt>
                <c:pt idx="44">
                  <c:v>122.12</c:v>
                </c:pt>
                <c:pt idx="45">
                  <c:v>122.11</c:v>
                </c:pt>
                <c:pt idx="46">
                  <c:v>122.12</c:v>
                </c:pt>
                <c:pt idx="47">
                  <c:v>122.1</c:v>
                </c:pt>
                <c:pt idx="48">
                  <c:v>122.13</c:v>
                </c:pt>
                <c:pt idx="49">
                  <c:v>122.12</c:v>
                </c:pt>
                <c:pt idx="50">
                  <c:v>122.15</c:v>
                </c:pt>
                <c:pt idx="51">
                  <c:v>122.14</c:v>
                </c:pt>
                <c:pt idx="52">
                  <c:v>122.18</c:v>
                </c:pt>
                <c:pt idx="53">
                  <c:v>122.13</c:v>
                </c:pt>
                <c:pt idx="54">
                  <c:v>122.17</c:v>
                </c:pt>
                <c:pt idx="55">
                  <c:v>122.15</c:v>
                </c:pt>
                <c:pt idx="56">
                  <c:v>122.17</c:v>
                </c:pt>
                <c:pt idx="57">
                  <c:v>122.13</c:v>
                </c:pt>
                <c:pt idx="58">
                  <c:v>122.2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5153-4768-9D0D-75402F217903}"/>
            </c:ext>
          </c:extLst>
        </c:ser>
        <c:ser>
          <c:idx val="6"/>
          <c:order val="6"/>
          <c:tx>
            <c:strRef>
              <c:f>'DESEMPEÑO  TEMP2'!$BH$30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'DESEMPEÑO  TEMP2'!$B$70:$B$128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TEMP2'!$BH$70:$BH$128</c:f>
              <c:numCache>
                <c:formatCode>0.0</c:formatCode>
                <c:ptCount val="59"/>
                <c:pt idx="0">
                  <c:v>116.91</c:v>
                </c:pt>
                <c:pt idx="1">
                  <c:v>117.7</c:v>
                </c:pt>
                <c:pt idx="2">
                  <c:v>117.93</c:v>
                </c:pt>
                <c:pt idx="3">
                  <c:v>118.77</c:v>
                </c:pt>
                <c:pt idx="4">
                  <c:v>118.89</c:v>
                </c:pt>
                <c:pt idx="5">
                  <c:v>119.49</c:v>
                </c:pt>
                <c:pt idx="6">
                  <c:v>119.94</c:v>
                </c:pt>
                <c:pt idx="7">
                  <c:v>119.94</c:v>
                </c:pt>
                <c:pt idx="8">
                  <c:v>120.49</c:v>
                </c:pt>
                <c:pt idx="9">
                  <c:v>120.22</c:v>
                </c:pt>
                <c:pt idx="10">
                  <c:v>120.83</c:v>
                </c:pt>
                <c:pt idx="11">
                  <c:v>120.38</c:v>
                </c:pt>
                <c:pt idx="12">
                  <c:v>121.22</c:v>
                </c:pt>
                <c:pt idx="13">
                  <c:v>120.76</c:v>
                </c:pt>
                <c:pt idx="14">
                  <c:v>121.36</c:v>
                </c:pt>
                <c:pt idx="15">
                  <c:v>121.58</c:v>
                </c:pt>
                <c:pt idx="16">
                  <c:v>121.35</c:v>
                </c:pt>
                <c:pt idx="17">
                  <c:v>121.69</c:v>
                </c:pt>
                <c:pt idx="18">
                  <c:v>121.28</c:v>
                </c:pt>
                <c:pt idx="19">
                  <c:v>121.91</c:v>
                </c:pt>
                <c:pt idx="20">
                  <c:v>121.19</c:v>
                </c:pt>
                <c:pt idx="21">
                  <c:v>122.08</c:v>
                </c:pt>
                <c:pt idx="22">
                  <c:v>121.68</c:v>
                </c:pt>
                <c:pt idx="23">
                  <c:v>121.92</c:v>
                </c:pt>
                <c:pt idx="24">
                  <c:v>122.26</c:v>
                </c:pt>
                <c:pt idx="25">
                  <c:v>121.72</c:v>
                </c:pt>
                <c:pt idx="26">
                  <c:v>122.3</c:v>
                </c:pt>
                <c:pt idx="27">
                  <c:v>121.5</c:v>
                </c:pt>
                <c:pt idx="28">
                  <c:v>122.3</c:v>
                </c:pt>
                <c:pt idx="29">
                  <c:v>122.41</c:v>
                </c:pt>
                <c:pt idx="30">
                  <c:v>122.1</c:v>
                </c:pt>
                <c:pt idx="31">
                  <c:v>122.51</c:v>
                </c:pt>
                <c:pt idx="32">
                  <c:v>121.83</c:v>
                </c:pt>
                <c:pt idx="33">
                  <c:v>122.64</c:v>
                </c:pt>
                <c:pt idx="34">
                  <c:v>121.64</c:v>
                </c:pt>
                <c:pt idx="35">
                  <c:v>122.44</c:v>
                </c:pt>
                <c:pt idx="36">
                  <c:v>122.59</c:v>
                </c:pt>
                <c:pt idx="37">
                  <c:v>122.04</c:v>
                </c:pt>
                <c:pt idx="38">
                  <c:v>122.72</c:v>
                </c:pt>
                <c:pt idx="39">
                  <c:v>121.83</c:v>
                </c:pt>
                <c:pt idx="40">
                  <c:v>122.78</c:v>
                </c:pt>
                <c:pt idx="41">
                  <c:v>121.7</c:v>
                </c:pt>
                <c:pt idx="42">
                  <c:v>122.75</c:v>
                </c:pt>
                <c:pt idx="43">
                  <c:v>121.67</c:v>
                </c:pt>
                <c:pt idx="44">
                  <c:v>122.69</c:v>
                </c:pt>
                <c:pt idx="45">
                  <c:v>121.76</c:v>
                </c:pt>
                <c:pt idx="46">
                  <c:v>122.59</c:v>
                </c:pt>
                <c:pt idx="47">
                  <c:v>122.15</c:v>
                </c:pt>
                <c:pt idx="48">
                  <c:v>122.53</c:v>
                </c:pt>
                <c:pt idx="49">
                  <c:v>122.33</c:v>
                </c:pt>
                <c:pt idx="50">
                  <c:v>122.46</c:v>
                </c:pt>
                <c:pt idx="51">
                  <c:v>122.85</c:v>
                </c:pt>
                <c:pt idx="52">
                  <c:v>122.33</c:v>
                </c:pt>
                <c:pt idx="53">
                  <c:v>122.85</c:v>
                </c:pt>
                <c:pt idx="54">
                  <c:v>122.16</c:v>
                </c:pt>
                <c:pt idx="55">
                  <c:v>122.89</c:v>
                </c:pt>
                <c:pt idx="56">
                  <c:v>122.05</c:v>
                </c:pt>
                <c:pt idx="57">
                  <c:v>122.78</c:v>
                </c:pt>
                <c:pt idx="58">
                  <c:v>121.96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5153-4768-9D0D-75402F217903}"/>
            </c:ext>
          </c:extLst>
        </c:ser>
        <c:ser>
          <c:idx val="7"/>
          <c:order val="7"/>
          <c:tx>
            <c:strRef>
              <c:f>'DESEMPEÑO  TEMP2'!$BI$30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'DESEMPEÑO  TEMP2'!$B$70:$B$128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TEMP2'!$BI$70:$BI$128</c:f>
              <c:numCache>
                <c:formatCode>0.0</c:formatCode>
                <c:ptCount val="59"/>
                <c:pt idx="0">
                  <c:v>123.56</c:v>
                </c:pt>
                <c:pt idx="1">
                  <c:v>123.26</c:v>
                </c:pt>
                <c:pt idx="2">
                  <c:v>122.65</c:v>
                </c:pt>
                <c:pt idx="3">
                  <c:v>123.85</c:v>
                </c:pt>
                <c:pt idx="4">
                  <c:v>122.64</c:v>
                </c:pt>
                <c:pt idx="5">
                  <c:v>123.59</c:v>
                </c:pt>
                <c:pt idx="6">
                  <c:v>123.29</c:v>
                </c:pt>
                <c:pt idx="7">
                  <c:v>122.73</c:v>
                </c:pt>
                <c:pt idx="8">
                  <c:v>123.16</c:v>
                </c:pt>
                <c:pt idx="9">
                  <c:v>122.42</c:v>
                </c:pt>
                <c:pt idx="10">
                  <c:v>123.12</c:v>
                </c:pt>
                <c:pt idx="11">
                  <c:v>122.2</c:v>
                </c:pt>
                <c:pt idx="12">
                  <c:v>123.22</c:v>
                </c:pt>
                <c:pt idx="13">
                  <c:v>122.3</c:v>
                </c:pt>
                <c:pt idx="14">
                  <c:v>123.07</c:v>
                </c:pt>
                <c:pt idx="15">
                  <c:v>123.03</c:v>
                </c:pt>
                <c:pt idx="16">
                  <c:v>122.9</c:v>
                </c:pt>
                <c:pt idx="17">
                  <c:v>123.01</c:v>
                </c:pt>
                <c:pt idx="18">
                  <c:v>122.36</c:v>
                </c:pt>
                <c:pt idx="19">
                  <c:v>123.03</c:v>
                </c:pt>
                <c:pt idx="20">
                  <c:v>122.03</c:v>
                </c:pt>
                <c:pt idx="21">
                  <c:v>123.07</c:v>
                </c:pt>
                <c:pt idx="22">
                  <c:v>122.4</c:v>
                </c:pt>
                <c:pt idx="23">
                  <c:v>122.76</c:v>
                </c:pt>
                <c:pt idx="24">
                  <c:v>123.01</c:v>
                </c:pt>
                <c:pt idx="25">
                  <c:v>122.37</c:v>
                </c:pt>
                <c:pt idx="26">
                  <c:v>122.99</c:v>
                </c:pt>
                <c:pt idx="27">
                  <c:v>121.96</c:v>
                </c:pt>
                <c:pt idx="28">
                  <c:v>122.89</c:v>
                </c:pt>
                <c:pt idx="29">
                  <c:v>122.86</c:v>
                </c:pt>
                <c:pt idx="30">
                  <c:v>122.55</c:v>
                </c:pt>
                <c:pt idx="31">
                  <c:v>122.95</c:v>
                </c:pt>
                <c:pt idx="32">
                  <c:v>122.17</c:v>
                </c:pt>
                <c:pt idx="33">
                  <c:v>123.05</c:v>
                </c:pt>
                <c:pt idx="34">
                  <c:v>121.86</c:v>
                </c:pt>
                <c:pt idx="35">
                  <c:v>122.78</c:v>
                </c:pt>
                <c:pt idx="36">
                  <c:v>122.89</c:v>
                </c:pt>
                <c:pt idx="37">
                  <c:v>122.29</c:v>
                </c:pt>
                <c:pt idx="38">
                  <c:v>123.02</c:v>
                </c:pt>
                <c:pt idx="39">
                  <c:v>122</c:v>
                </c:pt>
                <c:pt idx="40">
                  <c:v>123.06</c:v>
                </c:pt>
                <c:pt idx="41">
                  <c:v>121.82</c:v>
                </c:pt>
                <c:pt idx="42">
                  <c:v>122.99</c:v>
                </c:pt>
                <c:pt idx="43">
                  <c:v>121.76</c:v>
                </c:pt>
                <c:pt idx="44">
                  <c:v>122.9</c:v>
                </c:pt>
                <c:pt idx="45">
                  <c:v>121.82</c:v>
                </c:pt>
                <c:pt idx="46">
                  <c:v>122.78</c:v>
                </c:pt>
                <c:pt idx="47">
                  <c:v>122.23</c:v>
                </c:pt>
                <c:pt idx="48">
                  <c:v>122.7</c:v>
                </c:pt>
                <c:pt idx="49">
                  <c:v>122.42</c:v>
                </c:pt>
                <c:pt idx="50">
                  <c:v>122.6</c:v>
                </c:pt>
                <c:pt idx="51">
                  <c:v>123.01</c:v>
                </c:pt>
                <c:pt idx="52">
                  <c:v>122.45</c:v>
                </c:pt>
                <c:pt idx="53">
                  <c:v>123.01</c:v>
                </c:pt>
                <c:pt idx="54">
                  <c:v>122.25</c:v>
                </c:pt>
                <c:pt idx="55">
                  <c:v>123.04</c:v>
                </c:pt>
                <c:pt idx="56">
                  <c:v>122.12</c:v>
                </c:pt>
                <c:pt idx="57">
                  <c:v>122.93</c:v>
                </c:pt>
                <c:pt idx="58">
                  <c:v>122.02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5153-4768-9D0D-75402F217903}"/>
            </c:ext>
          </c:extLst>
        </c:ser>
        <c:ser>
          <c:idx val="8"/>
          <c:order val="8"/>
          <c:tx>
            <c:strRef>
              <c:f>'DESEMPEÑO  TEMP2'!$BJ$30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'DESEMPEÑO  TEMP2'!$B$70:$B$128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TEMP2'!$BJ$70:$BJ$128</c:f>
              <c:numCache>
                <c:formatCode>0.0</c:formatCode>
                <c:ptCount val="59"/>
                <c:pt idx="0">
                  <c:v>122.79</c:v>
                </c:pt>
                <c:pt idx="1">
                  <c:v>123.17</c:v>
                </c:pt>
                <c:pt idx="2">
                  <c:v>122.02</c:v>
                </c:pt>
                <c:pt idx="3">
                  <c:v>123.02</c:v>
                </c:pt>
                <c:pt idx="4">
                  <c:v>122.46</c:v>
                </c:pt>
                <c:pt idx="5">
                  <c:v>122.6</c:v>
                </c:pt>
                <c:pt idx="6">
                  <c:v>122.98</c:v>
                </c:pt>
                <c:pt idx="7">
                  <c:v>122.3</c:v>
                </c:pt>
                <c:pt idx="8">
                  <c:v>122.99</c:v>
                </c:pt>
                <c:pt idx="9">
                  <c:v>122.09</c:v>
                </c:pt>
                <c:pt idx="10">
                  <c:v>122.83</c:v>
                </c:pt>
                <c:pt idx="11">
                  <c:v>121.95</c:v>
                </c:pt>
                <c:pt idx="12">
                  <c:v>123</c:v>
                </c:pt>
                <c:pt idx="13">
                  <c:v>122.19</c:v>
                </c:pt>
                <c:pt idx="14">
                  <c:v>122.8</c:v>
                </c:pt>
                <c:pt idx="15">
                  <c:v>122.99</c:v>
                </c:pt>
                <c:pt idx="16">
                  <c:v>122.52</c:v>
                </c:pt>
                <c:pt idx="17">
                  <c:v>122.83</c:v>
                </c:pt>
                <c:pt idx="18">
                  <c:v>122.18</c:v>
                </c:pt>
                <c:pt idx="19">
                  <c:v>122.89</c:v>
                </c:pt>
                <c:pt idx="20">
                  <c:v>121.86</c:v>
                </c:pt>
                <c:pt idx="21">
                  <c:v>122.92</c:v>
                </c:pt>
                <c:pt idx="22">
                  <c:v>122.38</c:v>
                </c:pt>
                <c:pt idx="23">
                  <c:v>122.57</c:v>
                </c:pt>
                <c:pt idx="24">
                  <c:v>122.91</c:v>
                </c:pt>
                <c:pt idx="25">
                  <c:v>122.2</c:v>
                </c:pt>
                <c:pt idx="26">
                  <c:v>122.85</c:v>
                </c:pt>
                <c:pt idx="27">
                  <c:v>121.82</c:v>
                </c:pt>
                <c:pt idx="28">
                  <c:v>122.76</c:v>
                </c:pt>
                <c:pt idx="29">
                  <c:v>122.91</c:v>
                </c:pt>
                <c:pt idx="30">
                  <c:v>122.41</c:v>
                </c:pt>
                <c:pt idx="31">
                  <c:v>122.89</c:v>
                </c:pt>
                <c:pt idx="32">
                  <c:v>122.04</c:v>
                </c:pt>
                <c:pt idx="33">
                  <c:v>122.98</c:v>
                </c:pt>
                <c:pt idx="34">
                  <c:v>121.75</c:v>
                </c:pt>
                <c:pt idx="35">
                  <c:v>122.67</c:v>
                </c:pt>
                <c:pt idx="36">
                  <c:v>122.93</c:v>
                </c:pt>
                <c:pt idx="37">
                  <c:v>122.17</c:v>
                </c:pt>
                <c:pt idx="38">
                  <c:v>122.93</c:v>
                </c:pt>
                <c:pt idx="39">
                  <c:v>121.89</c:v>
                </c:pt>
                <c:pt idx="40">
                  <c:v>122.98</c:v>
                </c:pt>
                <c:pt idx="41">
                  <c:v>121.7</c:v>
                </c:pt>
                <c:pt idx="42">
                  <c:v>122.9</c:v>
                </c:pt>
                <c:pt idx="43">
                  <c:v>121.65</c:v>
                </c:pt>
                <c:pt idx="44">
                  <c:v>122.78</c:v>
                </c:pt>
                <c:pt idx="45">
                  <c:v>121.76</c:v>
                </c:pt>
                <c:pt idx="46">
                  <c:v>122.67</c:v>
                </c:pt>
                <c:pt idx="47">
                  <c:v>122.26</c:v>
                </c:pt>
                <c:pt idx="48">
                  <c:v>122.59</c:v>
                </c:pt>
                <c:pt idx="49">
                  <c:v>122.46</c:v>
                </c:pt>
                <c:pt idx="50">
                  <c:v>122.48</c:v>
                </c:pt>
                <c:pt idx="51">
                  <c:v>122.98</c:v>
                </c:pt>
                <c:pt idx="52">
                  <c:v>122.34</c:v>
                </c:pt>
                <c:pt idx="53">
                  <c:v>122.96</c:v>
                </c:pt>
                <c:pt idx="54">
                  <c:v>122.14</c:v>
                </c:pt>
                <c:pt idx="55">
                  <c:v>122.97</c:v>
                </c:pt>
                <c:pt idx="56">
                  <c:v>122.01</c:v>
                </c:pt>
                <c:pt idx="57">
                  <c:v>122.83</c:v>
                </c:pt>
                <c:pt idx="58">
                  <c:v>121.92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5153-4768-9D0D-75402F217903}"/>
            </c:ext>
          </c:extLst>
        </c:ser>
        <c:ser>
          <c:idx val="9"/>
          <c:order val="9"/>
          <c:tx>
            <c:strRef>
              <c:f>'DESEMPEÑO  TEMP2'!$BK$30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'DESEMPEÑO  TEMP2'!$B$70:$B$128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TEMP2'!$BK$70:$BK$128</c:f>
              <c:numCache>
                <c:formatCode>0.0</c:formatCode>
                <c:ptCount val="59"/>
                <c:pt idx="0">
                  <c:v>120.68</c:v>
                </c:pt>
                <c:pt idx="1">
                  <c:v>120.88</c:v>
                </c:pt>
                <c:pt idx="2">
                  <c:v>121.32</c:v>
                </c:pt>
                <c:pt idx="3">
                  <c:v>121.51</c:v>
                </c:pt>
                <c:pt idx="4">
                  <c:v>121.62</c:v>
                </c:pt>
                <c:pt idx="5">
                  <c:v>121.92</c:v>
                </c:pt>
                <c:pt idx="6">
                  <c:v>121.91</c:v>
                </c:pt>
                <c:pt idx="7">
                  <c:v>122.16</c:v>
                </c:pt>
                <c:pt idx="8">
                  <c:v>122.15</c:v>
                </c:pt>
                <c:pt idx="9">
                  <c:v>122.29</c:v>
                </c:pt>
                <c:pt idx="10">
                  <c:v>122.31</c:v>
                </c:pt>
                <c:pt idx="11">
                  <c:v>122.36</c:v>
                </c:pt>
                <c:pt idx="12">
                  <c:v>122.43</c:v>
                </c:pt>
                <c:pt idx="13">
                  <c:v>122.4</c:v>
                </c:pt>
                <c:pt idx="14">
                  <c:v>122.51</c:v>
                </c:pt>
                <c:pt idx="15">
                  <c:v>122.41</c:v>
                </c:pt>
                <c:pt idx="16">
                  <c:v>122.55</c:v>
                </c:pt>
                <c:pt idx="17">
                  <c:v>122.45</c:v>
                </c:pt>
                <c:pt idx="18">
                  <c:v>122.54</c:v>
                </c:pt>
                <c:pt idx="19">
                  <c:v>122.48</c:v>
                </c:pt>
                <c:pt idx="20">
                  <c:v>122.5</c:v>
                </c:pt>
                <c:pt idx="21">
                  <c:v>122.52</c:v>
                </c:pt>
                <c:pt idx="22">
                  <c:v>122.44</c:v>
                </c:pt>
                <c:pt idx="23">
                  <c:v>122.56</c:v>
                </c:pt>
                <c:pt idx="24">
                  <c:v>122.43</c:v>
                </c:pt>
                <c:pt idx="25">
                  <c:v>122.55</c:v>
                </c:pt>
                <c:pt idx="26">
                  <c:v>122.48</c:v>
                </c:pt>
                <c:pt idx="27">
                  <c:v>122.49</c:v>
                </c:pt>
                <c:pt idx="28">
                  <c:v>122.53</c:v>
                </c:pt>
                <c:pt idx="29">
                  <c:v>122.42</c:v>
                </c:pt>
                <c:pt idx="30">
                  <c:v>122.54</c:v>
                </c:pt>
                <c:pt idx="31">
                  <c:v>122.44</c:v>
                </c:pt>
                <c:pt idx="32">
                  <c:v>122.53</c:v>
                </c:pt>
                <c:pt idx="33">
                  <c:v>122.49</c:v>
                </c:pt>
                <c:pt idx="34">
                  <c:v>122.47</c:v>
                </c:pt>
                <c:pt idx="35">
                  <c:v>122.53</c:v>
                </c:pt>
                <c:pt idx="36">
                  <c:v>122.39</c:v>
                </c:pt>
                <c:pt idx="37">
                  <c:v>122.51</c:v>
                </c:pt>
                <c:pt idx="38">
                  <c:v>122.43</c:v>
                </c:pt>
                <c:pt idx="39">
                  <c:v>122.47</c:v>
                </c:pt>
                <c:pt idx="40">
                  <c:v>122.46</c:v>
                </c:pt>
                <c:pt idx="41">
                  <c:v>122.43</c:v>
                </c:pt>
                <c:pt idx="42">
                  <c:v>122.47</c:v>
                </c:pt>
                <c:pt idx="43">
                  <c:v>122.42</c:v>
                </c:pt>
                <c:pt idx="44">
                  <c:v>122.5</c:v>
                </c:pt>
                <c:pt idx="45">
                  <c:v>122.4</c:v>
                </c:pt>
                <c:pt idx="46">
                  <c:v>122.5</c:v>
                </c:pt>
                <c:pt idx="47">
                  <c:v>122.38</c:v>
                </c:pt>
                <c:pt idx="48">
                  <c:v>122.51</c:v>
                </c:pt>
                <c:pt idx="49">
                  <c:v>122.37</c:v>
                </c:pt>
                <c:pt idx="50">
                  <c:v>122.52</c:v>
                </c:pt>
                <c:pt idx="51">
                  <c:v>122.37</c:v>
                </c:pt>
                <c:pt idx="52">
                  <c:v>122.52</c:v>
                </c:pt>
                <c:pt idx="53">
                  <c:v>122.4</c:v>
                </c:pt>
                <c:pt idx="54">
                  <c:v>122.5</c:v>
                </c:pt>
                <c:pt idx="55">
                  <c:v>122.41</c:v>
                </c:pt>
                <c:pt idx="56">
                  <c:v>122.48</c:v>
                </c:pt>
                <c:pt idx="57">
                  <c:v>122.43</c:v>
                </c:pt>
                <c:pt idx="58">
                  <c:v>122.46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5153-4768-9D0D-75402F217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61453368"/>
        <c:axId val="561454352"/>
      </c:lineChart>
      <c:catAx>
        <c:axId val="5614533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\ AM/PM" sourceLinked="1"/>
        <c:majorTickMark val="out"/>
        <c:minorTickMark val="none"/>
        <c:tickLblPos val="nextTo"/>
        <c:crossAx val="561454352"/>
        <c:crosses val="autoZero"/>
        <c:auto val="1"/>
        <c:lblAlgn val="ctr"/>
        <c:lblOffset val="100"/>
        <c:noMultiLvlLbl val="0"/>
      </c:catAx>
      <c:valAx>
        <c:axId val="56145435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561453368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GRAFICO 3. ESTUDIO DE DISTRIBUCIÓN DE CALOR.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EQUIPO: AUTOCLAVE SERIAL: 030303 MARCA: HOGNER UBICACIÓN: ESTERILIZADO POLVO ANTIBIOTICO</a:t>
            </a:r>
          </a:p>
          <a:p>
            <a:pPr>
              <a:defRPr sz="1400">
                <a:latin typeface="Agency FB"/>
                <a:ea typeface="Agency FB"/>
                <a:cs typeface="Agency FB"/>
              </a:defRPr>
            </a:pPr>
            <a:r>
              <a:rPr lang="es-CO"/>
              <a:t>LABORATORIOS BAGÓ DE BOLIVIA S.A.  FECHA CALIFICACIÓN: 2017-11-01</a:t>
            </a:r>
          </a:p>
        </c:rich>
      </c:tx>
      <c:layout>
        <c:manualLayout>
          <c:xMode val="edge"/>
          <c:yMode val="edge"/>
          <c:x val="0.17268794754859068"/>
          <c:y val="1.253968225235073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 TEMP3'!$BB$30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'DESEMPEÑO  TEMP3'!$B$31:$B$158</c:f>
              <c:numCache>
                <c:formatCode>h:mm:ss\ AM/PM</c:formatCode>
                <c:ptCount val="128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</c:numCache>
            </c:numRef>
          </c:cat>
          <c:val>
            <c:numRef>
              <c:f>'DESEMPEÑO  TEMP3'!$BB$31:$BB$158</c:f>
              <c:numCache>
                <c:formatCode>0.0</c:formatCode>
                <c:ptCount val="128"/>
                <c:pt idx="0">
                  <c:v>23.61</c:v>
                </c:pt>
                <c:pt idx="1">
                  <c:v>23.53</c:v>
                </c:pt>
                <c:pt idx="2">
                  <c:v>24.33</c:v>
                </c:pt>
                <c:pt idx="3">
                  <c:v>23.96</c:v>
                </c:pt>
                <c:pt idx="4">
                  <c:v>24.98</c:v>
                </c:pt>
                <c:pt idx="5">
                  <c:v>25.04</c:v>
                </c:pt>
                <c:pt idx="6">
                  <c:v>24.59</c:v>
                </c:pt>
                <c:pt idx="7">
                  <c:v>24.27</c:v>
                </c:pt>
                <c:pt idx="8">
                  <c:v>24.13</c:v>
                </c:pt>
                <c:pt idx="9">
                  <c:v>23.77</c:v>
                </c:pt>
                <c:pt idx="10">
                  <c:v>23.44</c:v>
                </c:pt>
                <c:pt idx="11">
                  <c:v>23.19</c:v>
                </c:pt>
                <c:pt idx="12">
                  <c:v>22.41</c:v>
                </c:pt>
                <c:pt idx="13">
                  <c:v>19</c:v>
                </c:pt>
                <c:pt idx="14">
                  <c:v>18.739999999999998</c:v>
                </c:pt>
                <c:pt idx="15">
                  <c:v>18.850000000000001</c:v>
                </c:pt>
                <c:pt idx="16">
                  <c:v>18.899999999999999</c:v>
                </c:pt>
                <c:pt idx="17">
                  <c:v>19.27</c:v>
                </c:pt>
                <c:pt idx="18">
                  <c:v>19.54</c:v>
                </c:pt>
                <c:pt idx="19">
                  <c:v>19.73</c:v>
                </c:pt>
                <c:pt idx="20">
                  <c:v>19.8</c:v>
                </c:pt>
                <c:pt idx="21">
                  <c:v>20.05</c:v>
                </c:pt>
                <c:pt idx="22">
                  <c:v>20.48</c:v>
                </c:pt>
                <c:pt idx="23">
                  <c:v>22.05</c:v>
                </c:pt>
                <c:pt idx="24">
                  <c:v>25.62</c:v>
                </c:pt>
                <c:pt idx="25">
                  <c:v>30.57</c:v>
                </c:pt>
                <c:pt idx="26">
                  <c:v>36.32</c:v>
                </c:pt>
                <c:pt idx="27">
                  <c:v>42.21</c:v>
                </c:pt>
                <c:pt idx="28">
                  <c:v>48.18</c:v>
                </c:pt>
                <c:pt idx="29">
                  <c:v>53.99</c:v>
                </c:pt>
                <c:pt idx="30">
                  <c:v>59.47</c:v>
                </c:pt>
                <c:pt idx="31">
                  <c:v>64.64</c:v>
                </c:pt>
                <c:pt idx="32">
                  <c:v>69.540000000000006</c:v>
                </c:pt>
                <c:pt idx="33">
                  <c:v>74.150000000000006</c:v>
                </c:pt>
                <c:pt idx="34">
                  <c:v>78.459999999999994</c:v>
                </c:pt>
                <c:pt idx="35">
                  <c:v>82.44</c:v>
                </c:pt>
                <c:pt idx="36">
                  <c:v>86.18</c:v>
                </c:pt>
                <c:pt idx="37">
                  <c:v>89.65</c:v>
                </c:pt>
                <c:pt idx="38">
                  <c:v>92.79</c:v>
                </c:pt>
                <c:pt idx="39">
                  <c:v>95.53</c:v>
                </c:pt>
                <c:pt idx="40">
                  <c:v>97.82</c:v>
                </c:pt>
                <c:pt idx="41">
                  <c:v>100.1</c:v>
                </c:pt>
                <c:pt idx="42">
                  <c:v>102.2</c:v>
                </c:pt>
                <c:pt idx="43">
                  <c:v>104.16</c:v>
                </c:pt>
                <c:pt idx="44">
                  <c:v>105.86</c:v>
                </c:pt>
                <c:pt idx="45">
                  <c:v>107.42</c:v>
                </c:pt>
                <c:pt idx="46">
                  <c:v>108.79</c:v>
                </c:pt>
                <c:pt idx="47">
                  <c:v>110.03</c:v>
                </c:pt>
                <c:pt idx="48">
                  <c:v>111.15</c:v>
                </c:pt>
                <c:pt idx="49">
                  <c:v>112.15</c:v>
                </c:pt>
                <c:pt idx="50">
                  <c:v>113.07</c:v>
                </c:pt>
                <c:pt idx="51">
                  <c:v>113.91</c:v>
                </c:pt>
                <c:pt idx="52">
                  <c:v>114.66</c:v>
                </c:pt>
                <c:pt idx="53">
                  <c:v>115.33</c:v>
                </c:pt>
                <c:pt idx="54">
                  <c:v>115.96</c:v>
                </c:pt>
                <c:pt idx="55">
                  <c:v>116.51</c:v>
                </c:pt>
                <c:pt idx="56">
                  <c:v>117.02</c:v>
                </c:pt>
                <c:pt idx="57">
                  <c:v>117.48</c:v>
                </c:pt>
                <c:pt idx="58">
                  <c:v>117.89</c:v>
                </c:pt>
                <c:pt idx="59">
                  <c:v>118.27</c:v>
                </c:pt>
                <c:pt idx="60">
                  <c:v>118.61</c:v>
                </c:pt>
                <c:pt idx="61">
                  <c:v>118.92</c:v>
                </c:pt>
                <c:pt idx="62">
                  <c:v>119.2</c:v>
                </c:pt>
                <c:pt idx="63">
                  <c:v>119.45</c:v>
                </c:pt>
                <c:pt idx="64">
                  <c:v>119.7</c:v>
                </c:pt>
                <c:pt idx="65">
                  <c:v>119.88</c:v>
                </c:pt>
                <c:pt idx="66">
                  <c:v>120.09</c:v>
                </c:pt>
                <c:pt idx="67">
                  <c:v>120.25</c:v>
                </c:pt>
                <c:pt idx="68">
                  <c:v>120.42</c:v>
                </c:pt>
                <c:pt idx="69">
                  <c:v>120.55</c:v>
                </c:pt>
                <c:pt idx="70">
                  <c:v>120.7</c:v>
                </c:pt>
                <c:pt idx="71">
                  <c:v>120.8</c:v>
                </c:pt>
                <c:pt idx="72">
                  <c:v>120.93</c:v>
                </c:pt>
                <c:pt idx="73">
                  <c:v>121.01</c:v>
                </c:pt>
                <c:pt idx="74">
                  <c:v>121.13</c:v>
                </c:pt>
                <c:pt idx="75">
                  <c:v>121.19</c:v>
                </c:pt>
                <c:pt idx="76">
                  <c:v>121.29</c:v>
                </c:pt>
                <c:pt idx="77">
                  <c:v>121.35</c:v>
                </c:pt>
                <c:pt idx="78">
                  <c:v>121.42</c:v>
                </c:pt>
                <c:pt idx="79">
                  <c:v>121.47</c:v>
                </c:pt>
                <c:pt idx="80">
                  <c:v>121.53</c:v>
                </c:pt>
                <c:pt idx="81">
                  <c:v>121.58</c:v>
                </c:pt>
                <c:pt idx="82">
                  <c:v>121.63</c:v>
                </c:pt>
                <c:pt idx="83">
                  <c:v>121.67</c:v>
                </c:pt>
                <c:pt idx="84">
                  <c:v>121.7</c:v>
                </c:pt>
                <c:pt idx="85">
                  <c:v>121.74</c:v>
                </c:pt>
                <c:pt idx="86">
                  <c:v>121.78</c:v>
                </c:pt>
                <c:pt idx="87">
                  <c:v>121.79</c:v>
                </c:pt>
                <c:pt idx="88">
                  <c:v>121.84</c:v>
                </c:pt>
                <c:pt idx="89">
                  <c:v>121.86</c:v>
                </c:pt>
                <c:pt idx="90">
                  <c:v>121.89</c:v>
                </c:pt>
                <c:pt idx="91">
                  <c:v>121.91</c:v>
                </c:pt>
                <c:pt idx="92">
                  <c:v>121.93</c:v>
                </c:pt>
                <c:pt idx="93">
                  <c:v>121.95</c:v>
                </c:pt>
                <c:pt idx="94">
                  <c:v>121.98</c:v>
                </c:pt>
                <c:pt idx="95">
                  <c:v>121.99</c:v>
                </c:pt>
                <c:pt idx="96">
                  <c:v>122.01</c:v>
                </c:pt>
                <c:pt idx="97">
                  <c:v>122.03</c:v>
                </c:pt>
                <c:pt idx="98">
                  <c:v>122.04</c:v>
                </c:pt>
                <c:pt idx="99">
                  <c:v>119.99</c:v>
                </c:pt>
                <c:pt idx="100">
                  <c:v>114.47</c:v>
                </c:pt>
                <c:pt idx="101">
                  <c:v>108.94</c:v>
                </c:pt>
                <c:pt idx="102">
                  <c:v>104.34</c:v>
                </c:pt>
                <c:pt idx="103">
                  <c:v>100.83</c:v>
                </c:pt>
                <c:pt idx="104">
                  <c:v>98.1</c:v>
                </c:pt>
                <c:pt idx="105">
                  <c:v>96.12</c:v>
                </c:pt>
                <c:pt idx="106">
                  <c:v>94.93</c:v>
                </c:pt>
                <c:pt idx="107">
                  <c:v>94.38</c:v>
                </c:pt>
                <c:pt idx="108">
                  <c:v>94.11</c:v>
                </c:pt>
                <c:pt idx="109">
                  <c:v>93.93</c:v>
                </c:pt>
                <c:pt idx="110">
                  <c:v>93.81</c:v>
                </c:pt>
                <c:pt idx="111">
                  <c:v>93.69</c:v>
                </c:pt>
                <c:pt idx="112">
                  <c:v>93.58</c:v>
                </c:pt>
                <c:pt idx="113">
                  <c:v>93.5</c:v>
                </c:pt>
                <c:pt idx="114">
                  <c:v>93.45</c:v>
                </c:pt>
                <c:pt idx="115">
                  <c:v>93.37</c:v>
                </c:pt>
                <c:pt idx="116">
                  <c:v>93.3</c:v>
                </c:pt>
                <c:pt idx="117">
                  <c:v>93.04</c:v>
                </c:pt>
                <c:pt idx="118">
                  <c:v>92.66</c:v>
                </c:pt>
                <c:pt idx="119">
                  <c:v>92.28</c:v>
                </c:pt>
                <c:pt idx="120">
                  <c:v>91.91</c:v>
                </c:pt>
                <c:pt idx="121">
                  <c:v>91.57</c:v>
                </c:pt>
                <c:pt idx="122">
                  <c:v>91.18</c:v>
                </c:pt>
                <c:pt idx="123">
                  <c:v>90.37</c:v>
                </c:pt>
                <c:pt idx="124">
                  <c:v>72.28</c:v>
                </c:pt>
                <c:pt idx="125">
                  <c:v>60.43</c:v>
                </c:pt>
                <c:pt idx="126">
                  <c:v>52.31</c:v>
                </c:pt>
                <c:pt idx="127">
                  <c:v>45.52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EFB4-4A40-BE30-57047E28A82A}"/>
            </c:ext>
          </c:extLst>
        </c:ser>
        <c:ser>
          <c:idx val="1"/>
          <c:order val="1"/>
          <c:tx>
            <c:strRef>
              <c:f>'DESEMPEÑO  TEMP3'!$BC$30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'DESEMPEÑO  TEMP3'!$B$31:$B$158</c:f>
              <c:numCache>
                <c:formatCode>h:mm:ss\ AM/PM</c:formatCode>
                <c:ptCount val="128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</c:numCache>
            </c:numRef>
          </c:cat>
          <c:val>
            <c:numRef>
              <c:f>'DESEMPEÑO  TEMP3'!$BC$31:$BC$158</c:f>
              <c:numCache>
                <c:formatCode>0.0</c:formatCode>
                <c:ptCount val="128"/>
                <c:pt idx="0">
                  <c:v>23.08</c:v>
                </c:pt>
                <c:pt idx="1">
                  <c:v>22.95</c:v>
                </c:pt>
                <c:pt idx="2">
                  <c:v>22.85</c:v>
                </c:pt>
                <c:pt idx="3">
                  <c:v>25.03</c:v>
                </c:pt>
                <c:pt idx="4">
                  <c:v>25.46</c:v>
                </c:pt>
                <c:pt idx="5">
                  <c:v>26.09</c:v>
                </c:pt>
                <c:pt idx="6">
                  <c:v>25.54</c:v>
                </c:pt>
                <c:pt idx="7">
                  <c:v>25.06</c:v>
                </c:pt>
                <c:pt idx="8">
                  <c:v>25.33</c:v>
                </c:pt>
                <c:pt idx="9">
                  <c:v>18.62</c:v>
                </c:pt>
                <c:pt idx="10">
                  <c:v>18.399999999999999</c:v>
                </c:pt>
                <c:pt idx="11">
                  <c:v>18.38</c:v>
                </c:pt>
                <c:pt idx="12">
                  <c:v>18.41</c:v>
                </c:pt>
                <c:pt idx="13">
                  <c:v>18.41</c:v>
                </c:pt>
                <c:pt idx="14">
                  <c:v>18.43</c:v>
                </c:pt>
                <c:pt idx="15">
                  <c:v>18.47</c:v>
                </c:pt>
                <c:pt idx="16">
                  <c:v>18.52</c:v>
                </c:pt>
                <c:pt idx="17">
                  <c:v>18.86</c:v>
                </c:pt>
                <c:pt idx="18">
                  <c:v>19.41</c:v>
                </c:pt>
                <c:pt idx="19">
                  <c:v>19.829999999999998</c:v>
                </c:pt>
                <c:pt idx="20">
                  <c:v>19.37</c:v>
                </c:pt>
                <c:pt idx="21">
                  <c:v>19.7</c:v>
                </c:pt>
                <c:pt idx="22">
                  <c:v>22.07</c:v>
                </c:pt>
                <c:pt idx="23">
                  <c:v>22.53</c:v>
                </c:pt>
                <c:pt idx="24">
                  <c:v>23.91</c:v>
                </c:pt>
                <c:pt idx="25">
                  <c:v>26.19</c:v>
                </c:pt>
                <c:pt idx="26">
                  <c:v>29.21</c:v>
                </c:pt>
                <c:pt idx="27">
                  <c:v>32.72</c:v>
                </c:pt>
                <c:pt idx="28">
                  <c:v>36.46</c:v>
                </c:pt>
                <c:pt idx="29">
                  <c:v>40.299999999999997</c:v>
                </c:pt>
                <c:pt idx="30">
                  <c:v>44.2</c:v>
                </c:pt>
                <c:pt idx="31">
                  <c:v>48.11</c:v>
                </c:pt>
                <c:pt idx="32">
                  <c:v>51.99</c:v>
                </c:pt>
                <c:pt idx="33">
                  <c:v>55.8</c:v>
                </c:pt>
                <c:pt idx="34">
                  <c:v>59.56</c:v>
                </c:pt>
                <c:pt idx="35">
                  <c:v>63.18</c:v>
                </c:pt>
                <c:pt idx="36">
                  <c:v>66.739999999999995</c:v>
                </c:pt>
                <c:pt idx="37">
                  <c:v>70.2</c:v>
                </c:pt>
                <c:pt idx="38">
                  <c:v>73.44</c:v>
                </c:pt>
                <c:pt idx="39">
                  <c:v>76.400000000000006</c:v>
                </c:pt>
                <c:pt idx="40">
                  <c:v>79.16</c:v>
                </c:pt>
                <c:pt idx="41">
                  <c:v>81.78</c:v>
                </c:pt>
                <c:pt idx="42">
                  <c:v>84.22</c:v>
                </c:pt>
                <c:pt idx="43">
                  <c:v>86.59</c:v>
                </c:pt>
                <c:pt idx="44">
                  <c:v>88.75</c:v>
                </c:pt>
                <c:pt idx="45">
                  <c:v>90.85</c:v>
                </c:pt>
                <c:pt idx="46">
                  <c:v>92.75</c:v>
                </c:pt>
                <c:pt idx="47">
                  <c:v>94.6</c:v>
                </c:pt>
                <c:pt idx="48">
                  <c:v>96.26</c:v>
                </c:pt>
                <c:pt idx="49">
                  <c:v>97.98</c:v>
                </c:pt>
                <c:pt idx="50">
                  <c:v>99.59</c:v>
                </c:pt>
                <c:pt idx="51">
                  <c:v>101.09</c:v>
                </c:pt>
                <c:pt idx="52">
                  <c:v>102.42</c:v>
                </c:pt>
                <c:pt idx="53">
                  <c:v>103.7</c:v>
                </c:pt>
                <c:pt idx="54">
                  <c:v>104.87</c:v>
                </c:pt>
                <c:pt idx="55">
                  <c:v>105.98</c:v>
                </c:pt>
                <c:pt idx="56">
                  <c:v>107.03</c:v>
                </c:pt>
                <c:pt idx="57">
                  <c:v>107.99</c:v>
                </c:pt>
                <c:pt idx="58">
                  <c:v>108.9</c:v>
                </c:pt>
                <c:pt idx="59">
                  <c:v>109.79</c:v>
                </c:pt>
                <c:pt idx="60">
                  <c:v>110.6</c:v>
                </c:pt>
                <c:pt idx="61">
                  <c:v>111.37</c:v>
                </c:pt>
                <c:pt idx="62">
                  <c:v>112.08</c:v>
                </c:pt>
                <c:pt idx="63">
                  <c:v>112.76</c:v>
                </c:pt>
                <c:pt idx="64">
                  <c:v>113.4</c:v>
                </c:pt>
                <c:pt idx="65">
                  <c:v>114.01</c:v>
                </c:pt>
                <c:pt idx="66">
                  <c:v>114.57</c:v>
                </c:pt>
                <c:pt idx="67">
                  <c:v>115.12</c:v>
                </c:pt>
                <c:pt idx="68">
                  <c:v>115.63</c:v>
                </c:pt>
                <c:pt idx="69">
                  <c:v>116.1</c:v>
                </c:pt>
                <c:pt idx="70">
                  <c:v>116.55</c:v>
                </c:pt>
                <c:pt idx="71">
                  <c:v>116.98</c:v>
                </c:pt>
                <c:pt idx="72">
                  <c:v>117.37</c:v>
                </c:pt>
                <c:pt idx="73">
                  <c:v>117.76</c:v>
                </c:pt>
                <c:pt idx="74">
                  <c:v>118.12</c:v>
                </c:pt>
                <c:pt idx="75">
                  <c:v>118.48</c:v>
                </c:pt>
                <c:pt idx="76">
                  <c:v>118.83</c:v>
                </c:pt>
                <c:pt idx="77">
                  <c:v>119.16</c:v>
                </c:pt>
                <c:pt idx="78">
                  <c:v>119.47</c:v>
                </c:pt>
                <c:pt idx="79">
                  <c:v>119.74</c:v>
                </c:pt>
                <c:pt idx="80">
                  <c:v>120.02</c:v>
                </c:pt>
                <c:pt idx="81">
                  <c:v>120.25</c:v>
                </c:pt>
                <c:pt idx="82">
                  <c:v>120.49</c:v>
                </c:pt>
                <c:pt idx="83">
                  <c:v>120.69</c:v>
                </c:pt>
                <c:pt idx="84">
                  <c:v>120.9</c:v>
                </c:pt>
                <c:pt idx="85">
                  <c:v>121.08</c:v>
                </c:pt>
                <c:pt idx="86">
                  <c:v>121.26</c:v>
                </c:pt>
                <c:pt idx="87">
                  <c:v>121.43</c:v>
                </c:pt>
                <c:pt idx="88">
                  <c:v>121.59</c:v>
                </c:pt>
                <c:pt idx="89">
                  <c:v>121.73</c:v>
                </c:pt>
                <c:pt idx="90">
                  <c:v>121.87</c:v>
                </c:pt>
                <c:pt idx="91">
                  <c:v>122.01</c:v>
                </c:pt>
                <c:pt idx="92">
                  <c:v>122.13</c:v>
                </c:pt>
                <c:pt idx="93">
                  <c:v>122.25</c:v>
                </c:pt>
                <c:pt idx="94">
                  <c:v>122.36</c:v>
                </c:pt>
                <c:pt idx="95">
                  <c:v>122.46</c:v>
                </c:pt>
                <c:pt idx="96">
                  <c:v>122.57</c:v>
                </c:pt>
                <c:pt idx="97">
                  <c:v>122.67</c:v>
                </c:pt>
                <c:pt idx="98">
                  <c:v>122.74</c:v>
                </c:pt>
                <c:pt idx="99">
                  <c:v>122.2</c:v>
                </c:pt>
                <c:pt idx="100">
                  <c:v>117.5</c:v>
                </c:pt>
                <c:pt idx="101">
                  <c:v>112.19</c:v>
                </c:pt>
                <c:pt idx="102">
                  <c:v>107.83</c:v>
                </c:pt>
                <c:pt idx="103">
                  <c:v>104.01</c:v>
                </c:pt>
                <c:pt idx="104">
                  <c:v>101.35</c:v>
                </c:pt>
                <c:pt idx="105">
                  <c:v>99.7</c:v>
                </c:pt>
                <c:pt idx="106">
                  <c:v>98.51</c:v>
                </c:pt>
                <c:pt idx="107">
                  <c:v>97.4</c:v>
                </c:pt>
                <c:pt idx="108">
                  <c:v>96.71</c:v>
                </c:pt>
                <c:pt idx="109">
                  <c:v>96.41</c:v>
                </c:pt>
                <c:pt idx="110">
                  <c:v>96.09</c:v>
                </c:pt>
                <c:pt idx="111">
                  <c:v>95.97</c:v>
                </c:pt>
                <c:pt idx="112">
                  <c:v>95.75</c:v>
                </c:pt>
                <c:pt idx="113">
                  <c:v>95.59</c:v>
                </c:pt>
                <c:pt idx="114">
                  <c:v>95.48</c:v>
                </c:pt>
                <c:pt idx="115">
                  <c:v>95.4</c:v>
                </c:pt>
                <c:pt idx="116">
                  <c:v>95.31</c:v>
                </c:pt>
                <c:pt idx="117">
                  <c:v>95.19</c:v>
                </c:pt>
                <c:pt idx="118">
                  <c:v>94.91</c:v>
                </c:pt>
                <c:pt idx="119">
                  <c:v>92.63</c:v>
                </c:pt>
                <c:pt idx="120">
                  <c:v>92.17</c:v>
                </c:pt>
                <c:pt idx="121">
                  <c:v>91.8</c:v>
                </c:pt>
                <c:pt idx="122">
                  <c:v>91.45</c:v>
                </c:pt>
                <c:pt idx="123">
                  <c:v>91.11</c:v>
                </c:pt>
                <c:pt idx="124">
                  <c:v>90.77</c:v>
                </c:pt>
                <c:pt idx="125">
                  <c:v>90.41</c:v>
                </c:pt>
                <c:pt idx="126">
                  <c:v>90.31</c:v>
                </c:pt>
                <c:pt idx="127">
                  <c:v>90.15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EFB4-4A40-BE30-57047E28A82A}"/>
            </c:ext>
          </c:extLst>
        </c:ser>
        <c:ser>
          <c:idx val="2"/>
          <c:order val="2"/>
          <c:tx>
            <c:strRef>
              <c:f>'DESEMPEÑO  TEMP3'!$BD$30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'DESEMPEÑO  TEMP3'!$B$31:$B$158</c:f>
              <c:numCache>
                <c:formatCode>h:mm:ss\ AM/PM</c:formatCode>
                <c:ptCount val="128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</c:numCache>
            </c:numRef>
          </c:cat>
          <c:val>
            <c:numRef>
              <c:f>'DESEMPEÑO  TEMP3'!$BD$31:$BD$158</c:f>
              <c:numCache>
                <c:formatCode>0.0</c:formatCode>
                <c:ptCount val="128"/>
                <c:pt idx="0">
                  <c:v>23.61</c:v>
                </c:pt>
                <c:pt idx="1">
                  <c:v>23.53</c:v>
                </c:pt>
                <c:pt idx="2">
                  <c:v>24.33</c:v>
                </c:pt>
                <c:pt idx="3">
                  <c:v>23.96</c:v>
                </c:pt>
                <c:pt idx="4">
                  <c:v>24.98</c:v>
                </c:pt>
                <c:pt idx="5">
                  <c:v>25.04</c:v>
                </c:pt>
                <c:pt idx="6">
                  <c:v>24.59</c:v>
                </c:pt>
                <c:pt idx="7">
                  <c:v>24.27</c:v>
                </c:pt>
                <c:pt idx="8">
                  <c:v>24.13</c:v>
                </c:pt>
                <c:pt idx="9">
                  <c:v>23.77</c:v>
                </c:pt>
                <c:pt idx="10">
                  <c:v>23.44</c:v>
                </c:pt>
                <c:pt idx="11">
                  <c:v>23.19</c:v>
                </c:pt>
                <c:pt idx="12">
                  <c:v>22.41</c:v>
                </c:pt>
                <c:pt idx="13">
                  <c:v>19</c:v>
                </c:pt>
                <c:pt idx="14">
                  <c:v>18.739999999999998</c:v>
                </c:pt>
                <c:pt idx="15">
                  <c:v>18.850000000000001</c:v>
                </c:pt>
                <c:pt idx="16">
                  <c:v>18.899999999999999</c:v>
                </c:pt>
                <c:pt idx="17">
                  <c:v>19.27</c:v>
                </c:pt>
                <c:pt idx="18">
                  <c:v>19.54</c:v>
                </c:pt>
                <c:pt idx="19">
                  <c:v>19.73</c:v>
                </c:pt>
                <c:pt idx="20">
                  <c:v>19.8</c:v>
                </c:pt>
                <c:pt idx="21">
                  <c:v>20.05</c:v>
                </c:pt>
                <c:pt idx="22">
                  <c:v>20.48</c:v>
                </c:pt>
                <c:pt idx="23">
                  <c:v>22.05</c:v>
                </c:pt>
                <c:pt idx="24">
                  <c:v>25.62</c:v>
                </c:pt>
                <c:pt idx="25">
                  <c:v>30.57</c:v>
                </c:pt>
                <c:pt idx="26">
                  <c:v>36.32</c:v>
                </c:pt>
                <c:pt idx="27">
                  <c:v>42.21</c:v>
                </c:pt>
                <c:pt idx="28">
                  <c:v>48.18</c:v>
                </c:pt>
                <c:pt idx="29">
                  <c:v>53.99</c:v>
                </c:pt>
                <c:pt idx="30">
                  <c:v>59.47</c:v>
                </c:pt>
                <c:pt idx="31">
                  <c:v>64.64</c:v>
                </c:pt>
                <c:pt idx="32">
                  <c:v>69.540000000000006</c:v>
                </c:pt>
                <c:pt idx="33">
                  <c:v>74.150000000000006</c:v>
                </c:pt>
                <c:pt idx="34">
                  <c:v>78.459999999999994</c:v>
                </c:pt>
                <c:pt idx="35">
                  <c:v>82.44</c:v>
                </c:pt>
                <c:pt idx="36">
                  <c:v>86.18</c:v>
                </c:pt>
                <c:pt idx="37">
                  <c:v>89.65</c:v>
                </c:pt>
                <c:pt idx="38">
                  <c:v>92.79</c:v>
                </c:pt>
                <c:pt idx="39">
                  <c:v>95.53</c:v>
                </c:pt>
                <c:pt idx="40">
                  <c:v>97.82</c:v>
                </c:pt>
                <c:pt idx="41">
                  <c:v>100.1</c:v>
                </c:pt>
                <c:pt idx="42">
                  <c:v>102.2</c:v>
                </c:pt>
                <c:pt idx="43">
                  <c:v>104.16</c:v>
                </c:pt>
                <c:pt idx="44">
                  <c:v>105.86</c:v>
                </c:pt>
                <c:pt idx="45">
                  <c:v>107.42</c:v>
                </c:pt>
                <c:pt idx="46">
                  <c:v>108.79</c:v>
                </c:pt>
                <c:pt idx="47">
                  <c:v>110.03</c:v>
                </c:pt>
                <c:pt idx="48">
                  <c:v>111.15</c:v>
                </c:pt>
                <c:pt idx="49">
                  <c:v>112.15</c:v>
                </c:pt>
                <c:pt idx="50">
                  <c:v>113.07</c:v>
                </c:pt>
                <c:pt idx="51">
                  <c:v>113.91</c:v>
                </c:pt>
                <c:pt idx="52">
                  <c:v>114.66</c:v>
                </c:pt>
                <c:pt idx="53">
                  <c:v>115.33</c:v>
                </c:pt>
                <c:pt idx="54">
                  <c:v>115.96</c:v>
                </c:pt>
                <c:pt idx="55">
                  <c:v>116.51</c:v>
                </c:pt>
                <c:pt idx="56">
                  <c:v>117.02</c:v>
                </c:pt>
                <c:pt idx="57">
                  <c:v>117.48</c:v>
                </c:pt>
                <c:pt idx="58">
                  <c:v>117.89</c:v>
                </c:pt>
                <c:pt idx="59">
                  <c:v>118.27</c:v>
                </c:pt>
                <c:pt idx="60">
                  <c:v>118.61</c:v>
                </c:pt>
                <c:pt idx="61">
                  <c:v>118.92</c:v>
                </c:pt>
                <c:pt idx="62">
                  <c:v>119.2</c:v>
                </c:pt>
                <c:pt idx="63">
                  <c:v>119.45</c:v>
                </c:pt>
                <c:pt idx="64">
                  <c:v>119.7</c:v>
                </c:pt>
                <c:pt idx="65">
                  <c:v>119.88</c:v>
                </c:pt>
                <c:pt idx="66">
                  <c:v>120.09</c:v>
                </c:pt>
                <c:pt idx="67">
                  <c:v>120.25</c:v>
                </c:pt>
                <c:pt idx="68">
                  <c:v>120.42</c:v>
                </c:pt>
                <c:pt idx="69">
                  <c:v>120.55</c:v>
                </c:pt>
                <c:pt idx="70">
                  <c:v>120.7</c:v>
                </c:pt>
                <c:pt idx="71">
                  <c:v>120.8</c:v>
                </c:pt>
                <c:pt idx="72">
                  <c:v>120.93</c:v>
                </c:pt>
                <c:pt idx="73">
                  <c:v>121.01</c:v>
                </c:pt>
                <c:pt idx="74">
                  <c:v>121.13</c:v>
                </c:pt>
                <c:pt idx="75">
                  <c:v>121.19</c:v>
                </c:pt>
                <c:pt idx="76">
                  <c:v>121.29</c:v>
                </c:pt>
                <c:pt idx="77">
                  <c:v>121.35</c:v>
                </c:pt>
                <c:pt idx="78">
                  <c:v>121.42</c:v>
                </c:pt>
                <c:pt idx="79">
                  <c:v>121.47</c:v>
                </c:pt>
                <c:pt idx="80">
                  <c:v>121.53</c:v>
                </c:pt>
                <c:pt idx="81">
                  <c:v>121.58</c:v>
                </c:pt>
                <c:pt idx="82">
                  <c:v>121.63</c:v>
                </c:pt>
                <c:pt idx="83">
                  <c:v>121.67</c:v>
                </c:pt>
                <c:pt idx="84">
                  <c:v>121.7</c:v>
                </c:pt>
                <c:pt idx="85">
                  <c:v>121.74</c:v>
                </c:pt>
                <c:pt idx="86">
                  <c:v>121.78</c:v>
                </c:pt>
                <c:pt idx="87">
                  <c:v>121.79</c:v>
                </c:pt>
                <c:pt idx="88">
                  <c:v>121.84</c:v>
                </c:pt>
                <c:pt idx="89">
                  <c:v>121.86</c:v>
                </c:pt>
                <c:pt idx="90">
                  <c:v>121.89</c:v>
                </c:pt>
                <c:pt idx="91">
                  <c:v>121.91</c:v>
                </c:pt>
                <c:pt idx="92">
                  <c:v>121.93</c:v>
                </c:pt>
                <c:pt idx="93">
                  <c:v>121.95</c:v>
                </c:pt>
                <c:pt idx="94">
                  <c:v>121.98</c:v>
                </c:pt>
                <c:pt idx="95">
                  <c:v>121.99</c:v>
                </c:pt>
                <c:pt idx="96">
                  <c:v>122.01</c:v>
                </c:pt>
                <c:pt idx="97">
                  <c:v>122.03</c:v>
                </c:pt>
                <c:pt idx="98">
                  <c:v>122.04</c:v>
                </c:pt>
                <c:pt idx="99">
                  <c:v>119.99</c:v>
                </c:pt>
                <c:pt idx="100">
                  <c:v>114.47</c:v>
                </c:pt>
                <c:pt idx="101">
                  <c:v>108.94</c:v>
                </c:pt>
                <c:pt idx="102">
                  <c:v>104.34</c:v>
                </c:pt>
                <c:pt idx="103">
                  <c:v>100.83</c:v>
                </c:pt>
                <c:pt idx="104">
                  <c:v>98.1</c:v>
                </c:pt>
                <c:pt idx="105">
                  <c:v>96.12</c:v>
                </c:pt>
                <c:pt idx="106">
                  <c:v>94.93</c:v>
                </c:pt>
                <c:pt idx="107">
                  <c:v>94.38</c:v>
                </c:pt>
                <c:pt idx="108">
                  <c:v>94.11</c:v>
                </c:pt>
                <c:pt idx="109">
                  <c:v>93.93</c:v>
                </c:pt>
                <c:pt idx="110">
                  <c:v>93.81</c:v>
                </c:pt>
                <c:pt idx="111">
                  <c:v>93.69</c:v>
                </c:pt>
                <c:pt idx="112">
                  <c:v>93.58</c:v>
                </c:pt>
                <c:pt idx="113">
                  <c:v>93.5</c:v>
                </c:pt>
                <c:pt idx="114">
                  <c:v>93.45</c:v>
                </c:pt>
                <c:pt idx="115">
                  <c:v>93.37</c:v>
                </c:pt>
                <c:pt idx="116">
                  <c:v>93.3</c:v>
                </c:pt>
                <c:pt idx="117">
                  <c:v>93.04</c:v>
                </c:pt>
                <c:pt idx="118">
                  <c:v>92.66</c:v>
                </c:pt>
                <c:pt idx="119">
                  <c:v>92.28</c:v>
                </c:pt>
                <c:pt idx="120">
                  <c:v>91.91</c:v>
                </c:pt>
                <c:pt idx="121">
                  <c:v>91.57</c:v>
                </c:pt>
                <c:pt idx="122">
                  <c:v>91.18</c:v>
                </c:pt>
                <c:pt idx="123">
                  <c:v>90.37</c:v>
                </c:pt>
                <c:pt idx="124">
                  <c:v>72.28</c:v>
                </c:pt>
                <c:pt idx="125">
                  <c:v>60.43</c:v>
                </c:pt>
                <c:pt idx="126">
                  <c:v>52.31</c:v>
                </c:pt>
                <c:pt idx="127">
                  <c:v>45.52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EFB4-4A40-BE30-57047E28A82A}"/>
            </c:ext>
          </c:extLst>
        </c:ser>
        <c:ser>
          <c:idx val="3"/>
          <c:order val="3"/>
          <c:tx>
            <c:strRef>
              <c:f>'DESEMPEÑO  TEMP3'!$BE$30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'DESEMPEÑO  TEMP3'!$B$31:$B$158</c:f>
              <c:numCache>
                <c:formatCode>h:mm:ss\ AM/PM</c:formatCode>
                <c:ptCount val="128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</c:numCache>
            </c:numRef>
          </c:cat>
          <c:val>
            <c:numRef>
              <c:f>'DESEMPEÑO  TEMP3'!$BE$31:$BE$158</c:f>
              <c:numCache>
                <c:formatCode>0.0</c:formatCode>
                <c:ptCount val="128"/>
                <c:pt idx="0">
                  <c:v>23.43</c:v>
                </c:pt>
                <c:pt idx="1">
                  <c:v>23.32</c:v>
                </c:pt>
                <c:pt idx="2">
                  <c:v>24.6</c:v>
                </c:pt>
                <c:pt idx="3">
                  <c:v>25.63</c:v>
                </c:pt>
                <c:pt idx="4">
                  <c:v>25.7</c:v>
                </c:pt>
                <c:pt idx="5">
                  <c:v>26.27</c:v>
                </c:pt>
                <c:pt idx="6">
                  <c:v>25.47</c:v>
                </c:pt>
                <c:pt idx="7">
                  <c:v>24.85</c:v>
                </c:pt>
                <c:pt idx="8">
                  <c:v>24.4</c:v>
                </c:pt>
                <c:pt idx="9">
                  <c:v>24.05</c:v>
                </c:pt>
                <c:pt idx="10">
                  <c:v>23.81</c:v>
                </c:pt>
                <c:pt idx="11">
                  <c:v>23.69</c:v>
                </c:pt>
                <c:pt idx="12">
                  <c:v>21.13</c:v>
                </c:pt>
                <c:pt idx="13">
                  <c:v>18.920000000000002</c:v>
                </c:pt>
                <c:pt idx="14">
                  <c:v>18.84</c:v>
                </c:pt>
                <c:pt idx="15">
                  <c:v>19.02</c:v>
                </c:pt>
                <c:pt idx="16">
                  <c:v>19.18</c:v>
                </c:pt>
                <c:pt idx="17">
                  <c:v>19.399999999999999</c:v>
                </c:pt>
                <c:pt idx="18">
                  <c:v>19.559999999999999</c:v>
                </c:pt>
                <c:pt idx="19">
                  <c:v>19.829999999999998</c:v>
                </c:pt>
                <c:pt idx="20">
                  <c:v>20.49</c:v>
                </c:pt>
                <c:pt idx="21">
                  <c:v>20.8</c:v>
                </c:pt>
                <c:pt idx="22">
                  <c:v>21.22</c:v>
                </c:pt>
                <c:pt idx="23">
                  <c:v>22.7</c:v>
                </c:pt>
                <c:pt idx="24">
                  <c:v>26.28</c:v>
                </c:pt>
                <c:pt idx="25">
                  <c:v>31.32</c:v>
                </c:pt>
                <c:pt idx="26">
                  <c:v>37.08</c:v>
                </c:pt>
                <c:pt idx="27">
                  <c:v>43.17</c:v>
                </c:pt>
                <c:pt idx="28">
                  <c:v>49.25</c:v>
                </c:pt>
                <c:pt idx="29">
                  <c:v>55.12</c:v>
                </c:pt>
                <c:pt idx="30">
                  <c:v>60.74</c:v>
                </c:pt>
                <c:pt idx="31">
                  <c:v>66.08</c:v>
                </c:pt>
                <c:pt idx="32">
                  <c:v>71.08</c:v>
                </c:pt>
                <c:pt idx="33">
                  <c:v>75.73</c:v>
                </c:pt>
                <c:pt idx="34">
                  <c:v>80.13</c:v>
                </c:pt>
                <c:pt idx="35">
                  <c:v>84.16</c:v>
                </c:pt>
                <c:pt idx="36">
                  <c:v>87.83</c:v>
                </c:pt>
                <c:pt idx="37">
                  <c:v>91.32</c:v>
                </c:pt>
                <c:pt idx="38">
                  <c:v>94.23</c:v>
                </c:pt>
                <c:pt idx="39">
                  <c:v>96.89</c:v>
                </c:pt>
                <c:pt idx="40">
                  <c:v>99.34</c:v>
                </c:pt>
                <c:pt idx="41">
                  <c:v>101.51</c:v>
                </c:pt>
                <c:pt idx="42">
                  <c:v>103.52</c:v>
                </c:pt>
                <c:pt idx="43">
                  <c:v>105.36</c:v>
                </c:pt>
                <c:pt idx="44">
                  <c:v>107.01</c:v>
                </c:pt>
                <c:pt idx="45">
                  <c:v>108.51</c:v>
                </c:pt>
                <c:pt idx="46">
                  <c:v>109.93</c:v>
                </c:pt>
                <c:pt idx="47">
                  <c:v>111.2</c:v>
                </c:pt>
                <c:pt idx="48">
                  <c:v>112.3</c:v>
                </c:pt>
                <c:pt idx="49">
                  <c:v>113.39</c:v>
                </c:pt>
                <c:pt idx="50">
                  <c:v>114.3</c:v>
                </c:pt>
                <c:pt idx="51">
                  <c:v>115.13</c:v>
                </c:pt>
                <c:pt idx="52">
                  <c:v>115.88</c:v>
                </c:pt>
                <c:pt idx="53">
                  <c:v>116.55</c:v>
                </c:pt>
                <c:pt idx="54">
                  <c:v>117.17</c:v>
                </c:pt>
                <c:pt idx="55">
                  <c:v>117.71</c:v>
                </c:pt>
                <c:pt idx="56">
                  <c:v>118.21</c:v>
                </c:pt>
                <c:pt idx="57">
                  <c:v>118.67</c:v>
                </c:pt>
                <c:pt idx="58">
                  <c:v>119.07</c:v>
                </c:pt>
                <c:pt idx="59">
                  <c:v>119.45</c:v>
                </c:pt>
                <c:pt idx="60">
                  <c:v>119.79</c:v>
                </c:pt>
                <c:pt idx="61">
                  <c:v>120.09</c:v>
                </c:pt>
                <c:pt idx="62">
                  <c:v>120.36</c:v>
                </c:pt>
                <c:pt idx="63">
                  <c:v>120.61</c:v>
                </c:pt>
                <c:pt idx="64">
                  <c:v>120.84</c:v>
                </c:pt>
                <c:pt idx="65">
                  <c:v>121.04</c:v>
                </c:pt>
                <c:pt idx="66">
                  <c:v>121.26</c:v>
                </c:pt>
                <c:pt idx="67">
                  <c:v>121.4</c:v>
                </c:pt>
                <c:pt idx="68">
                  <c:v>121.57</c:v>
                </c:pt>
                <c:pt idx="69">
                  <c:v>121.7</c:v>
                </c:pt>
                <c:pt idx="70">
                  <c:v>121.85</c:v>
                </c:pt>
                <c:pt idx="71">
                  <c:v>121.95</c:v>
                </c:pt>
                <c:pt idx="72">
                  <c:v>122.08</c:v>
                </c:pt>
                <c:pt idx="73">
                  <c:v>122.16</c:v>
                </c:pt>
                <c:pt idx="74">
                  <c:v>122.26</c:v>
                </c:pt>
                <c:pt idx="75">
                  <c:v>122.33</c:v>
                </c:pt>
                <c:pt idx="76">
                  <c:v>122.43</c:v>
                </c:pt>
                <c:pt idx="77">
                  <c:v>122.49</c:v>
                </c:pt>
                <c:pt idx="78">
                  <c:v>122.58</c:v>
                </c:pt>
                <c:pt idx="79">
                  <c:v>122.63</c:v>
                </c:pt>
                <c:pt idx="80">
                  <c:v>122.69</c:v>
                </c:pt>
                <c:pt idx="81">
                  <c:v>122.74</c:v>
                </c:pt>
                <c:pt idx="82">
                  <c:v>122.79</c:v>
                </c:pt>
                <c:pt idx="83">
                  <c:v>122.83</c:v>
                </c:pt>
                <c:pt idx="84">
                  <c:v>122.88</c:v>
                </c:pt>
                <c:pt idx="85">
                  <c:v>122.91</c:v>
                </c:pt>
                <c:pt idx="86">
                  <c:v>122.96</c:v>
                </c:pt>
                <c:pt idx="87">
                  <c:v>122.99</c:v>
                </c:pt>
                <c:pt idx="88">
                  <c:v>123.01</c:v>
                </c:pt>
                <c:pt idx="89">
                  <c:v>123.04</c:v>
                </c:pt>
                <c:pt idx="90">
                  <c:v>123.08</c:v>
                </c:pt>
                <c:pt idx="91">
                  <c:v>123.11</c:v>
                </c:pt>
                <c:pt idx="92">
                  <c:v>123.13</c:v>
                </c:pt>
                <c:pt idx="93">
                  <c:v>123.15</c:v>
                </c:pt>
                <c:pt idx="94">
                  <c:v>123.18</c:v>
                </c:pt>
                <c:pt idx="95">
                  <c:v>123.19</c:v>
                </c:pt>
                <c:pt idx="96">
                  <c:v>123.22</c:v>
                </c:pt>
                <c:pt idx="97">
                  <c:v>123.23</c:v>
                </c:pt>
                <c:pt idx="98">
                  <c:v>123.25</c:v>
                </c:pt>
                <c:pt idx="99">
                  <c:v>121.27</c:v>
                </c:pt>
                <c:pt idx="100">
                  <c:v>116.16</c:v>
                </c:pt>
                <c:pt idx="101">
                  <c:v>110.62</c:v>
                </c:pt>
                <c:pt idx="102">
                  <c:v>105.72</c:v>
                </c:pt>
                <c:pt idx="103">
                  <c:v>101.73</c:v>
                </c:pt>
                <c:pt idx="104">
                  <c:v>98.78</c:v>
                </c:pt>
                <c:pt idx="105">
                  <c:v>96.74</c:v>
                </c:pt>
                <c:pt idx="106">
                  <c:v>95.63</c:v>
                </c:pt>
                <c:pt idx="107">
                  <c:v>95.06</c:v>
                </c:pt>
                <c:pt idx="108">
                  <c:v>94.73</c:v>
                </c:pt>
                <c:pt idx="109">
                  <c:v>94.61</c:v>
                </c:pt>
                <c:pt idx="110">
                  <c:v>94.46</c:v>
                </c:pt>
                <c:pt idx="111">
                  <c:v>94.33</c:v>
                </c:pt>
                <c:pt idx="112">
                  <c:v>94.22</c:v>
                </c:pt>
                <c:pt idx="113">
                  <c:v>94.15</c:v>
                </c:pt>
                <c:pt idx="114">
                  <c:v>94.08</c:v>
                </c:pt>
                <c:pt idx="115">
                  <c:v>94.05</c:v>
                </c:pt>
                <c:pt idx="116">
                  <c:v>93.98</c:v>
                </c:pt>
                <c:pt idx="117">
                  <c:v>93.82</c:v>
                </c:pt>
                <c:pt idx="118">
                  <c:v>93.41</c:v>
                </c:pt>
                <c:pt idx="119">
                  <c:v>92.95</c:v>
                </c:pt>
                <c:pt idx="120">
                  <c:v>92.26</c:v>
                </c:pt>
                <c:pt idx="121">
                  <c:v>81.92</c:v>
                </c:pt>
                <c:pt idx="122">
                  <c:v>59.17</c:v>
                </c:pt>
                <c:pt idx="123">
                  <c:v>44.52</c:v>
                </c:pt>
                <c:pt idx="124">
                  <c:v>41.27</c:v>
                </c:pt>
                <c:pt idx="125">
                  <c:v>38.31</c:v>
                </c:pt>
                <c:pt idx="126">
                  <c:v>35.97</c:v>
                </c:pt>
                <c:pt idx="127">
                  <c:v>34.03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EFB4-4A40-BE30-57047E28A82A}"/>
            </c:ext>
          </c:extLst>
        </c:ser>
        <c:ser>
          <c:idx val="4"/>
          <c:order val="4"/>
          <c:tx>
            <c:strRef>
              <c:f>'DESEMPEÑO  TEMP3'!$BF$30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'DESEMPEÑO  TEMP3'!$B$31:$B$158</c:f>
              <c:numCache>
                <c:formatCode>h:mm:ss\ AM/PM</c:formatCode>
                <c:ptCount val="128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</c:numCache>
            </c:numRef>
          </c:cat>
          <c:val>
            <c:numRef>
              <c:f>'DESEMPEÑO  TEMP3'!$BF$31:$BF$158</c:f>
              <c:numCache>
                <c:formatCode>0.0</c:formatCode>
                <c:ptCount val="128"/>
                <c:pt idx="0">
                  <c:v>25.22</c:v>
                </c:pt>
                <c:pt idx="1">
                  <c:v>25.95</c:v>
                </c:pt>
                <c:pt idx="2">
                  <c:v>25.82</c:v>
                </c:pt>
                <c:pt idx="3">
                  <c:v>25.38</c:v>
                </c:pt>
                <c:pt idx="4">
                  <c:v>25.01</c:v>
                </c:pt>
                <c:pt idx="5">
                  <c:v>24.78</c:v>
                </c:pt>
                <c:pt idx="6">
                  <c:v>24.72</c:v>
                </c:pt>
                <c:pt idx="7">
                  <c:v>24.59</c:v>
                </c:pt>
                <c:pt idx="8">
                  <c:v>24.45</c:v>
                </c:pt>
                <c:pt idx="9">
                  <c:v>24.13</c:v>
                </c:pt>
                <c:pt idx="10">
                  <c:v>23.79</c:v>
                </c:pt>
                <c:pt idx="11">
                  <c:v>23.54</c:v>
                </c:pt>
                <c:pt idx="12">
                  <c:v>23.36</c:v>
                </c:pt>
                <c:pt idx="13">
                  <c:v>22.21</c:v>
                </c:pt>
                <c:pt idx="14">
                  <c:v>20.43</c:v>
                </c:pt>
                <c:pt idx="15">
                  <c:v>20.239999999999998</c:v>
                </c:pt>
                <c:pt idx="16">
                  <c:v>20.23</c:v>
                </c:pt>
                <c:pt idx="17">
                  <c:v>20.29</c:v>
                </c:pt>
                <c:pt idx="18">
                  <c:v>20.5</c:v>
                </c:pt>
                <c:pt idx="19">
                  <c:v>20.69</c:v>
                </c:pt>
                <c:pt idx="20">
                  <c:v>21.07</c:v>
                </c:pt>
                <c:pt idx="21">
                  <c:v>21.36</c:v>
                </c:pt>
                <c:pt idx="22">
                  <c:v>21.77</c:v>
                </c:pt>
                <c:pt idx="23">
                  <c:v>23.75</c:v>
                </c:pt>
                <c:pt idx="24">
                  <c:v>27.54</c:v>
                </c:pt>
                <c:pt idx="25">
                  <c:v>32.65</c:v>
                </c:pt>
                <c:pt idx="26">
                  <c:v>38.89</c:v>
                </c:pt>
                <c:pt idx="27">
                  <c:v>45.44</c:v>
                </c:pt>
                <c:pt idx="28">
                  <c:v>51.79</c:v>
                </c:pt>
                <c:pt idx="29">
                  <c:v>58.07</c:v>
                </c:pt>
                <c:pt idx="30">
                  <c:v>64.010000000000005</c:v>
                </c:pt>
                <c:pt idx="31">
                  <c:v>69.55</c:v>
                </c:pt>
                <c:pt idx="32">
                  <c:v>74.680000000000007</c:v>
                </c:pt>
                <c:pt idx="33">
                  <c:v>79.459999999999994</c:v>
                </c:pt>
                <c:pt idx="34">
                  <c:v>83.92</c:v>
                </c:pt>
                <c:pt idx="35">
                  <c:v>88.03</c:v>
                </c:pt>
                <c:pt idx="36">
                  <c:v>91.83</c:v>
                </c:pt>
                <c:pt idx="37">
                  <c:v>95.26</c:v>
                </c:pt>
                <c:pt idx="38">
                  <c:v>98.08</c:v>
                </c:pt>
                <c:pt idx="39">
                  <c:v>100.66</c:v>
                </c:pt>
                <c:pt idx="40">
                  <c:v>103</c:v>
                </c:pt>
                <c:pt idx="41">
                  <c:v>105.13</c:v>
                </c:pt>
                <c:pt idx="42">
                  <c:v>107.03</c:v>
                </c:pt>
                <c:pt idx="43">
                  <c:v>108.78</c:v>
                </c:pt>
                <c:pt idx="44">
                  <c:v>110.3</c:v>
                </c:pt>
                <c:pt idx="45">
                  <c:v>111.62</c:v>
                </c:pt>
                <c:pt idx="46">
                  <c:v>112.76</c:v>
                </c:pt>
                <c:pt idx="47">
                  <c:v>113.79</c:v>
                </c:pt>
                <c:pt idx="48">
                  <c:v>114.71</c:v>
                </c:pt>
                <c:pt idx="49">
                  <c:v>115.49</c:v>
                </c:pt>
                <c:pt idx="50">
                  <c:v>116.25</c:v>
                </c:pt>
                <c:pt idx="51">
                  <c:v>116.89</c:v>
                </c:pt>
                <c:pt idx="52">
                  <c:v>117.48</c:v>
                </c:pt>
                <c:pt idx="53">
                  <c:v>118</c:v>
                </c:pt>
                <c:pt idx="54">
                  <c:v>118.49</c:v>
                </c:pt>
                <c:pt idx="55">
                  <c:v>118.9</c:v>
                </c:pt>
                <c:pt idx="56">
                  <c:v>119.28</c:v>
                </c:pt>
                <c:pt idx="57">
                  <c:v>119.62</c:v>
                </c:pt>
                <c:pt idx="58">
                  <c:v>119.91</c:v>
                </c:pt>
                <c:pt idx="59">
                  <c:v>120.19</c:v>
                </c:pt>
                <c:pt idx="60">
                  <c:v>120.4</c:v>
                </c:pt>
                <c:pt idx="61">
                  <c:v>120.62</c:v>
                </c:pt>
                <c:pt idx="62">
                  <c:v>120.8</c:v>
                </c:pt>
                <c:pt idx="63">
                  <c:v>120.97</c:v>
                </c:pt>
                <c:pt idx="64">
                  <c:v>121.11</c:v>
                </c:pt>
                <c:pt idx="65">
                  <c:v>121.22</c:v>
                </c:pt>
                <c:pt idx="66">
                  <c:v>121.34</c:v>
                </c:pt>
                <c:pt idx="67">
                  <c:v>121.43</c:v>
                </c:pt>
                <c:pt idx="68">
                  <c:v>121.53</c:v>
                </c:pt>
                <c:pt idx="69">
                  <c:v>121.6</c:v>
                </c:pt>
                <c:pt idx="70">
                  <c:v>121.68</c:v>
                </c:pt>
                <c:pt idx="71">
                  <c:v>121.74</c:v>
                </c:pt>
                <c:pt idx="72">
                  <c:v>121.79</c:v>
                </c:pt>
                <c:pt idx="73">
                  <c:v>121.85</c:v>
                </c:pt>
                <c:pt idx="74">
                  <c:v>121.88</c:v>
                </c:pt>
                <c:pt idx="75">
                  <c:v>121.93</c:v>
                </c:pt>
                <c:pt idx="76">
                  <c:v>121.95</c:v>
                </c:pt>
                <c:pt idx="77">
                  <c:v>121.99</c:v>
                </c:pt>
                <c:pt idx="78">
                  <c:v>122.02</c:v>
                </c:pt>
                <c:pt idx="79">
                  <c:v>122.03</c:v>
                </c:pt>
                <c:pt idx="80">
                  <c:v>122.03</c:v>
                </c:pt>
                <c:pt idx="81">
                  <c:v>122.05</c:v>
                </c:pt>
                <c:pt idx="82">
                  <c:v>122.06</c:v>
                </c:pt>
                <c:pt idx="83">
                  <c:v>122.06</c:v>
                </c:pt>
                <c:pt idx="84">
                  <c:v>122.08</c:v>
                </c:pt>
                <c:pt idx="85">
                  <c:v>122.09</c:v>
                </c:pt>
                <c:pt idx="86">
                  <c:v>122.1</c:v>
                </c:pt>
                <c:pt idx="87">
                  <c:v>122.1</c:v>
                </c:pt>
                <c:pt idx="88">
                  <c:v>122.11</c:v>
                </c:pt>
                <c:pt idx="89">
                  <c:v>122.12</c:v>
                </c:pt>
                <c:pt idx="90">
                  <c:v>122.13</c:v>
                </c:pt>
                <c:pt idx="91">
                  <c:v>122.14</c:v>
                </c:pt>
                <c:pt idx="92">
                  <c:v>122.15</c:v>
                </c:pt>
                <c:pt idx="93">
                  <c:v>122.16</c:v>
                </c:pt>
                <c:pt idx="94">
                  <c:v>122.16</c:v>
                </c:pt>
                <c:pt idx="95">
                  <c:v>122.17</c:v>
                </c:pt>
                <c:pt idx="96">
                  <c:v>122.17</c:v>
                </c:pt>
                <c:pt idx="97">
                  <c:v>122.18</c:v>
                </c:pt>
                <c:pt idx="98">
                  <c:v>122.17</c:v>
                </c:pt>
                <c:pt idx="99">
                  <c:v>120.49</c:v>
                </c:pt>
                <c:pt idx="100">
                  <c:v>115.35</c:v>
                </c:pt>
                <c:pt idx="101">
                  <c:v>111.11</c:v>
                </c:pt>
                <c:pt idx="102">
                  <c:v>107.41</c:v>
                </c:pt>
                <c:pt idx="103">
                  <c:v>103.79</c:v>
                </c:pt>
                <c:pt idx="104">
                  <c:v>100.12</c:v>
                </c:pt>
                <c:pt idx="105">
                  <c:v>96.94</c:v>
                </c:pt>
                <c:pt idx="106">
                  <c:v>95.28</c:v>
                </c:pt>
                <c:pt idx="107">
                  <c:v>94.37</c:v>
                </c:pt>
                <c:pt idx="108">
                  <c:v>93.98</c:v>
                </c:pt>
                <c:pt idx="109">
                  <c:v>93.72</c:v>
                </c:pt>
                <c:pt idx="110">
                  <c:v>93.63</c:v>
                </c:pt>
                <c:pt idx="111">
                  <c:v>93.51</c:v>
                </c:pt>
                <c:pt idx="112">
                  <c:v>93.43</c:v>
                </c:pt>
                <c:pt idx="113">
                  <c:v>93.36</c:v>
                </c:pt>
                <c:pt idx="114">
                  <c:v>93.32</c:v>
                </c:pt>
                <c:pt idx="115">
                  <c:v>93.27</c:v>
                </c:pt>
                <c:pt idx="116">
                  <c:v>93.23</c:v>
                </c:pt>
                <c:pt idx="117">
                  <c:v>93.09</c:v>
                </c:pt>
                <c:pt idx="118">
                  <c:v>92.69</c:v>
                </c:pt>
                <c:pt idx="119">
                  <c:v>92.31</c:v>
                </c:pt>
                <c:pt idx="120">
                  <c:v>91.99</c:v>
                </c:pt>
                <c:pt idx="121">
                  <c:v>91.26</c:v>
                </c:pt>
                <c:pt idx="122">
                  <c:v>80.760000000000005</c:v>
                </c:pt>
                <c:pt idx="123">
                  <c:v>78.209999999999994</c:v>
                </c:pt>
                <c:pt idx="124">
                  <c:v>76.84</c:v>
                </c:pt>
                <c:pt idx="125">
                  <c:v>75.66</c:v>
                </c:pt>
                <c:pt idx="126">
                  <c:v>72.98</c:v>
                </c:pt>
                <c:pt idx="127">
                  <c:v>44.61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EFB4-4A40-BE30-57047E28A82A}"/>
            </c:ext>
          </c:extLst>
        </c:ser>
        <c:ser>
          <c:idx val="5"/>
          <c:order val="5"/>
          <c:tx>
            <c:strRef>
              <c:f>'DESEMPEÑO  TEMP3'!$BG$30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'DESEMPEÑO  TEMP3'!$B$31:$B$158</c:f>
              <c:numCache>
                <c:formatCode>h:mm:ss\ AM/PM</c:formatCode>
                <c:ptCount val="128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</c:numCache>
            </c:numRef>
          </c:cat>
          <c:val>
            <c:numRef>
              <c:f>'DESEMPEÑO  TEMP3'!$BG$31:$BG$158</c:f>
              <c:numCache>
                <c:formatCode>0.0</c:formatCode>
                <c:ptCount val="128"/>
                <c:pt idx="0">
                  <c:v>27.07</c:v>
                </c:pt>
                <c:pt idx="1">
                  <c:v>26.74</c:v>
                </c:pt>
                <c:pt idx="2">
                  <c:v>26.79</c:v>
                </c:pt>
                <c:pt idx="3">
                  <c:v>26.7</c:v>
                </c:pt>
                <c:pt idx="4">
                  <c:v>27.87</c:v>
                </c:pt>
                <c:pt idx="5">
                  <c:v>27.51</c:v>
                </c:pt>
                <c:pt idx="6">
                  <c:v>29.8</c:v>
                </c:pt>
                <c:pt idx="7">
                  <c:v>28.55</c:v>
                </c:pt>
                <c:pt idx="8">
                  <c:v>27.29</c:v>
                </c:pt>
                <c:pt idx="9">
                  <c:v>26.15</c:v>
                </c:pt>
                <c:pt idx="10">
                  <c:v>25.63</c:v>
                </c:pt>
                <c:pt idx="11">
                  <c:v>25.05</c:v>
                </c:pt>
                <c:pt idx="12">
                  <c:v>24.85</c:v>
                </c:pt>
                <c:pt idx="13">
                  <c:v>25.1</c:v>
                </c:pt>
                <c:pt idx="14">
                  <c:v>20.12</c:v>
                </c:pt>
                <c:pt idx="15">
                  <c:v>20</c:v>
                </c:pt>
                <c:pt idx="16">
                  <c:v>20</c:v>
                </c:pt>
                <c:pt idx="17">
                  <c:v>20.190000000000001</c:v>
                </c:pt>
                <c:pt idx="18">
                  <c:v>20.260000000000002</c:v>
                </c:pt>
                <c:pt idx="19">
                  <c:v>20.55</c:v>
                </c:pt>
                <c:pt idx="20">
                  <c:v>20.91</c:v>
                </c:pt>
                <c:pt idx="21">
                  <c:v>21.56</c:v>
                </c:pt>
                <c:pt idx="22">
                  <c:v>28.38</c:v>
                </c:pt>
                <c:pt idx="23">
                  <c:v>38.159999999999997</c:v>
                </c:pt>
                <c:pt idx="24">
                  <c:v>47.18</c:v>
                </c:pt>
                <c:pt idx="25">
                  <c:v>55.41</c:v>
                </c:pt>
                <c:pt idx="26">
                  <c:v>62.74</c:v>
                </c:pt>
                <c:pt idx="27">
                  <c:v>69.25</c:v>
                </c:pt>
                <c:pt idx="28">
                  <c:v>75.08</c:v>
                </c:pt>
                <c:pt idx="29">
                  <c:v>80.36</c:v>
                </c:pt>
                <c:pt idx="30">
                  <c:v>85.04</c:v>
                </c:pt>
                <c:pt idx="31">
                  <c:v>89.27</c:v>
                </c:pt>
                <c:pt idx="32">
                  <c:v>93.1</c:v>
                </c:pt>
                <c:pt idx="33">
                  <c:v>96.56</c:v>
                </c:pt>
                <c:pt idx="34">
                  <c:v>99.69</c:v>
                </c:pt>
                <c:pt idx="35">
                  <c:v>102.55</c:v>
                </c:pt>
                <c:pt idx="36">
                  <c:v>105.17</c:v>
                </c:pt>
                <c:pt idx="37">
                  <c:v>107.54</c:v>
                </c:pt>
                <c:pt idx="38">
                  <c:v>109.53</c:v>
                </c:pt>
                <c:pt idx="39">
                  <c:v>111.19</c:v>
                </c:pt>
                <c:pt idx="40">
                  <c:v>112.62</c:v>
                </c:pt>
                <c:pt idx="41">
                  <c:v>113.9</c:v>
                </c:pt>
                <c:pt idx="42">
                  <c:v>114.96</c:v>
                </c:pt>
                <c:pt idx="43">
                  <c:v>115.91</c:v>
                </c:pt>
                <c:pt idx="44">
                  <c:v>116.74</c:v>
                </c:pt>
                <c:pt idx="45">
                  <c:v>117.41</c:v>
                </c:pt>
                <c:pt idx="46">
                  <c:v>118.07</c:v>
                </c:pt>
                <c:pt idx="47">
                  <c:v>118.57</c:v>
                </c:pt>
                <c:pt idx="48">
                  <c:v>119.06</c:v>
                </c:pt>
                <c:pt idx="49">
                  <c:v>119.44</c:v>
                </c:pt>
                <c:pt idx="50">
                  <c:v>119.8</c:v>
                </c:pt>
                <c:pt idx="51">
                  <c:v>120.1</c:v>
                </c:pt>
                <c:pt idx="52">
                  <c:v>120.39</c:v>
                </c:pt>
                <c:pt idx="53">
                  <c:v>120.6</c:v>
                </c:pt>
                <c:pt idx="54">
                  <c:v>120.8</c:v>
                </c:pt>
                <c:pt idx="55">
                  <c:v>120.99</c:v>
                </c:pt>
                <c:pt idx="56">
                  <c:v>121.13</c:v>
                </c:pt>
                <c:pt idx="57">
                  <c:v>121.21</c:v>
                </c:pt>
                <c:pt idx="58">
                  <c:v>121.38</c:v>
                </c:pt>
                <c:pt idx="59">
                  <c:v>121.42</c:v>
                </c:pt>
                <c:pt idx="60">
                  <c:v>121.58</c:v>
                </c:pt>
                <c:pt idx="61">
                  <c:v>121.57</c:v>
                </c:pt>
                <c:pt idx="62">
                  <c:v>121.7</c:v>
                </c:pt>
                <c:pt idx="63">
                  <c:v>121.66</c:v>
                </c:pt>
                <c:pt idx="64">
                  <c:v>121.81</c:v>
                </c:pt>
                <c:pt idx="65">
                  <c:v>121.78</c:v>
                </c:pt>
                <c:pt idx="66">
                  <c:v>121.91</c:v>
                </c:pt>
                <c:pt idx="67">
                  <c:v>121.92</c:v>
                </c:pt>
                <c:pt idx="68">
                  <c:v>121.87</c:v>
                </c:pt>
                <c:pt idx="69">
                  <c:v>122</c:v>
                </c:pt>
                <c:pt idx="70">
                  <c:v>121.92</c:v>
                </c:pt>
                <c:pt idx="71">
                  <c:v>122.1</c:v>
                </c:pt>
                <c:pt idx="72">
                  <c:v>122.02</c:v>
                </c:pt>
                <c:pt idx="73">
                  <c:v>122.05</c:v>
                </c:pt>
                <c:pt idx="74">
                  <c:v>122.04</c:v>
                </c:pt>
                <c:pt idx="75">
                  <c:v>122.02</c:v>
                </c:pt>
                <c:pt idx="76">
                  <c:v>122.09</c:v>
                </c:pt>
                <c:pt idx="77">
                  <c:v>122.03</c:v>
                </c:pt>
                <c:pt idx="78">
                  <c:v>122.08</c:v>
                </c:pt>
                <c:pt idx="79">
                  <c:v>122.07</c:v>
                </c:pt>
                <c:pt idx="80">
                  <c:v>122.09</c:v>
                </c:pt>
                <c:pt idx="81">
                  <c:v>122.07</c:v>
                </c:pt>
                <c:pt idx="82">
                  <c:v>122.09</c:v>
                </c:pt>
                <c:pt idx="83">
                  <c:v>122.12</c:v>
                </c:pt>
                <c:pt idx="84">
                  <c:v>122.11</c:v>
                </c:pt>
                <c:pt idx="85">
                  <c:v>122.12</c:v>
                </c:pt>
                <c:pt idx="86">
                  <c:v>122.1</c:v>
                </c:pt>
                <c:pt idx="87">
                  <c:v>122.13</c:v>
                </c:pt>
                <c:pt idx="88">
                  <c:v>122.12</c:v>
                </c:pt>
                <c:pt idx="89">
                  <c:v>122.15</c:v>
                </c:pt>
                <c:pt idx="90">
                  <c:v>122.14</c:v>
                </c:pt>
                <c:pt idx="91">
                  <c:v>122.18</c:v>
                </c:pt>
                <c:pt idx="92">
                  <c:v>122.13</c:v>
                </c:pt>
                <c:pt idx="93">
                  <c:v>122.17</c:v>
                </c:pt>
                <c:pt idx="94">
                  <c:v>122.15</c:v>
                </c:pt>
                <c:pt idx="95">
                  <c:v>122.17</c:v>
                </c:pt>
                <c:pt idx="96">
                  <c:v>122.13</c:v>
                </c:pt>
                <c:pt idx="97">
                  <c:v>122.2</c:v>
                </c:pt>
                <c:pt idx="98">
                  <c:v>122.14</c:v>
                </c:pt>
                <c:pt idx="99">
                  <c:v>118.55</c:v>
                </c:pt>
                <c:pt idx="100">
                  <c:v>112.77</c:v>
                </c:pt>
                <c:pt idx="101">
                  <c:v>107.25</c:v>
                </c:pt>
                <c:pt idx="102">
                  <c:v>102.66</c:v>
                </c:pt>
                <c:pt idx="103">
                  <c:v>99.1</c:v>
                </c:pt>
                <c:pt idx="104">
                  <c:v>96.5</c:v>
                </c:pt>
                <c:pt idx="105">
                  <c:v>94.75</c:v>
                </c:pt>
                <c:pt idx="106">
                  <c:v>93.67</c:v>
                </c:pt>
                <c:pt idx="107">
                  <c:v>93.13</c:v>
                </c:pt>
                <c:pt idx="108">
                  <c:v>92.9</c:v>
                </c:pt>
                <c:pt idx="109">
                  <c:v>92.81</c:v>
                </c:pt>
                <c:pt idx="110">
                  <c:v>92.7</c:v>
                </c:pt>
                <c:pt idx="111">
                  <c:v>92.64</c:v>
                </c:pt>
                <c:pt idx="112">
                  <c:v>92.62</c:v>
                </c:pt>
                <c:pt idx="113">
                  <c:v>92.61</c:v>
                </c:pt>
                <c:pt idx="114">
                  <c:v>92.61</c:v>
                </c:pt>
                <c:pt idx="115">
                  <c:v>92.56</c:v>
                </c:pt>
                <c:pt idx="116">
                  <c:v>92.43</c:v>
                </c:pt>
                <c:pt idx="117">
                  <c:v>92.23</c:v>
                </c:pt>
                <c:pt idx="118">
                  <c:v>92.02</c:v>
                </c:pt>
                <c:pt idx="119">
                  <c:v>90.59</c:v>
                </c:pt>
                <c:pt idx="120">
                  <c:v>52.27</c:v>
                </c:pt>
                <c:pt idx="121">
                  <c:v>42.05</c:v>
                </c:pt>
                <c:pt idx="122">
                  <c:v>37.04</c:v>
                </c:pt>
                <c:pt idx="123">
                  <c:v>38.950000000000003</c:v>
                </c:pt>
                <c:pt idx="124">
                  <c:v>41.26</c:v>
                </c:pt>
                <c:pt idx="125">
                  <c:v>42.06</c:v>
                </c:pt>
                <c:pt idx="126">
                  <c:v>42.09</c:v>
                </c:pt>
                <c:pt idx="127">
                  <c:v>38.520000000000003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EFB4-4A40-BE30-57047E28A82A}"/>
            </c:ext>
          </c:extLst>
        </c:ser>
        <c:ser>
          <c:idx val="6"/>
          <c:order val="6"/>
          <c:tx>
            <c:strRef>
              <c:f>'DESEMPEÑO  TEMP3'!$BH$30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'DESEMPEÑO  TEMP3'!$B$31:$B$158</c:f>
              <c:numCache>
                <c:formatCode>h:mm:ss\ AM/PM</c:formatCode>
                <c:ptCount val="128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</c:numCache>
            </c:numRef>
          </c:cat>
          <c:val>
            <c:numRef>
              <c:f>'DESEMPEÑO  TEMP3'!$BH$31:$BH$158</c:f>
              <c:numCache>
                <c:formatCode>0.0</c:formatCode>
                <c:ptCount val="128"/>
                <c:pt idx="0">
                  <c:v>23.48</c:v>
                </c:pt>
                <c:pt idx="1">
                  <c:v>23.75</c:v>
                </c:pt>
                <c:pt idx="2">
                  <c:v>25.57</c:v>
                </c:pt>
                <c:pt idx="3">
                  <c:v>24.08</c:v>
                </c:pt>
                <c:pt idx="4">
                  <c:v>24.33</c:v>
                </c:pt>
                <c:pt idx="5">
                  <c:v>24.4</c:v>
                </c:pt>
                <c:pt idx="6">
                  <c:v>24.24</c:v>
                </c:pt>
                <c:pt idx="7">
                  <c:v>24.89</c:v>
                </c:pt>
                <c:pt idx="8">
                  <c:v>23.99</c:v>
                </c:pt>
                <c:pt idx="9">
                  <c:v>23.23</c:v>
                </c:pt>
                <c:pt idx="10">
                  <c:v>23.05</c:v>
                </c:pt>
                <c:pt idx="11">
                  <c:v>22.75</c:v>
                </c:pt>
                <c:pt idx="12">
                  <c:v>22.94</c:v>
                </c:pt>
                <c:pt idx="13">
                  <c:v>23.09</c:v>
                </c:pt>
                <c:pt idx="14">
                  <c:v>20.66</c:v>
                </c:pt>
                <c:pt idx="15">
                  <c:v>20.2</c:v>
                </c:pt>
                <c:pt idx="16">
                  <c:v>20.62</c:v>
                </c:pt>
                <c:pt idx="17">
                  <c:v>21.39</c:v>
                </c:pt>
                <c:pt idx="18">
                  <c:v>21.95</c:v>
                </c:pt>
                <c:pt idx="19">
                  <c:v>22.72</c:v>
                </c:pt>
                <c:pt idx="20">
                  <c:v>23.71</c:v>
                </c:pt>
                <c:pt idx="21">
                  <c:v>27.72</c:v>
                </c:pt>
                <c:pt idx="22">
                  <c:v>46.68</c:v>
                </c:pt>
                <c:pt idx="23">
                  <c:v>60.47</c:v>
                </c:pt>
                <c:pt idx="24">
                  <c:v>70.650000000000006</c:v>
                </c:pt>
                <c:pt idx="25">
                  <c:v>78.52</c:v>
                </c:pt>
                <c:pt idx="26">
                  <c:v>84.27</c:v>
                </c:pt>
                <c:pt idx="27">
                  <c:v>89.19</c:v>
                </c:pt>
                <c:pt idx="28">
                  <c:v>93.49</c:v>
                </c:pt>
                <c:pt idx="29">
                  <c:v>97.23</c:v>
                </c:pt>
                <c:pt idx="30">
                  <c:v>100.46</c:v>
                </c:pt>
                <c:pt idx="31">
                  <c:v>103.33</c:v>
                </c:pt>
                <c:pt idx="32">
                  <c:v>105.9</c:v>
                </c:pt>
                <c:pt idx="33">
                  <c:v>108.22</c:v>
                </c:pt>
                <c:pt idx="34">
                  <c:v>110.29</c:v>
                </c:pt>
                <c:pt idx="35">
                  <c:v>112.22</c:v>
                </c:pt>
                <c:pt idx="36">
                  <c:v>114.03</c:v>
                </c:pt>
                <c:pt idx="37">
                  <c:v>115.44</c:v>
                </c:pt>
                <c:pt idx="38">
                  <c:v>115.64</c:v>
                </c:pt>
                <c:pt idx="39">
                  <c:v>116.91</c:v>
                </c:pt>
                <c:pt idx="40">
                  <c:v>117.7</c:v>
                </c:pt>
                <c:pt idx="41">
                  <c:v>117.93</c:v>
                </c:pt>
                <c:pt idx="42">
                  <c:v>118.77</c:v>
                </c:pt>
                <c:pt idx="43">
                  <c:v>118.89</c:v>
                </c:pt>
                <c:pt idx="44">
                  <c:v>119.49</c:v>
                </c:pt>
                <c:pt idx="45">
                  <c:v>119.94</c:v>
                </c:pt>
                <c:pt idx="46">
                  <c:v>119.94</c:v>
                </c:pt>
                <c:pt idx="47">
                  <c:v>120.49</c:v>
                </c:pt>
                <c:pt idx="48">
                  <c:v>120.22</c:v>
                </c:pt>
                <c:pt idx="49">
                  <c:v>120.83</c:v>
                </c:pt>
                <c:pt idx="50">
                  <c:v>120.38</c:v>
                </c:pt>
                <c:pt idx="51">
                  <c:v>121.22</c:v>
                </c:pt>
                <c:pt idx="52">
                  <c:v>120.76</c:v>
                </c:pt>
                <c:pt idx="53">
                  <c:v>121.36</c:v>
                </c:pt>
                <c:pt idx="54">
                  <c:v>121.58</c:v>
                </c:pt>
                <c:pt idx="55">
                  <c:v>121.35</c:v>
                </c:pt>
                <c:pt idx="56">
                  <c:v>121.69</c:v>
                </c:pt>
                <c:pt idx="57">
                  <c:v>121.28</c:v>
                </c:pt>
                <c:pt idx="58">
                  <c:v>121.91</c:v>
                </c:pt>
                <c:pt idx="59">
                  <c:v>121.19</c:v>
                </c:pt>
                <c:pt idx="60">
                  <c:v>122.08</c:v>
                </c:pt>
                <c:pt idx="61">
                  <c:v>121.68</c:v>
                </c:pt>
                <c:pt idx="62">
                  <c:v>121.92</c:v>
                </c:pt>
                <c:pt idx="63">
                  <c:v>122.26</c:v>
                </c:pt>
                <c:pt idx="64">
                  <c:v>121.72</c:v>
                </c:pt>
                <c:pt idx="65">
                  <c:v>122.3</c:v>
                </c:pt>
                <c:pt idx="66">
                  <c:v>121.5</c:v>
                </c:pt>
                <c:pt idx="67">
                  <c:v>122.3</c:v>
                </c:pt>
                <c:pt idx="68">
                  <c:v>122.41</c:v>
                </c:pt>
                <c:pt idx="69">
                  <c:v>122.1</c:v>
                </c:pt>
                <c:pt idx="70">
                  <c:v>122.51</c:v>
                </c:pt>
                <c:pt idx="71">
                  <c:v>121.83</c:v>
                </c:pt>
                <c:pt idx="72">
                  <c:v>122.64</c:v>
                </c:pt>
                <c:pt idx="73">
                  <c:v>121.64</c:v>
                </c:pt>
                <c:pt idx="74">
                  <c:v>122.44</c:v>
                </c:pt>
                <c:pt idx="75">
                  <c:v>122.59</c:v>
                </c:pt>
                <c:pt idx="76">
                  <c:v>122.04</c:v>
                </c:pt>
                <c:pt idx="77">
                  <c:v>122.72</c:v>
                </c:pt>
                <c:pt idx="78">
                  <c:v>121.83</c:v>
                </c:pt>
                <c:pt idx="79">
                  <c:v>122.78</c:v>
                </c:pt>
                <c:pt idx="80">
                  <c:v>121.7</c:v>
                </c:pt>
                <c:pt idx="81">
                  <c:v>122.75</c:v>
                </c:pt>
                <c:pt idx="82">
                  <c:v>121.67</c:v>
                </c:pt>
                <c:pt idx="83">
                  <c:v>122.69</c:v>
                </c:pt>
                <c:pt idx="84">
                  <c:v>121.76</c:v>
                </c:pt>
                <c:pt idx="85">
                  <c:v>122.59</c:v>
                </c:pt>
                <c:pt idx="86">
                  <c:v>122.15</c:v>
                </c:pt>
                <c:pt idx="87">
                  <c:v>122.53</c:v>
                </c:pt>
                <c:pt idx="88">
                  <c:v>122.33</c:v>
                </c:pt>
                <c:pt idx="89">
                  <c:v>122.46</c:v>
                </c:pt>
                <c:pt idx="90">
                  <c:v>122.85</c:v>
                </c:pt>
                <c:pt idx="91">
                  <c:v>122.33</c:v>
                </c:pt>
                <c:pt idx="92">
                  <c:v>122.85</c:v>
                </c:pt>
                <c:pt idx="93">
                  <c:v>122.16</c:v>
                </c:pt>
                <c:pt idx="94">
                  <c:v>122.89</c:v>
                </c:pt>
                <c:pt idx="95">
                  <c:v>122.05</c:v>
                </c:pt>
                <c:pt idx="96">
                  <c:v>122.78</c:v>
                </c:pt>
                <c:pt idx="97">
                  <c:v>121.96</c:v>
                </c:pt>
                <c:pt idx="98">
                  <c:v>122.65</c:v>
                </c:pt>
                <c:pt idx="99">
                  <c:v>117.34</c:v>
                </c:pt>
                <c:pt idx="100">
                  <c:v>111.34</c:v>
                </c:pt>
                <c:pt idx="101">
                  <c:v>105.97</c:v>
                </c:pt>
                <c:pt idx="102">
                  <c:v>101.57</c:v>
                </c:pt>
                <c:pt idx="103">
                  <c:v>98.13</c:v>
                </c:pt>
                <c:pt idx="104">
                  <c:v>95.62</c:v>
                </c:pt>
                <c:pt idx="105">
                  <c:v>94.06</c:v>
                </c:pt>
                <c:pt idx="106">
                  <c:v>93.04</c:v>
                </c:pt>
                <c:pt idx="107">
                  <c:v>92.67</c:v>
                </c:pt>
                <c:pt idx="108">
                  <c:v>92.5</c:v>
                </c:pt>
                <c:pt idx="109">
                  <c:v>92.42</c:v>
                </c:pt>
                <c:pt idx="110">
                  <c:v>92.35</c:v>
                </c:pt>
                <c:pt idx="111">
                  <c:v>92.27</c:v>
                </c:pt>
                <c:pt idx="112">
                  <c:v>92.33</c:v>
                </c:pt>
                <c:pt idx="113">
                  <c:v>92.3</c:v>
                </c:pt>
                <c:pt idx="114">
                  <c:v>92.25</c:v>
                </c:pt>
                <c:pt idx="115">
                  <c:v>92.21</c:v>
                </c:pt>
                <c:pt idx="116">
                  <c:v>91.97</c:v>
                </c:pt>
                <c:pt idx="117">
                  <c:v>91.94</c:v>
                </c:pt>
                <c:pt idx="118">
                  <c:v>91.62</c:v>
                </c:pt>
                <c:pt idx="119">
                  <c:v>90.88</c:v>
                </c:pt>
                <c:pt idx="120">
                  <c:v>90.38</c:v>
                </c:pt>
                <c:pt idx="121">
                  <c:v>89.93</c:v>
                </c:pt>
                <c:pt idx="122">
                  <c:v>89.55</c:v>
                </c:pt>
                <c:pt idx="123">
                  <c:v>88.93</c:v>
                </c:pt>
                <c:pt idx="124">
                  <c:v>86.62</c:v>
                </c:pt>
                <c:pt idx="125">
                  <c:v>36.020000000000003</c:v>
                </c:pt>
                <c:pt idx="126">
                  <c:v>32.61</c:v>
                </c:pt>
                <c:pt idx="127">
                  <c:v>30.62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EFB4-4A40-BE30-57047E28A82A}"/>
            </c:ext>
          </c:extLst>
        </c:ser>
        <c:ser>
          <c:idx val="7"/>
          <c:order val="7"/>
          <c:tx>
            <c:strRef>
              <c:f>'DESEMPEÑO  TEMP3'!$BI$30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'DESEMPEÑO  TEMP3'!$B$31:$B$158</c:f>
              <c:numCache>
                <c:formatCode>h:mm:ss\ AM/PM</c:formatCode>
                <c:ptCount val="128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</c:numCache>
            </c:numRef>
          </c:cat>
          <c:val>
            <c:numRef>
              <c:f>'DESEMPEÑO  TEMP3'!$BI$31:$BI$158</c:f>
              <c:numCache>
                <c:formatCode>0.0</c:formatCode>
                <c:ptCount val="128"/>
                <c:pt idx="0">
                  <c:v>23.81</c:v>
                </c:pt>
                <c:pt idx="1">
                  <c:v>24</c:v>
                </c:pt>
                <c:pt idx="2">
                  <c:v>24.19</c:v>
                </c:pt>
                <c:pt idx="3">
                  <c:v>24.11</c:v>
                </c:pt>
                <c:pt idx="4">
                  <c:v>28.81</c:v>
                </c:pt>
                <c:pt idx="5">
                  <c:v>25.25</c:v>
                </c:pt>
                <c:pt idx="6">
                  <c:v>24.94</c:v>
                </c:pt>
                <c:pt idx="7">
                  <c:v>24.99</c:v>
                </c:pt>
                <c:pt idx="8">
                  <c:v>26.2</c:v>
                </c:pt>
                <c:pt idx="9">
                  <c:v>23.53</c:v>
                </c:pt>
                <c:pt idx="10">
                  <c:v>23.14</c:v>
                </c:pt>
                <c:pt idx="11">
                  <c:v>22.86</c:v>
                </c:pt>
                <c:pt idx="12">
                  <c:v>23.03</c:v>
                </c:pt>
                <c:pt idx="13">
                  <c:v>23.12</c:v>
                </c:pt>
                <c:pt idx="14">
                  <c:v>23.04</c:v>
                </c:pt>
                <c:pt idx="15">
                  <c:v>24.23</c:v>
                </c:pt>
                <c:pt idx="16">
                  <c:v>24.13</c:v>
                </c:pt>
                <c:pt idx="17">
                  <c:v>29.36</c:v>
                </c:pt>
                <c:pt idx="18">
                  <c:v>31.03</c:v>
                </c:pt>
                <c:pt idx="19">
                  <c:v>44.58</c:v>
                </c:pt>
                <c:pt idx="20">
                  <c:v>55.96</c:v>
                </c:pt>
                <c:pt idx="21">
                  <c:v>81.349999999999994</c:v>
                </c:pt>
                <c:pt idx="22">
                  <c:v>95.31</c:v>
                </c:pt>
                <c:pt idx="23">
                  <c:v>104.76</c:v>
                </c:pt>
                <c:pt idx="24">
                  <c:v>108.48</c:v>
                </c:pt>
                <c:pt idx="25">
                  <c:v>111.65</c:v>
                </c:pt>
                <c:pt idx="26">
                  <c:v>113.85</c:v>
                </c:pt>
                <c:pt idx="27">
                  <c:v>115.8</c:v>
                </c:pt>
                <c:pt idx="28">
                  <c:v>117.68</c:v>
                </c:pt>
                <c:pt idx="29">
                  <c:v>118.94</c:v>
                </c:pt>
                <c:pt idx="30">
                  <c:v>120.03</c:v>
                </c:pt>
                <c:pt idx="31">
                  <c:v>121.26</c:v>
                </c:pt>
                <c:pt idx="32">
                  <c:v>122.33</c:v>
                </c:pt>
                <c:pt idx="33">
                  <c:v>123.3</c:v>
                </c:pt>
                <c:pt idx="34">
                  <c:v>124.26</c:v>
                </c:pt>
                <c:pt idx="35">
                  <c:v>125.34</c:v>
                </c:pt>
                <c:pt idx="36">
                  <c:v>126.5</c:v>
                </c:pt>
                <c:pt idx="37">
                  <c:v>124.78</c:v>
                </c:pt>
                <c:pt idx="38">
                  <c:v>121.87</c:v>
                </c:pt>
                <c:pt idx="39">
                  <c:v>123.56</c:v>
                </c:pt>
                <c:pt idx="40">
                  <c:v>123.26</c:v>
                </c:pt>
                <c:pt idx="41">
                  <c:v>122.65</c:v>
                </c:pt>
                <c:pt idx="42">
                  <c:v>123.85</c:v>
                </c:pt>
                <c:pt idx="43">
                  <c:v>122.64</c:v>
                </c:pt>
                <c:pt idx="44">
                  <c:v>123.59</c:v>
                </c:pt>
                <c:pt idx="45">
                  <c:v>123.29</c:v>
                </c:pt>
                <c:pt idx="46">
                  <c:v>122.73</c:v>
                </c:pt>
                <c:pt idx="47">
                  <c:v>123.16</c:v>
                </c:pt>
                <c:pt idx="48">
                  <c:v>122.42</c:v>
                </c:pt>
                <c:pt idx="49">
                  <c:v>123.12</c:v>
                </c:pt>
                <c:pt idx="50">
                  <c:v>122.2</c:v>
                </c:pt>
                <c:pt idx="51">
                  <c:v>123.22</c:v>
                </c:pt>
                <c:pt idx="52">
                  <c:v>122.3</c:v>
                </c:pt>
                <c:pt idx="53">
                  <c:v>123.07</c:v>
                </c:pt>
                <c:pt idx="54">
                  <c:v>123.03</c:v>
                </c:pt>
                <c:pt idx="55">
                  <c:v>122.9</c:v>
                </c:pt>
                <c:pt idx="56">
                  <c:v>123.01</c:v>
                </c:pt>
                <c:pt idx="57">
                  <c:v>122.36</c:v>
                </c:pt>
                <c:pt idx="58">
                  <c:v>123.03</c:v>
                </c:pt>
                <c:pt idx="59">
                  <c:v>122.03</c:v>
                </c:pt>
                <c:pt idx="60">
                  <c:v>123.07</c:v>
                </c:pt>
                <c:pt idx="61">
                  <c:v>122.4</c:v>
                </c:pt>
                <c:pt idx="62">
                  <c:v>122.76</c:v>
                </c:pt>
                <c:pt idx="63">
                  <c:v>123.01</c:v>
                </c:pt>
                <c:pt idx="64">
                  <c:v>122.37</c:v>
                </c:pt>
                <c:pt idx="65">
                  <c:v>122.99</c:v>
                </c:pt>
                <c:pt idx="66">
                  <c:v>121.96</c:v>
                </c:pt>
                <c:pt idx="67">
                  <c:v>122.89</c:v>
                </c:pt>
                <c:pt idx="68">
                  <c:v>122.86</c:v>
                </c:pt>
                <c:pt idx="69">
                  <c:v>122.55</c:v>
                </c:pt>
                <c:pt idx="70">
                  <c:v>122.95</c:v>
                </c:pt>
                <c:pt idx="71">
                  <c:v>122.17</c:v>
                </c:pt>
                <c:pt idx="72">
                  <c:v>123.05</c:v>
                </c:pt>
                <c:pt idx="73">
                  <c:v>121.86</c:v>
                </c:pt>
                <c:pt idx="74">
                  <c:v>122.78</c:v>
                </c:pt>
                <c:pt idx="75">
                  <c:v>122.89</c:v>
                </c:pt>
                <c:pt idx="76">
                  <c:v>122.29</c:v>
                </c:pt>
                <c:pt idx="77">
                  <c:v>123.02</c:v>
                </c:pt>
                <c:pt idx="78">
                  <c:v>122</c:v>
                </c:pt>
                <c:pt idx="79">
                  <c:v>123.06</c:v>
                </c:pt>
                <c:pt idx="80">
                  <c:v>121.82</c:v>
                </c:pt>
                <c:pt idx="81">
                  <c:v>122.99</c:v>
                </c:pt>
                <c:pt idx="82">
                  <c:v>121.76</c:v>
                </c:pt>
                <c:pt idx="83">
                  <c:v>122.9</c:v>
                </c:pt>
                <c:pt idx="84">
                  <c:v>121.82</c:v>
                </c:pt>
                <c:pt idx="85">
                  <c:v>122.78</c:v>
                </c:pt>
                <c:pt idx="86">
                  <c:v>122.23</c:v>
                </c:pt>
                <c:pt idx="87">
                  <c:v>122.7</c:v>
                </c:pt>
                <c:pt idx="88">
                  <c:v>122.42</c:v>
                </c:pt>
                <c:pt idx="89">
                  <c:v>122.6</c:v>
                </c:pt>
                <c:pt idx="90">
                  <c:v>123.01</c:v>
                </c:pt>
                <c:pt idx="91">
                  <c:v>122.45</c:v>
                </c:pt>
                <c:pt idx="92">
                  <c:v>123.01</c:v>
                </c:pt>
                <c:pt idx="93">
                  <c:v>122.25</c:v>
                </c:pt>
                <c:pt idx="94">
                  <c:v>123.04</c:v>
                </c:pt>
                <c:pt idx="95">
                  <c:v>122.12</c:v>
                </c:pt>
                <c:pt idx="96">
                  <c:v>122.93</c:v>
                </c:pt>
                <c:pt idx="97">
                  <c:v>122.02</c:v>
                </c:pt>
                <c:pt idx="98">
                  <c:v>122.79</c:v>
                </c:pt>
                <c:pt idx="99">
                  <c:v>116.9</c:v>
                </c:pt>
                <c:pt idx="100">
                  <c:v>110.96</c:v>
                </c:pt>
                <c:pt idx="101">
                  <c:v>105.95</c:v>
                </c:pt>
                <c:pt idx="102">
                  <c:v>103.38</c:v>
                </c:pt>
                <c:pt idx="103">
                  <c:v>101.27</c:v>
                </c:pt>
                <c:pt idx="104">
                  <c:v>100.14</c:v>
                </c:pt>
                <c:pt idx="105">
                  <c:v>102.85</c:v>
                </c:pt>
                <c:pt idx="106">
                  <c:v>103.89</c:v>
                </c:pt>
                <c:pt idx="107">
                  <c:v>104.64</c:v>
                </c:pt>
                <c:pt idx="108">
                  <c:v>105.13</c:v>
                </c:pt>
                <c:pt idx="109">
                  <c:v>105.4</c:v>
                </c:pt>
                <c:pt idx="110">
                  <c:v>105.53</c:v>
                </c:pt>
                <c:pt idx="111">
                  <c:v>105.55</c:v>
                </c:pt>
                <c:pt idx="112">
                  <c:v>105.56</c:v>
                </c:pt>
                <c:pt idx="113">
                  <c:v>105.49</c:v>
                </c:pt>
                <c:pt idx="114">
                  <c:v>105.38</c:v>
                </c:pt>
                <c:pt idx="115">
                  <c:v>105.27</c:v>
                </c:pt>
                <c:pt idx="116">
                  <c:v>90.62</c:v>
                </c:pt>
                <c:pt idx="117">
                  <c:v>44.35</c:v>
                </c:pt>
                <c:pt idx="118">
                  <c:v>32.729999999999997</c:v>
                </c:pt>
                <c:pt idx="119">
                  <c:v>32.89</c:v>
                </c:pt>
                <c:pt idx="120">
                  <c:v>32.71</c:v>
                </c:pt>
                <c:pt idx="121">
                  <c:v>33.4</c:v>
                </c:pt>
                <c:pt idx="122">
                  <c:v>32.71</c:v>
                </c:pt>
                <c:pt idx="123">
                  <c:v>31.78</c:v>
                </c:pt>
                <c:pt idx="124">
                  <c:v>31.37</c:v>
                </c:pt>
                <c:pt idx="125">
                  <c:v>32.01</c:v>
                </c:pt>
                <c:pt idx="126">
                  <c:v>31.1</c:v>
                </c:pt>
                <c:pt idx="127">
                  <c:v>30.8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EFB4-4A40-BE30-57047E28A82A}"/>
            </c:ext>
          </c:extLst>
        </c:ser>
        <c:ser>
          <c:idx val="8"/>
          <c:order val="8"/>
          <c:tx>
            <c:strRef>
              <c:f>'DESEMPEÑO  TEMP3'!$BJ$30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'DESEMPEÑO  TEMP3'!$B$31:$B$158</c:f>
              <c:numCache>
                <c:formatCode>h:mm:ss\ AM/PM</c:formatCode>
                <c:ptCount val="128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</c:numCache>
            </c:numRef>
          </c:cat>
          <c:val>
            <c:numRef>
              <c:f>'DESEMPEÑO  TEMP3'!$BJ$31:$BJ$158</c:f>
              <c:numCache>
                <c:formatCode>0.0</c:formatCode>
                <c:ptCount val="128"/>
                <c:pt idx="0">
                  <c:v>23.51</c:v>
                </c:pt>
                <c:pt idx="1">
                  <c:v>23.58</c:v>
                </c:pt>
                <c:pt idx="2">
                  <c:v>23.95</c:v>
                </c:pt>
                <c:pt idx="3">
                  <c:v>23.84</c:v>
                </c:pt>
                <c:pt idx="4">
                  <c:v>24.07</c:v>
                </c:pt>
                <c:pt idx="5">
                  <c:v>24.18</c:v>
                </c:pt>
                <c:pt idx="6">
                  <c:v>25.04</c:v>
                </c:pt>
                <c:pt idx="7">
                  <c:v>27.71</c:v>
                </c:pt>
                <c:pt idx="8">
                  <c:v>26.99</c:v>
                </c:pt>
                <c:pt idx="9">
                  <c:v>23.53</c:v>
                </c:pt>
                <c:pt idx="10">
                  <c:v>23.02</c:v>
                </c:pt>
                <c:pt idx="11">
                  <c:v>22.66</c:v>
                </c:pt>
                <c:pt idx="12">
                  <c:v>22.83</c:v>
                </c:pt>
                <c:pt idx="13">
                  <c:v>22.93</c:v>
                </c:pt>
                <c:pt idx="14">
                  <c:v>22.87</c:v>
                </c:pt>
                <c:pt idx="15">
                  <c:v>23.99</c:v>
                </c:pt>
                <c:pt idx="16">
                  <c:v>23.9</c:v>
                </c:pt>
                <c:pt idx="17">
                  <c:v>23.9</c:v>
                </c:pt>
                <c:pt idx="18">
                  <c:v>30.77</c:v>
                </c:pt>
                <c:pt idx="19">
                  <c:v>46.36</c:v>
                </c:pt>
                <c:pt idx="20">
                  <c:v>58.38</c:v>
                </c:pt>
                <c:pt idx="21">
                  <c:v>84.58</c:v>
                </c:pt>
                <c:pt idx="22">
                  <c:v>94.9</c:v>
                </c:pt>
                <c:pt idx="23">
                  <c:v>102.45</c:v>
                </c:pt>
                <c:pt idx="24">
                  <c:v>109.33</c:v>
                </c:pt>
                <c:pt idx="25">
                  <c:v>111.14</c:v>
                </c:pt>
                <c:pt idx="26">
                  <c:v>113.59</c:v>
                </c:pt>
                <c:pt idx="27">
                  <c:v>114.64</c:v>
                </c:pt>
                <c:pt idx="28">
                  <c:v>117.08</c:v>
                </c:pt>
                <c:pt idx="29">
                  <c:v>116.65</c:v>
                </c:pt>
                <c:pt idx="30">
                  <c:v>118.84</c:v>
                </c:pt>
                <c:pt idx="31">
                  <c:v>118.92</c:v>
                </c:pt>
                <c:pt idx="32">
                  <c:v>120.43</c:v>
                </c:pt>
                <c:pt idx="33">
                  <c:v>121.88</c:v>
                </c:pt>
                <c:pt idx="34">
                  <c:v>122.96</c:v>
                </c:pt>
                <c:pt idx="35">
                  <c:v>123.14</c:v>
                </c:pt>
                <c:pt idx="36">
                  <c:v>123.55</c:v>
                </c:pt>
                <c:pt idx="37">
                  <c:v>123.52</c:v>
                </c:pt>
                <c:pt idx="38">
                  <c:v>121.46</c:v>
                </c:pt>
                <c:pt idx="39">
                  <c:v>122.79</c:v>
                </c:pt>
                <c:pt idx="40">
                  <c:v>123.17</c:v>
                </c:pt>
                <c:pt idx="41">
                  <c:v>122.02</c:v>
                </c:pt>
                <c:pt idx="42">
                  <c:v>123.02</c:v>
                </c:pt>
                <c:pt idx="43">
                  <c:v>122.46</c:v>
                </c:pt>
                <c:pt idx="44">
                  <c:v>122.6</c:v>
                </c:pt>
                <c:pt idx="45">
                  <c:v>122.98</c:v>
                </c:pt>
                <c:pt idx="46">
                  <c:v>122.3</c:v>
                </c:pt>
                <c:pt idx="47">
                  <c:v>122.99</c:v>
                </c:pt>
                <c:pt idx="48">
                  <c:v>122.09</c:v>
                </c:pt>
                <c:pt idx="49">
                  <c:v>122.83</c:v>
                </c:pt>
                <c:pt idx="50">
                  <c:v>121.95</c:v>
                </c:pt>
                <c:pt idx="51">
                  <c:v>123</c:v>
                </c:pt>
                <c:pt idx="52">
                  <c:v>122.19</c:v>
                </c:pt>
                <c:pt idx="53">
                  <c:v>122.8</c:v>
                </c:pt>
                <c:pt idx="54">
                  <c:v>122.99</c:v>
                </c:pt>
                <c:pt idx="55">
                  <c:v>122.52</c:v>
                </c:pt>
                <c:pt idx="56">
                  <c:v>122.83</c:v>
                </c:pt>
                <c:pt idx="57">
                  <c:v>122.18</c:v>
                </c:pt>
                <c:pt idx="58">
                  <c:v>122.89</c:v>
                </c:pt>
                <c:pt idx="59">
                  <c:v>121.86</c:v>
                </c:pt>
                <c:pt idx="60">
                  <c:v>122.92</c:v>
                </c:pt>
                <c:pt idx="61">
                  <c:v>122.38</c:v>
                </c:pt>
                <c:pt idx="62">
                  <c:v>122.57</c:v>
                </c:pt>
                <c:pt idx="63">
                  <c:v>122.91</c:v>
                </c:pt>
                <c:pt idx="64">
                  <c:v>122.2</c:v>
                </c:pt>
                <c:pt idx="65">
                  <c:v>122.85</c:v>
                </c:pt>
                <c:pt idx="66">
                  <c:v>121.82</c:v>
                </c:pt>
                <c:pt idx="67">
                  <c:v>122.76</c:v>
                </c:pt>
                <c:pt idx="68">
                  <c:v>122.91</c:v>
                </c:pt>
                <c:pt idx="69">
                  <c:v>122.41</c:v>
                </c:pt>
                <c:pt idx="70">
                  <c:v>122.89</c:v>
                </c:pt>
                <c:pt idx="71">
                  <c:v>122.04</c:v>
                </c:pt>
                <c:pt idx="72">
                  <c:v>122.98</c:v>
                </c:pt>
                <c:pt idx="73">
                  <c:v>121.75</c:v>
                </c:pt>
                <c:pt idx="74">
                  <c:v>122.67</c:v>
                </c:pt>
                <c:pt idx="75">
                  <c:v>122.93</c:v>
                </c:pt>
                <c:pt idx="76">
                  <c:v>122.17</c:v>
                </c:pt>
                <c:pt idx="77">
                  <c:v>122.93</c:v>
                </c:pt>
                <c:pt idx="78">
                  <c:v>121.89</c:v>
                </c:pt>
                <c:pt idx="79">
                  <c:v>122.98</c:v>
                </c:pt>
                <c:pt idx="80">
                  <c:v>121.7</c:v>
                </c:pt>
                <c:pt idx="81">
                  <c:v>122.9</c:v>
                </c:pt>
                <c:pt idx="82">
                  <c:v>121.65</c:v>
                </c:pt>
                <c:pt idx="83">
                  <c:v>122.78</c:v>
                </c:pt>
                <c:pt idx="84">
                  <c:v>121.76</c:v>
                </c:pt>
                <c:pt idx="85">
                  <c:v>122.67</c:v>
                </c:pt>
                <c:pt idx="86">
                  <c:v>122.26</c:v>
                </c:pt>
                <c:pt idx="87">
                  <c:v>122.59</c:v>
                </c:pt>
                <c:pt idx="88">
                  <c:v>122.46</c:v>
                </c:pt>
                <c:pt idx="89">
                  <c:v>122.48</c:v>
                </c:pt>
                <c:pt idx="90">
                  <c:v>122.98</c:v>
                </c:pt>
                <c:pt idx="91">
                  <c:v>122.34</c:v>
                </c:pt>
                <c:pt idx="92">
                  <c:v>122.96</c:v>
                </c:pt>
                <c:pt idx="93">
                  <c:v>122.14</c:v>
                </c:pt>
                <c:pt idx="94">
                  <c:v>122.97</c:v>
                </c:pt>
                <c:pt idx="95">
                  <c:v>122.01</c:v>
                </c:pt>
                <c:pt idx="96">
                  <c:v>122.83</c:v>
                </c:pt>
                <c:pt idx="97">
                  <c:v>121.92</c:v>
                </c:pt>
                <c:pt idx="98">
                  <c:v>122.66</c:v>
                </c:pt>
                <c:pt idx="99">
                  <c:v>116.66</c:v>
                </c:pt>
                <c:pt idx="100">
                  <c:v>110.7</c:v>
                </c:pt>
                <c:pt idx="101">
                  <c:v>105.37</c:v>
                </c:pt>
                <c:pt idx="102">
                  <c:v>101.09</c:v>
                </c:pt>
                <c:pt idx="103">
                  <c:v>98.03</c:v>
                </c:pt>
                <c:pt idx="104">
                  <c:v>95.7</c:v>
                </c:pt>
                <c:pt idx="105">
                  <c:v>94.23</c:v>
                </c:pt>
                <c:pt idx="106">
                  <c:v>93.36</c:v>
                </c:pt>
                <c:pt idx="107">
                  <c:v>93.06</c:v>
                </c:pt>
                <c:pt idx="108">
                  <c:v>92.92</c:v>
                </c:pt>
                <c:pt idx="109">
                  <c:v>92.89</c:v>
                </c:pt>
                <c:pt idx="110">
                  <c:v>93.12</c:v>
                </c:pt>
                <c:pt idx="111">
                  <c:v>100.1</c:v>
                </c:pt>
                <c:pt idx="112">
                  <c:v>103.73</c:v>
                </c:pt>
                <c:pt idx="113">
                  <c:v>104.82</c:v>
                </c:pt>
                <c:pt idx="114">
                  <c:v>105.15</c:v>
                </c:pt>
                <c:pt idx="115">
                  <c:v>105.29</c:v>
                </c:pt>
                <c:pt idx="116">
                  <c:v>81.59</c:v>
                </c:pt>
                <c:pt idx="117">
                  <c:v>36.99</c:v>
                </c:pt>
                <c:pt idx="118">
                  <c:v>32.450000000000003</c:v>
                </c:pt>
                <c:pt idx="119">
                  <c:v>32.03</c:v>
                </c:pt>
                <c:pt idx="120">
                  <c:v>31.79</c:v>
                </c:pt>
                <c:pt idx="121">
                  <c:v>31.81</c:v>
                </c:pt>
                <c:pt idx="122">
                  <c:v>31.97</c:v>
                </c:pt>
                <c:pt idx="123">
                  <c:v>35.1</c:v>
                </c:pt>
                <c:pt idx="124">
                  <c:v>36.08</c:v>
                </c:pt>
                <c:pt idx="125">
                  <c:v>35</c:v>
                </c:pt>
                <c:pt idx="126">
                  <c:v>33.36</c:v>
                </c:pt>
                <c:pt idx="127">
                  <c:v>34.22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EFB4-4A40-BE30-57047E28A82A}"/>
            </c:ext>
          </c:extLst>
        </c:ser>
        <c:ser>
          <c:idx val="9"/>
          <c:order val="9"/>
          <c:tx>
            <c:strRef>
              <c:f>'DESEMPEÑO  TEMP3'!$BK$30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'DESEMPEÑO  TEMP3'!$B$31:$B$158</c:f>
              <c:numCache>
                <c:formatCode>h:mm:ss\ AM/PM</c:formatCode>
                <c:ptCount val="128"/>
                <c:pt idx="0">
                  <c:v>0.45833333333333331</c:v>
                </c:pt>
                <c:pt idx="1">
                  <c:v>0.45868055555555554</c:v>
                </c:pt>
                <c:pt idx="2">
                  <c:v>0.45902777777777781</c:v>
                </c:pt>
                <c:pt idx="3">
                  <c:v>0.45937500000000003</c:v>
                </c:pt>
                <c:pt idx="4">
                  <c:v>0.4597222222222222</c:v>
                </c:pt>
                <c:pt idx="5">
                  <c:v>0.46006944444444442</c:v>
                </c:pt>
                <c:pt idx="6">
                  <c:v>0.4604166666666667</c:v>
                </c:pt>
                <c:pt idx="7">
                  <c:v>0.46076388888888892</c:v>
                </c:pt>
                <c:pt idx="8">
                  <c:v>0.46111111111111108</c:v>
                </c:pt>
                <c:pt idx="9">
                  <c:v>0.4614583333333333</c:v>
                </c:pt>
                <c:pt idx="10">
                  <c:v>0.46180555555555558</c:v>
                </c:pt>
                <c:pt idx="11">
                  <c:v>0.4621527777777778</c:v>
                </c:pt>
                <c:pt idx="12">
                  <c:v>0.46249999999999997</c:v>
                </c:pt>
                <c:pt idx="13">
                  <c:v>0.46284722222222219</c:v>
                </c:pt>
                <c:pt idx="14">
                  <c:v>0.46319444444444446</c:v>
                </c:pt>
                <c:pt idx="15">
                  <c:v>0.46354166666666669</c:v>
                </c:pt>
                <c:pt idx="16">
                  <c:v>0.46388888888888885</c:v>
                </c:pt>
                <c:pt idx="17">
                  <c:v>0.46423611111111113</c:v>
                </c:pt>
                <c:pt idx="18">
                  <c:v>0.46458333333333335</c:v>
                </c:pt>
                <c:pt idx="19">
                  <c:v>0.46493055555555557</c:v>
                </c:pt>
                <c:pt idx="20">
                  <c:v>0.46527777777777773</c:v>
                </c:pt>
                <c:pt idx="21">
                  <c:v>0.46562500000000001</c:v>
                </c:pt>
                <c:pt idx="22">
                  <c:v>0.46597222222222223</c:v>
                </c:pt>
                <c:pt idx="23">
                  <c:v>0.46631944444444445</c:v>
                </c:pt>
                <c:pt idx="24">
                  <c:v>0.46666666666666662</c:v>
                </c:pt>
                <c:pt idx="25">
                  <c:v>0.4670138888888889</c:v>
                </c:pt>
                <c:pt idx="26">
                  <c:v>0.46736111111111112</c:v>
                </c:pt>
                <c:pt idx="27">
                  <c:v>0.46770833333333334</c:v>
                </c:pt>
                <c:pt idx="28">
                  <c:v>0.4680555555555555</c:v>
                </c:pt>
                <c:pt idx="29">
                  <c:v>0.46840277777777778</c:v>
                </c:pt>
                <c:pt idx="30">
                  <c:v>0.46875</c:v>
                </c:pt>
                <c:pt idx="31">
                  <c:v>0.46909722222222222</c:v>
                </c:pt>
                <c:pt idx="32">
                  <c:v>0.4694444444444445</c:v>
                </c:pt>
                <c:pt idx="33">
                  <c:v>0.46979166666666666</c:v>
                </c:pt>
                <c:pt idx="34">
                  <c:v>0.47013888888888888</c:v>
                </c:pt>
                <c:pt idx="35">
                  <c:v>0.4704861111111111</c:v>
                </c:pt>
                <c:pt idx="36">
                  <c:v>0.47083333333333338</c:v>
                </c:pt>
                <c:pt idx="37">
                  <c:v>0.47118055555555555</c:v>
                </c:pt>
                <c:pt idx="38">
                  <c:v>0.47152777777777777</c:v>
                </c:pt>
                <c:pt idx="39">
                  <c:v>0.47187499999999999</c:v>
                </c:pt>
                <c:pt idx="40">
                  <c:v>0.47222222222222227</c:v>
                </c:pt>
                <c:pt idx="41">
                  <c:v>0.47256944444444443</c:v>
                </c:pt>
                <c:pt idx="42">
                  <c:v>0.47291666666666665</c:v>
                </c:pt>
                <c:pt idx="43">
                  <c:v>0.47326388888888887</c:v>
                </c:pt>
                <c:pt idx="44">
                  <c:v>0.47361111111111115</c:v>
                </c:pt>
                <c:pt idx="45">
                  <c:v>0.47395833333333331</c:v>
                </c:pt>
                <c:pt idx="46">
                  <c:v>0.47430555555555554</c:v>
                </c:pt>
                <c:pt idx="47">
                  <c:v>0.47465277777777781</c:v>
                </c:pt>
                <c:pt idx="48">
                  <c:v>0.47500000000000003</c:v>
                </c:pt>
                <c:pt idx="49">
                  <c:v>0.4753472222222222</c:v>
                </c:pt>
                <c:pt idx="50">
                  <c:v>0.47569444444444442</c:v>
                </c:pt>
                <c:pt idx="51">
                  <c:v>0.4760416666666667</c:v>
                </c:pt>
                <c:pt idx="52">
                  <c:v>0.47638888888888892</c:v>
                </c:pt>
                <c:pt idx="53">
                  <c:v>0.47673611111111108</c:v>
                </c:pt>
                <c:pt idx="54">
                  <c:v>0.4770833333333333</c:v>
                </c:pt>
                <c:pt idx="55">
                  <c:v>0.47743055555555558</c:v>
                </c:pt>
                <c:pt idx="56">
                  <c:v>0.4777777777777778</c:v>
                </c:pt>
                <c:pt idx="57">
                  <c:v>0.47812499999999997</c:v>
                </c:pt>
                <c:pt idx="58">
                  <c:v>0.47847222222222219</c:v>
                </c:pt>
                <c:pt idx="59">
                  <c:v>0.47881944444444446</c:v>
                </c:pt>
                <c:pt idx="60">
                  <c:v>0.47916666666666669</c:v>
                </c:pt>
                <c:pt idx="61">
                  <c:v>0.47951388888888885</c:v>
                </c:pt>
                <c:pt idx="62">
                  <c:v>0.47986111111111113</c:v>
                </c:pt>
                <c:pt idx="63">
                  <c:v>0.48020833333333335</c:v>
                </c:pt>
                <c:pt idx="64">
                  <c:v>0.48055555555555557</c:v>
                </c:pt>
                <c:pt idx="65">
                  <c:v>0.48090277777777773</c:v>
                </c:pt>
                <c:pt idx="66">
                  <c:v>0.48125000000000001</c:v>
                </c:pt>
                <c:pt idx="67">
                  <c:v>0.48159722222222223</c:v>
                </c:pt>
                <c:pt idx="68">
                  <c:v>0.48194444444444445</c:v>
                </c:pt>
                <c:pt idx="69">
                  <c:v>0.48229166666666662</c:v>
                </c:pt>
                <c:pt idx="70">
                  <c:v>0.4826388888888889</c:v>
                </c:pt>
                <c:pt idx="71">
                  <c:v>0.48298611111111112</c:v>
                </c:pt>
                <c:pt idx="72">
                  <c:v>0.48333333333333334</c:v>
                </c:pt>
                <c:pt idx="73">
                  <c:v>0.4836805555555555</c:v>
                </c:pt>
                <c:pt idx="74">
                  <c:v>0.48402777777777778</c:v>
                </c:pt>
                <c:pt idx="75">
                  <c:v>0.484375</c:v>
                </c:pt>
                <c:pt idx="76">
                  <c:v>0.48472222222222222</c:v>
                </c:pt>
                <c:pt idx="77">
                  <c:v>0.4850694444444445</c:v>
                </c:pt>
                <c:pt idx="78">
                  <c:v>0.48541666666666666</c:v>
                </c:pt>
                <c:pt idx="79">
                  <c:v>0.48576388888888888</c:v>
                </c:pt>
                <c:pt idx="80">
                  <c:v>0.4861111111111111</c:v>
                </c:pt>
                <c:pt idx="81">
                  <c:v>0.48645833333333338</c:v>
                </c:pt>
                <c:pt idx="82">
                  <c:v>0.48680555555555555</c:v>
                </c:pt>
                <c:pt idx="83">
                  <c:v>0.48715277777777777</c:v>
                </c:pt>
                <c:pt idx="84">
                  <c:v>0.48749999999999999</c:v>
                </c:pt>
                <c:pt idx="85">
                  <c:v>0.48784722222222227</c:v>
                </c:pt>
                <c:pt idx="86">
                  <c:v>0.48819444444444443</c:v>
                </c:pt>
                <c:pt idx="87">
                  <c:v>0.48854166666666665</c:v>
                </c:pt>
                <c:pt idx="88">
                  <c:v>0.48888888888888887</c:v>
                </c:pt>
                <c:pt idx="89">
                  <c:v>0.48923611111111115</c:v>
                </c:pt>
                <c:pt idx="90">
                  <c:v>0.48958333333333331</c:v>
                </c:pt>
                <c:pt idx="91">
                  <c:v>0.48993055555555554</c:v>
                </c:pt>
                <c:pt idx="92">
                  <c:v>0.49027777777777781</c:v>
                </c:pt>
                <c:pt idx="93">
                  <c:v>0.49062500000000003</c:v>
                </c:pt>
                <c:pt idx="94">
                  <c:v>0.4909722222222222</c:v>
                </c:pt>
                <c:pt idx="95">
                  <c:v>0.49131944444444442</c:v>
                </c:pt>
                <c:pt idx="96">
                  <c:v>0.4916666666666667</c:v>
                </c:pt>
                <c:pt idx="97">
                  <c:v>0.49201388888888892</c:v>
                </c:pt>
                <c:pt idx="98">
                  <c:v>0.49236111111111108</c:v>
                </c:pt>
                <c:pt idx="99">
                  <c:v>0.4927083333333333</c:v>
                </c:pt>
                <c:pt idx="100">
                  <c:v>0.49305555555555558</c:v>
                </c:pt>
                <c:pt idx="101">
                  <c:v>0.4934027777777778</c:v>
                </c:pt>
                <c:pt idx="102">
                  <c:v>0.49374999999999997</c:v>
                </c:pt>
                <c:pt idx="103">
                  <c:v>0.49409722222222219</c:v>
                </c:pt>
                <c:pt idx="104">
                  <c:v>0.49444444444444446</c:v>
                </c:pt>
                <c:pt idx="105">
                  <c:v>0.49479166666666669</c:v>
                </c:pt>
                <c:pt idx="106">
                  <c:v>0.49513888888888885</c:v>
                </c:pt>
                <c:pt idx="107">
                  <c:v>0.49548611111111113</c:v>
                </c:pt>
                <c:pt idx="108">
                  <c:v>0.49583333333333335</c:v>
                </c:pt>
                <c:pt idx="109">
                  <c:v>0.49618055555555557</c:v>
                </c:pt>
                <c:pt idx="110">
                  <c:v>0.49652777777777773</c:v>
                </c:pt>
                <c:pt idx="111">
                  <c:v>0.49687500000000001</c:v>
                </c:pt>
                <c:pt idx="112">
                  <c:v>0.49722222222222223</c:v>
                </c:pt>
                <c:pt idx="113">
                  <c:v>0.49756944444444445</c:v>
                </c:pt>
                <c:pt idx="114">
                  <c:v>0.49791666666666662</c:v>
                </c:pt>
                <c:pt idx="115">
                  <c:v>0.4982638888888889</c:v>
                </c:pt>
                <c:pt idx="116">
                  <c:v>0.49861111111111112</c:v>
                </c:pt>
                <c:pt idx="117">
                  <c:v>0.49895833333333334</c:v>
                </c:pt>
                <c:pt idx="118">
                  <c:v>0.4993055555555555</c:v>
                </c:pt>
                <c:pt idx="119">
                  <c:v>0.49965277777777778</c:v>
                </c:pt>
                <c:pt idx="120">
                  <c:v>0.5</c:v>
                </c:pt>
                <c:pt idx="121">
                  <c:v>0.50034722222222217</c:v>
                </c:pt>
                <c:pt idx="122">
                  <c:v>0.50069444444444444</c:v>
                </c:pt>
                <c:pt idx="123">
                  <c:v>0.50104166666666672</c:v>
                </c:pt>
                <c:pt idx="124">
                  <c:v>0.50138888888888888</c:v>
                </c:pt>
                <c:pt idx="125">
                  <c:v>0.50173611111111105</c:v>
                </c:pt>
                <c:pt idx="126">
                  <c:v>0.50208333333333333</c:v>
                </c:pt>
                <c:pt idx="127">
                  <c:v>0.5024305555555556</c:v>
                </c:pt>
              </c:numCache>
            </c:numRef>
          </c:cat>
          <c:val>
            <c:numRef>
              <c:f>'DESEMPEÑO  TEMP3'!$BK$31:$BK$158</c:f>
              <c:numCache>
                <c:formatCode>0.0</c:formatCode>
                <c:ptCount val="128"/>
                <c:pt idx="0">
                  <c:v>31.58</c:v>
                </c:pt>
                <c:pt idx="1">
                  <c:v>31.33</c:v>
                </c:pt>
                <c:pt idx="2">
                  <c:v>31.11</c:v>
                </c:pt>
                <c:pt idx="3">
                  <c:v>30.88</c:v>
                </c:pt>
                <c:pt idx="4">
                  <c:v>30.66</c:v>
                </c:pt>
                <c:pt idx="5">
                  <c:v>30.47</c:v>
                </c:pt>
                <c:pt idx="6">
                  <c:v>30.28</c:v>
                </c:pt>
                <c:pt idx="7">
                  <c:v>30.09</c:v>
                </c:pt>
                <c:pt idx="8">
                  <c:v>30.03</c:v>
                </c:pt>
                <c:pt idx="9">
                  <c:v>29.96</c:v>
                </c:pt>
                <c:pt idx="10">
                  <c:v>29.8</c:v>
                </c:pt>
                <c:pt idx="11">
                  <c:v>29.62</c:v>
                </c:pt>
                <c:pt idx="12">
                  <c:v>29.42</c:v>
                </c:pt>
                <c:pt idx="13">
                  <c:v>29.23</c:v>
                </c:pt>
                <c:pt idx="14">
                  <c:v>29.04</c:v>
                </c:pt>
                <c:pt idx="15">
                  <c:v>28.87</c:v>
                </c:pt>
                <c:pt idx="16">
                  <c:v>28.7</c:v>
                </c:pt>
                <c:pt idx="17">
                  <c:v>28.68</c:v>
                </c:pt>
                <c:pt idx="18">
                  <c:v>28.84</c:v>
                </c:pt>
                <c:pt idx="19">
                  <c:v>28.84</c:v>
                </c:pt>
                <c:pt idx="20">
                  <c:v>30.14</c:v>
                </c:pt>
                <c:pt idx="21">
                  <c:v>33.369999999999997</c:v>
                </c:pt>
                <c:pt idx="22">
                  <c:v>50.05</c:v>
                </c:pt>
                <c:pt idx="23">
                  <c:v>64.58</c:v>
                </c:pt>
                <c:pt idx="24">
                  <c:v>76</c:v>
                </c:pt>
                <c:pt idx="25">
                  <c:v>84.79</c:v>
                </c:pt>
                <c:pt idx="26">
                  <c:v>91.52</c:v>
                </c:pt>
                <c:pt idx="27">
                  <c:v>96.76</c:v>
                </c:pt>
                <c:pt idx="28">
                  <c:v>100.94</c:v>
                </c:pt>
                <c:pt idx="29">
                  <c:v>104.4</c:v>
                </c:pt>
                <c:pt idx="30">
                  <c:v>107.29</c:v>
                </c:pt>
                <c:pt idx="31">
                  <c:v>109.78</c:v>
                </c:pt>
                <c:pt idx="32">
                  <c:v>111.93</c:v>
                </c:pt>
                <c:pt idx="33">
                  <c:v>113.83</c:v>
                </c:pt>
                <c:pt idx="34">
                  <c:v>115.46</c:v>
                </c:pt>
                <c:pt idx="35">
                  <c:v>116.96</c:v>
                </c:pt>
                <c:pt idx="36">
                  <c:v>118.38</c:v>
                </c:pt>
                <c:pt idx="37">
                  <c:v>119.61</c:v>
                </c:pt>
                <c:pt idx="38">
                  <c:v>120.16</c:v>
                </c:pt>
                <c:pt idx="39">
                  <c:v>120.68</c:v>
                </c:pt>
                <c:pt idx="40">
                  <c:v>120.88</c:v>
                </c:pt>
                <c:pt idx="41">
                  <c:v>121.32</c:v>
                </c:pt>
                <c:pt idx="42">
                  <c:v>121.51</c:v>
                </c:pt>
                <c:pt idx="43">
                  <c:v>121.62</c:v>
                </c:pt>
                <c:pt idx="44">
                  <c:v>121.92</c:v>
                </c:pt>
                <c:pt idx="45">
                  <c:v>121.91</c:v>
                </c:pt>
                <c:pt idx="46">
                  <c:v>122.16</c:v>
                </c:pt>
                <c:pt idx="47">
                  <c:v>122.15</c:v>
                </c:pt>
                <c:pt idx="48">
                  <c:v>122.29</c:v>
                </c:pt>
                <c:pt idx="49">
                  <c:v>122.31</c:v>
                </c:pt>
                <c:pt idx="50">
                  <c:v>122.36</c:v>
                </c:pt>
                <c:pt idx="51">
                  <c:v>122.43</c:v>
                </c:pt>
                <c:pt idx="52">
                  <c:v>122.4</c:v>
                </c:pt>
                <c:pt idx="53">
                  <c:v>122.51</c:v>
                </c:pt>
                <c:pt idx="54">
                  <c:v>122.41</c:v>
                </c:pt>
                <c:pt idx="55">
                  <c:v>122.55</c:v>
                </c:pt>
                <c:pt idx="56">
                  <c:v>122.45</c:v>
                </c:pt>
                <c:pt idx="57">
                  <c:v>122.54</c:v>
                </c:pt>
                <c:pt idx="58">
                  <c:v>122.48</c:v>
                </c:pt>
                <c:pt idx="59">
                  <c:v>122.5</c:v>
                </c:pt>
                <c:pt idx="60">
                  <c:v>122.52</c:v>
                </c:pt>
                <c:pt idx="61">
                  <c:v>122.44</c:v>
                </c:pt>
                <c:pt idx="62">
                  <c:v>122.56</c:v>
                </c:pt>
                <c:pt idx="63">
                  <c:v>122.43</c:v>
                </c:pt>
                <c:pt idx="64">
                  <c:v>122.55</c:v>
                </c:pt>
                <c:pt idx="65">
                  <c:v>122.48</c:v>
                </c:pt>
                <c:pt idx="66">
                  <c:v>122.49</c:v>
                </c:pt>
                <c:pt idx="67">
                  <c:v>122.53</c:v>
                </c:pt>
                <c:pt idx="68">
                  <c:v>122.42</c:v>
                </c:pt>
                <c:pt idx="69">
                  <c:v>122.54</c:v>
                </c:pt>
                <c:pt idx="70">
                  <c:v>122.44</c:v>
                </c:pt>
                <c:pt idx="71">
                  <c:v>122.53</c:v>
                </c:pt>
                <c:pt idx="72">
                  <c:v>122.49</c:v>
                </c:pt>
                <c:pt idx="73">
                  <c:v>122.47</c:v>
                </c:pt>
                <c:pt idx="74">
                  <c:v>122.53</c:v>
                </c:pt>
                <c:pt idx="75">
                  <c:v>122.39</c:v>
                </c:pt>
                <c:pt idx="76">
                  <c:v>122.51</c:v>
                </c:pt>
                <c:pt idx="77">
                  <c:v>122.43</c:v>
                </c:pt>
                <c:pt idx="78">
                  <c:v>122.47</c:v>
                </c:pt>
                <c:pt idx="79">
                  <c:v>122.46</c:v>
                </c:pt>
                <c:pt idx="80">
                  <c:v>122.43</c:v>
                </c:pt>
                <c:pt idx="81">
                  <c:v>122.47</c:v>
                </c:pt>
                <c:pt idx="82">
                  <c:v>122.42</c:v>
                </c:pt>
                <c:pt idx="83">
                  <c:v>122.5</c:v>
                </c:pt>
                <c:pt idx="84">
                  <c:v>122.4</c:v>
                </c:pt>
                <c:pt idx="85">
                  <c:v>122.5</c:v>
                </c:pt>
                <c:pt idx="86">
                  <c:v>122.38</c:v>
                </c:pt>
                <c:pt idx="87">
                  <c:v>122.51</c:v>
                </c:pt>
                <c:pt idx="88">
                  <c:v>122.37</c:v>
                </c:pt>
                <c:pt idx="89">
                  <c:v>122.52</c:v>
                </c:pt>
                <c:pt idx="90">
                  <c:v>122.37</c:v>
                </c:pt>
                <c:pt idx="91">
                  <c:v>122.52</c:v>
                </c:pt>
                <c:pt idx="92">
                  <c:v>122.4</c:v>
                </c:pt>
                <c:pt idx="93">
                  <c:v>122.5</c:v>
                </c:pt>
                <c:pt idx="94">
                  <c:v>122.41</c:v>
                </c:pt>
                <c:pt idx="95">
                  <c:v>122.48</c:v>
                </c:pt>
                <c:pt idx="96">
                  <c:v>122.43</c:v>
                </c:pt>
                <c:pt idx="97">
                  <c:v>122.46</c:v>
                </c:pt>
                <c:pt idx="98">
                  <c:v>122.45</c:v>
                </c:pt>
                <c:pt idx="99">
                  <c:v>121.72</c:v>
                </c:pt>
                <c:pt idx="100">
                  <c:v>119.53</c:v>
                </c:pt>
                <c:pt idx="101">
                  <c:v>116.51</c:v>
                </c:pt>
                <c:pt idx="102">
                  <c:v>113.18</c:v>
                </c:pt>
                <c:pt idx="103">
                  <c:v>110.15</c:v>
                </c:pt>
                <c:pt idx="104">
                  <c:v>107.76</c:v>
                </c:pt>
                <c:pt idx="105">
                  <c:v>105.88</c:v>
                </c:pt>
                <c:pt idx="106">
                  <c:v>104.47</c:v>
                </c:pt>
                <c:pt idx="107">
                  <c:v>103.34</c:v>
                </c:pt>
                <c:pt idx="108">
                  <c:v>102.39</c:v>
                </c:pt>
                <c:pt idx="109">
                  <c:v>101.56</c:v>
                </c:pt>
                <c:pt idx="110">
                  <c:v>100.83</c:v>
                </c:pt>
                <c:pt idx="111">
                  <c:v>100.17</c:v>
                </c:pt>
                <c:pt idx="112">
                  <c:v>99.57</c:v>
                </c:pt>
                <c:pt idx="113">
                  <c:v>99.01</c:v>
                </c:pt>
                <c:pt idx="114">
                  <c:v>98.52</c:v>
                </c:pt>
                <c:pt idx="115">
                  <c:v>98.06</c:v>
                </c:pt>
                <c:pt idx="116">
                  <c:v>97.64</c:v>
                </c:pt>
                <c:pt idx="117">
                  <c:v>96.41</c:v>
                </c:pt>
                <c:pt idx="118">
                  <c:v>94.01</c:v>
                </c:pt>
                <c:pt idx="119">
                  <c:v>90.96</c:v>
                </c:pt>
                <c:pt idx="120">
                  <c:v>88.01</c:v>
                </c:pt>
                <c:pt idx="121">
                  <c:v>85.1</c:v>
                </c:pt>
                <c:pt idx="122">
                  <c:v>82.36</c:v>
                </c:pt>
                <c:pt idx="123">
                  <c:v>79.75</c:v>
                </c:pt>
                <c:pt idx="124">
                  <c:v>77.33</c:v>
                </c:pt>
                <c:pt idx="125">
                  <c:v>75.12</c:v>
                </c:pt>
                <c:pt idx="126">
                  <c:v>73.11</c:v>
                </c:pt>
                <c:pt idx="127">
                  <c:v>71.28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EFB4-4A40-BE30-57047E28A8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1336760"/>
        <c:axId val="431337088"/>
      </c:lineChart>
      <c:catAx>
        <c:axId val="431336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\ AM/PM" sourceLinked="1"/>
        <c:majorTickMark val="out"/>
        <c:minorTickMark val="none"/>
        <c:tickLblPos val="nextTo"/>
        <c:crossAx val="431337088"/>
        <c:crosses val="autoZero"/>
        <c:auto val="1"/>
        <c:lblAlgn val="ctr"/>
        <c:lblOffset val="100"/>
        <c:noMultiLvlLbl val="0"/>
      </c:catAx>
      <c:valAx>
        <c:axId val="431337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31336760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'DESEMPEÑO  TEMP3'!$BB$30</c:f>
              <c:strCache>
                <c:ptCount val="1"/>
                <c:pt idx="0">
                  <c:v>Q07967</c:v>
                </c:pt>
              </c:strCache>
            </c:strRef>
          </c:tx>
          <c:marker>
            <c:symbol val="none"/>
          </c:marker>
          <c:cat>
            <c:numRef>
              <c:f>'DESEMPEÑO  TEMP3'!$B$70:$B$128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TEMP3'!$BB$70:$BB$128</c:f>
              <c:numCache>
                <c:formatCode>0.0</c:formatCode>
                <c:ptCount val="59"/>
                <c:pt idx="0">
                  <c:v>95.53</c:v>
                </c:pt>
                <c:pt idx="1">
                  <c:v>97.82</c:v>
                </c:pt>
                <c:pt idx="2">
                  <c:v>100.1</c:v>
                </c:pt>
                <c:pt idx="3">
                  <c:v>102.2</c:v>
                </c:pt>
                <c:pt idx="4">
                  <c:v>104.16</c:v>
                </c:pt>
                <c:pt idx="5">
                  <c:v>105.86</c:v>
                </c:pt>
                <c:pt idx="6">
                  <c:v>107.42</c:v>
                </c:pt>
                <c:pt idx="7">
                  <c:v>108.79</c:v>
                </c:pt>
                <c:pt idx="8">
                  <c:v>110.03</c:v>
                </c:pt>
                <c:pt idx="9">
                  <c:v>111.15</c:v>
                </c:pt>
                <c:pt idx="10">
                  <c:v>112.15</c:v>
                </c:pt>
                <c:pt idx="11">
                  <c:v>113.07</c:v>
                </c:pt>
                <c:pt idx="12">
                  <c:v>113.91</c:v>
                </c:pt>
                <c:pt idx="13">
                  <c:v>114.66</c:v>
                </c:pt>
                <c:pt idx="14">
                  <c:v>115.33</c:v>
                </c:pt>
                <c:pt idx="15">
                  <c:v>115.96</c:v>
                </c:pt>
                <c:pt idx="16">
                  <c:v>116.51</c:v>
                </c:pt>
                <c:pt idx="17">
                  <c:v>117.02</c:v>
                </c:pt>
                <c:pt idx="18">
                  <c:v>117.48</c:v>
                </c:pt>
                <c:pt idx="19">
                  <c:v>117.89</c:v>
                </c:pt>
                <c:pt idx="20">
                  <c:v>118.27</c:v>
                </c:pt>
                <c:pt idx="21">
                  <c:v>118.61</c:v>
                </c:pt>
                <c:pt idx="22">
                  <c:v>118.92</c:v>
                </c:pt>
                <c:pt idx="23">
                  <c:v>119.2</c:v>
                </c:pt>
                <c:pt idx="24">
                  <c:v>119.45</c:v>
                </c:pt>
                <c:pt idx="25">
                  <c:v>119.7</c:v>
                </c:pt>
                <c:pt idx="26">
                  <c:v>119.88</c:v>
                </c:pt>
                <c:pt idx="27">
                  <c:v>120.09</c:v>
                </c:pt>
                <c:pt idx="28">
                  <c:v>120.25</c:v>
                </c:pt>
                <c:pt idx="29">
                  <c:v>120.42</c:v>
                </c:pt>
                <c:pt idx="30">
                  <c:v>120.55</c:v>
                </c:pt>
                <c:pt idx="31">
                  <c:v>120.7</c:v>
                </c:pt>
                <c:pt idx="32">
                  <c:v>120.8</c:v>
                </c:pt>
                <c:pt idx="33">
                  <c:v>120.93</c:v>
                </c:pt>
                <c:pt idx="34">
                  <c:v>121.01</c:v>
                </c:pt>
                <c:pt idx="35">
                  <c:v>121.13</c:v>
                </c:pt>
                <c:pt idx="36">
                  <c:v>121.19</c:v>
                </c:pt>
                <c:pt idx="37">
                  <c:v>121.29</c:v>
                </c:pt>
                <c:pt idx="38">
                  <c:v>121.35</c:v>
                </c:pt>
                <c:pt idx="39">
                  <c:v>121.42</c:v>
                </c:pt>
                <c:pt idx="40">
                  <c:v>121.47</c:v>
                </c:pt>
                <c:pt idx="41">
                  <c:v>121.53</c:v>
                </c:pt>
                <c:pt idx="42">
                  <c:v>121.58</c:v>
                </c:pt>
                <c:pt idx="43">
                  <c:v>121.63</c:v>
                </c:pt>
                <c:pt idx="44">
                  <c:v>121.67</c:v>
                </c:pt>
                <c:pt idx="45">
                  <c:v>121.7</c:v>
                </c:pt>
                <c:pt idx="46">
                  <c:v>121.74</c:v>
                </c:pt>
                <c:pt idx="47">
                  <c:v>121.78</c:v>
                </c:pt>
                <c:pt idx="48">
                  <c:v>121.79</c:v>
                </c:pt>
                <c:pt idx="49">
                  <c:v>121.84</c:v>
                </c:pt>
                <c:pt idx="50">
                  <c:v>121.86</c:v>
                </c:pt>
                <c:pt idx="51">
                  <c:v>121.89</c:v>
                </c:pt>
                <c:pt idx="52">
                  <c:v>121.91</c:v>
                </c:pt>
                <c:pt idx="53">
                  <c:v>121.93</c:v>
                </c:pt>
                <c:pt idx="54">
                  <c:v>121.95</c:v>
                </c:pt>
                <c:pt idx="55">
                  <c:v>121.98</c:v>
                </c:pt>
                <c:pt idx="56">
                  <c:v>121.99</c:v>
                </c:pt>
                <c:pt idx="57">
                  <c:v>122.01</c:v>
                </c:pt>
                <c:pt idx="58">
                  <c:v>122.03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02C1-485A-BD26-AFC015213497}"/>
            </c:ext>
          </c:extLst>
        </c:ser>
        <c:ser>
          <c:idx val="1"/>
          <c:order val="1"/>
          <c:tx>
            <c:strRef>
              <c:f>'DESEMPEÑO  TEMP3'!$BC$30</c:f>
              <c:strCache>
                <c:ptCount val="1"/>
                <c:pt idx="0">
                  <c:v>Q07970</c:v>
                </c:pt>
              </c:strCache>
            </c:strRef>
          </c:tx>
          <c:marker>
            <c:symbol val="none"/>
          </c:marker>
          <c:cat>
            <c:numRef>
              <c:f>'DESEMPEÑO  TEMP3'!$B$70:$B$128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TEMP3'!$BC$70:$BC$128</c:f>
              <c:numCache>
                <c:formatCode>0.0</c:formatCode>
                <c:ptCount val="59"/>
                <c:pt idx="0">
                  <c:v>76.400000000000006</c:v>
                </c:pt>
                <c:pt idx="1">
                  <c:v>79.16</c:v>
                </c:pt>
                <c:pt idx="2">
                  <c:v>81.78</c:v>
                </c:pt>
                <c:pt idx="3">
                  <c:v>84.22</c:v>
                </c:pt>
                <c:pt idx="4">
                  <c:v>86.59</c:v>
                </c:pt>
                <c:pt idx="5">
                  <c:v>88.75</c:v>
                </c:pt>
                <c:pt idx="6">
                  <c:v>90.85</c:v>
                </c:pt>
                <c:pt idx="7">
                  <c:v>92.75</c:v>
                </c:pt>
                <c:pt idx="8">
                  <c:v>94.6</c:v>
                </c:pt>
                <c:pt idx="9">
                  <c:v>96.26</c:v>
                </c:pt>
                <c:pt idx="10">
                  <c:v>97.98</c:v>
                </c:pt>
                <c:pt idx="11">
                  <c:v>99.59</c:v>
                </c:pt>
                <c:pt idx="12">
                  <c:v>101.09</c:v>
                </c:pt>
                <c:pt idx="13">
                  <c:v>102.42</c:v>
                </c:pt>
                <c:pt idx="14">
                  <c:v>103.7</c:v>
                </c:pt>
                <c:pt idx="15">
                  <c:v>104.87</c:v>
                </c:pt>
                <c:pt idx="16">
                  <c:v>105.98</c:v>
                </c:pt>
                <c:pt idx="17">
                  <c:v>107.03</c:v>
                </c:pt>
                <c:pt idx="18">
                  <c:v>107.99</c:v>
                </c:pt>
                <c:pt idx="19">
                  <c:v>108.9</c:v>
                </c:pt>
                <c:pt idx="20">
                  <c:v>109.79</c:v>
                </c:pt>
                <c:pt idx="21">
                  <c:v>110.6</c:v>
                </c:pt>
                <c:pt idx="22">
                  <c:v>111.37</c:v>
                </c:pt>
                <c:pt idx="23">
                  <c:v>112.08</c:v>
                </c:pt>
                <c:pt idx="24">
                  <c:v>112.76</c:v>
                </c:pt>
                <c:pt idx="25">
                  <c:v>113.4</c:v>
                </c:pt>
                <c:pt idx="26">
                  <c:v>114.01</c:v>
                </c:pt>
                <c:pt idx="27">
                  <c:v>114.57</c:v>
                </c:pt>
                <c:pt idx="28">
                  <c:v>115.12</c:v>
                </c:pt>
                <c:pt idx="29">
                  <c:v>115.63</c:v>
                </c:pt>
                <c:pt idx="30">
                  <c:v>116.1</c:v>
                </c:pt>
                <c:pt idx="31">
                  <c:v>116.55</c:v>
                </c:pt>
                <c:pt idx="32">
                  <c:v>116.98</c:v>
                </c:pt>
                <c:pt idx="33">
                  <c:v>117.37</c:v>
                </c:pt>
                <c:pt idx="34">
                  <c:v>117.76</c:v>
                </c:pt>
                <c:pt idx="35">
                  <c:v>118.12</c:v>
                </c:pt>
                <c:pt idx="36">
                  <c:v>118.48</c:v>
                </c:pt>
                <c:pt idx="37">
                  <c:v>118.83</c:v>
                </c:pt>
                <c:pt idx="38">
                  <c:v>119.16</c:v>
                </c:pt>
                <c:pt idx="39">
                  <c:v>119.47</c:v>
                </c:pt>
                <c:pt idx="40">
                  <c:v>119.74</c:v>
                </c:pt>
                <c:pt idx="41">
                  <c:v>120.02</c:v>
                </c:pt>
                <c:pt idx="42">
                  <c:v>120.25</c:v>
                </c:pt>
                <c:pt idx="43">
                  <c:v>120.49</c:v>
                </c:pt>
                <c:pt idx="44">
                  <c:v>120.69</c:v>
                </c:pt>
                <c:pt idx="45">
                  <c:v>120.9</c:v>
                </c:pt>
                <c:pt idx="46">
                  <c:v>121.08</c:v>
                </c:pt>
                <c:pt idx="47">
                  <c:v>121.26</c:v>
                </c:pt>
                <c:pt idx="48">
                  <c:v>121.43</c:v>
                </c:pt>
                <c:pt idx="49">
                  <c:v>121.59</c:v>
                </c:pt>
                <c:pt idx="50">
                  <c:v>121.73</c:v>
                </c:pt>
                <c:pt idx="51">
                  <c:v>121.87</c:v>
                </c:pt>
                <c:pt idx="52">
                  <c:v>122.01</c:v>
                </c:pt>
                <c:pt idx="53">
                  <c:v>122.13</c:v>
                </c:pt>
                <c:pt idx="54">
                  <c:v>122.25</c:v>
                </c:pt>
                <c:pt idx="55">
                  <c:v>122.36</c:v>
                </c:pt>
                <c:pt idx="56">
                  <c:v>122.46</c:v>
                </c:pt>
                <c:pt idx="57">
                  <c:v>122.57</c:v>
                </c:pt>
                <c:pt idx="58">
                  <c:v>122.67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02C1-485A-BD26-AFC015213497}"/>
            </c:ext>
          </c:extLst>
        </c:ser>
        <c:ser>
          <c:idx val="2"/>
          <c:order val="2"/>
          <c:tx>
            <c:strRef>
              <c:f>'DESEMPEÑO  TEMP3'!$BD$30</c:f>
              <c:strCache>
                <c:ptCount val="1"/>
                <c:pt idx="0">
                  <c:v>Q07972</c:v>
                </c:pt>
              </c:strCache>
            </c:strRef>
          </c:tx>
          <c:marker>
            <c:symbol val="none"/>
          </c:marker>
          <c:cat>
            <c:numRef>
              <c:f>'DESEMPEÑO  TEMP3'!$B$70:$B$128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TEMP3'!$BD$70:$BD$128</c:f>
              <c:numCache>
                <c:formatCode>0.0</c:formatCode>
                <c:ptCount val="59"/>
                <c:pt idx="0">
                  <c:v>95.53</c:v>
                </c:pt>
                <c:pt idx="1">
                  <c:v>97.82</c:v>
                </c:pt>
                <c:pt idx="2">
                  <c:v>100.1</c:v>
                </c:pt>
                <c:pt idx="3">
                  <c:v>102.2</c:v>
                </c:pt>
                <c:pt idx="4">
                  <c:v>104.16</c:v>
                </c:pt>
                <c:pt idx="5">
                  <c:v>105.86</c:v>
                </c:pt>
                <c:pt idx="6">
                  <c:v>107.42</c:v>
                </c:pt>
                <c:pt idx="7">
                  <c:v>108.79</c:v>
                </c:pt>
                <c:pt idx="8">
                  <c:v>110.03</c:v>
                </c:pt>
                <c:pt idx="9">
                  <c:v>111.15</c:v>
                </c:pt>
                <c:pt idx="10">
                  <c:v>112.15</c:v>
                </c:pt>
                <c:pt idx="11">
                  <c:v>113.07</c:v>
                </c:pt>
                <c:pt idx="12">
                  <c:v>113.91</c:v>
                </c:pt>
                <c:pt idx="13">
                  <c:v>114.66</c:v>
                </c:pt>
                <c:pt idx="14">
                  <c:v>115.33</c:v>
                </c:pt>
                <c:pt idx="15">
                  <c:v>115.96</c:v>
                </c:pt>
                <c:pt idx="16">
                  <c:v>116.51</c:v>
                </c:pt>
                <c:pt idx="17">
                  <c:v>117.02</c:v>
                </c:pt>
                <c:pt idx="18">
                  <c:v>117.48</c:v>
                </c:pt>
                <c:pt idx="19">
                  <c:v>117.89</c:v>
                </c:pt>
                <c:pt idx="20">
                  <c:v>118.27</c:v>
                </c:pt>
                <c:pt idx="21">
                  <c:v>118.61</c:v>
                </c:pt>
                <c:pt idx="22">
                  <c:v>118.92</c:v>
                </c:pt>
                <c:pt idx="23">
                  <c:v>119.2</c:v>
                </c:pt>
                <c:pt idx="24">
                  <c:v>119.45</c:v>
                </c:pt>
                <c:pt idx="25">
                  <c:v>119.7</c:v>
                </c:pt>
                <c:pt idx="26">
                  <c:v>119.88</c:v>
                </c:pt>
                <c:pt idx="27">
                  <c:v>120.09</c:v>
                </c:pt>
                <c:pt idx="28">
                  <c:v>120.25</c:v>
                </c:pt>
                <c:pt idx="29">
                  <c:v>120.42</c:v>
                </c:pt>
                <c:pt idx="30">
                  <c:v>120.55</c:v>
                </c:pt>
                <c:pt idx="31">
                  <c:v>120.7</c:v>
                </c:pt>
                <c:pt idx="32">
                  <c:v>120.8</c:v>
                </c:pt>
                <c:pt idx="33">
                  <c:v>120.93</c:v>
                </c:pt>
                <c:pt idx="34">
                  <c:v>121.01</c:v>
                </c:pt>
                <c:pt idx="35">
                  <c:v>121.13</c:v>
                </c:pt>
                <c:pt idx="36">
                  <c:v>121.19</c:v>
                </c:pt>
                <c:pt idx="37">
                  <c:v>121.29</c:v>
                </c:pt>
                <c:pt idx="38">
                  <c:v>121.35</c:v>
                </c:pt>
                <c:pt idx="39">
                  <c:v>121.42</c:v>
                </c:pt>
                <c:pt idx="40">
                  <c:v>121.47</c:v>
                </c:pt>
                <c:pt idx="41">
                  <c:v>121.53</c:v>
                </c:pt>
                <c:pt idx="42">
                  <c:v>121.58</c:v>
                </c:pt>
                <c:pt idx="43">
                  <c:v>121.63</c:v>
                </c:pt>
                <c:pt idx="44">
                  <c:v>121.67</c:v>
                </c:pt>
                <c:pt idx="45">
                  <c:v>121.7</c:v>
                </c:pt>
                <c:pt idx="46">
                  <c:v>121.74</c:v>
                </c:pt>
                <c:pt idx="47">
                  <c:v>121.78</c:v>
                </c:pt>
                <c:pt idx="48">
                  <c:v>121.79</c:v>
                </c:pt>
                <c:pt idx="49">
                  <c:v>121.84</c:v>
                </c:pt>
                <c:pt idx="50">
                  <c:v>121.86</c:v>
                </c:pt>
                <c:pt idx="51">
                  <c:v>121.89</c:v>
                </c:pt>
                <c:pt idx="52">
                  <c:v>121.91</c:v>
                </c:pt>
                <c:pt idx="53">
                  <c:v>121.93</c:v>
                </c:pt>
                <c:pt idx="54">
                  <c:v>121.95</c:v>
                </c:pt>
                <c:pt idx="55">
                  <c:v>121.98</c:v>
                </c:pt>
                <c:pt idx="56">
                  <c:v>121.99</c:v>
                </c:pt>
                <c:pt idx="57">
                  <c:v>122.01</c:v>
                </c:pt>
                <c:pt idx="58">
                  <c:v>122.03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02C1-485A-BD26-AFC015213497}"/>
            </c:ext>
          </c:extLst>
        </c:ser>
        <c:ser>
          <c:idx val="3"/>
          <c:order val="3"/>
          <c:tx>
            <c:strRef>
              <c:f>'DESEMPEÑO  TEMP3'!$BE$30</c:f>
              <c:strCache>
                <c:ptCount val="1"/>
                <c:pt idx="0">
                  <c:v>Q07974</c:v>
                </c:pt>
              </c:strCache>
            </c:strRef>
          </c:tx>
          <c:marker>
            <c:symbol val="none"/>
          </c:marker>
          <c:cat>
            <c:numRef>
              <c:f>'DESEMPEÑO  TEMP3'!$B$70:$B$128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TEMP3'!$BE$70:$BE$128</c:f>
              <c:numCache>
                <c:formatCode>0.0</c:formatCode>
                <c:ptCount val="59"/>
                <c:pt idx="0">
                  <c:v>96.89</c:v>
                </c:pt>
                <c:pt idx="1">
                  <c:v>99.34</c:v>
                </c:pt>
                <c:pt idx="2">
                  <c:v>101.51</c:v>
                </c:pt>
                <c:pt idx="3">
                  <c:v>103.52</c:v>
                </c:pt>
                <c:pt idx="4">
                  <c:v>105.36</c:v>
                </c:pt>
                <c:pt idx="5">
                  <c:v>107.01</c:v>
                </c:pt>
                <c:pt idx="6">
                  <c:v>108.51</c:v>
                </c:pt>
                <c:pt idx="7">
                  <c:v>109.93</c:v>
                </c:pt>
                <c:pt idx="8">
                  <c:v>111.2</c:v>
                </c:pt>
                <c:pt idx="9">
                  <c:v>112.3</c:v>
                </c:pt>
                <c:pt idx="10">
                  <c:v>113.39</c:v>
                </c:pt>
                <c:pt idx="11">
                  <c:v>114.3</c:v>
                </c:pt>
                <c:pt idx="12">
                  <c:v>115.13</c:v>
                </c:pt>
                <c:pt idx="13">
                  <c:v>115.88</c:v>
                </c:pt>
                <c:pt idx="14">
                  <c:v>116.55</c:v>
                </c:pt>
                <c:pt idx="15">
                  <c:v>117.17</c:v>
                </c:pt>
                <c:pt idx="16">
                  <c:v>117.71</c:v>
                </c:pt>
                <c:pt idx="17">
                  <c:v>118.21</c:v>
                </c:pt>
                <c:pt idx="18">
                  <c:v>118.67</c:v>
                </c:pt>
                <c:pt idx="19">
                  <c:v>119.07</c:v>
                </c:pt>
                <c:pt idx="20">
                  <c:v>119.45</c:v>
                </c:pt>
                <c:pt idx="21">
                  <c:v>119.79</c:v>
                </c:pt>
                <c:pt idx="22">
                  <c:v>120.09</c:v>
                </c:pt>
                <c:pt idx="23">
                  <c:v>120.36</c:v>
                </c:pt>
                <c:pt idx="24">
                  <c:v>120.61</c:v>
                </c:pt>
                <c:pt idx="25">
                  <c:v>120.84</c:v>
                </c:pt>
                <c:pt idx="26">
                  <c:v>121.04</c:v>
                </c:pt>
                <c:pt idx="27">
                  <c:v>121.26</c:v>
                </c:pt>
                <c:pt idx="28">
                  <c:v>121.4</c:v>
                </c:pt>
                <c:pt idx="29">
                  <c:v>121.57</c:v>
                </c:pt>
                <c:pt idx="30">
                  <c:v>121.7</c:v>
                </c:pt>
                <c:pt idx="31">
                  <c:v>121.85</c:v>
                </c:pt>
                <c:pt idx="32">
                  <c:v>121.95</c:v>
                </c:pt>
                <c:pt idx="33">
                  <c:v>122.08</c:v>
                </c:pt>
                <c:pt idx="34">
                  <c:v>122.16</c:v>
                </c:pt>
                <c:pt idx="35">
                  <c:v>122.26</c:v>
                </c:pt>
                <c:pt idx="36">
                  <c:v>122.33</c:v>
                </c:pt>
                <c:pt idx="37">
                  <c:v>122.43</c:v>
                </c:pt>
                <c:pt idx="38">
                  <c:v>122.49</c:v>
                </c:pt>
                <c:pt idx="39">
                  <c:v>122.58</c:v>
                </c:pt>
                <c:pt idx="40">
                  <c:v>122.63</c:v>
                </c:pt>
                <c:pt idx="41">
                  <c:v>122.69</c:v>
                </c:pt>
                <c:pt idx="42">
                  <c:v>122.74</c:v>
                </c:pt>
                <c:pt idx="43">
                  <c:v>122.79</c:v>
                </c:pt>
                <c:pt idx="44">
                  <c:v>122.83</c:v>
                </c:pt>
                <c:pt idx="45">
                  <c:v>122.88</c:v>
                </c:pt>
                <c:pt idx="46">
                  <c:v>122.91</c:v>
                </c:pt>
                <c:pt idx="47">
                  <c:v>122.96</c:v>
                </c:pt>
                <c:pt idx="48">
                  <c:v>122.99</c:v>
                </c:pt>
                <c:pt idx="49">
                  <c:v>123.01</c:v>
                </c:pt>
                <c:pt idx="50">
                  <c:v>123.04</c:v>
                </c:pt>
                <c:pt idx="51">
                  <c:v>123.08</c:v>
                </c:pt>
                <c:pt idx="52">
                  <c:v>123.11</c:v>
                </c:pt>
                <c:pt idx="53">
                  <c:v>123.13</c:v>
                </c:pt>
                <c:pt idx="54">
                  <c:v>123.15</c:v>
                </c:pt>
                <c:pt idx="55">
                  <c:v>123.18</c:v>
                </c:pt>
                <c:pt idx="56">
                  <c:v>123.19</c:v>
                </c:pt>
                <c:pt idx="57">
                  <c:v>123.22</c:v>
                </c:pt>
                <c:pt idx="58">
                  <c:v>123.23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02C1-485A-BD26-AFC015213497}"/>
            </c:ext>
          </c:extLst>
        </c:ser>
        <c:ser>
          <c:idx val="4"/>
          <c:order val="4"/>
          <c:tx>
            <c:strRef>
              <c:f>'DESEMPEÑO  TEMP3'!$BF$30</c:f>
              <c:strCache>
                <c:ptCount val="1"/>
                <c:pt idx="0">
                  <c:v>Q07977</c:v>
                </c:pt>
              </c:strCache>
            </c:strRef>
          </c:tx>
          <c:marker>
            <c:symbol val="none"/>
          </c:marker>
          <c:cat>
            <c:numRef>
              <c:f>'DESEMPEÑO  TEMP3'!$B$70:$B$128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TEMP3'!$BF$70:$BF$128</c:f>
              <c:numCache>
                <c:formatCode>0.0</c:formatCode>
                <c:ptCount val="59"/>
                <c:pt idx="0">
                  <c:v>100.66</c:v>
                </c:pt>
                <c:pt idx="1">
                  <c:v>103</c:v>
                </c:pt>
                <c:pt idx="2">
                  <c:v>105.13</c:v>
                </c:pt>
                <c:pt idx="3">
                  <c:v>107.03</c:v>
                </c:pt>
                <c:pt idx="4">
                  <c:v>108.78</c:v>
                </c:pt>
                <c:pt idx="5">
                  <c:v>110.3</c:v>
                </c:pt>
                <c:pt idx="6">
                  <c:v>111.62</c:v>
                </c:pt>
                <c:pt idx="7">
                  <c:v>112.76</c:v>
                </c:pt>
                <c:pt idx="8">
                  <c:v>113.79</c:v>
                </c:pt>
                <c:pt idx="9">
                  <c:v>114.71</c:v>
                </c:pt>
                <c:pt idx="10">
                  <c:v>115.49</c:v>
                </c:pt>
                <c:pt idx="11">
                  <c:v>116.25</c:v>
                </c:pt>
                <c:pt idx="12">
                  <c:v>116.89</c:v>
                </c:pt>
                <c:pt idx="13">
                  <c:v>117.48</c:v>
                </c:pt>
                <c:pt idx="14">
                  <c:v>118</c:v>
                </c:pt>
                <c:pt idx="15">
                  <c:v>118.49</c:v>
                </c:pt>
                <c:pt idx="16">
                  <c:v>118.9</c:v>
                </c:pt>
                <c:pt idx="17">
                  <c:v>119.28</c:v>
                </c:pt>
                <c:pt idx="18">
                  <c:v>119.62</c:v>
                </c:pt>
                <c:pt idx="19">
                  <c:v>119.91</c:v>
                </c:pt>
                <c:pt idx="20">
                  <c:v>120.19</c:v>
                </c:pt>
                <c:pt idx="21">
                  <c:v>120.4</c:v>
                </c:pt>
                <c:pt idx="22">
                  <c:v>120.62</c:v>
                </c:pt>
                <c:pt idx="23">
                  <c:v>120.8</c:v>
                </c:pt>
                <c:pt idx="24">
                  <c:v>120.97</c:v>
                </c:pt>
                <c:pt idx="25">
                  <c:v>121.11</c:v>
                </c:pt>
                <c:pt idx="26">
                  <c:v>121.22</c:v>
                </c:pt>
                <c:pt idx="27">
                  <c:v>121.34</c:v>
                </c:pt>
                <c:pt idx="28">
                  <c:v>121.43</c:v>
                </c:pt>
                <c:pt idx="29">
                  <c:v>121.53</c:v>
                </c:pt>
                <c:pt idx="30">
                  <c:v>121.6</c:v>
                </c:pt>
                <c:pt idx="31">
                  <c:v>121.68</c:v>
                </c:pt>
                <c:pt idx="32">
                  <c:v>121.74</c:v>
                </c:pt>
                <c:pt idx="33">
                  <c:v>121.79</c:v>
                </c:pt>
                <c:pt idx="34">
                  <c:v>121.85</c:v>
                </c:pt>
                <c:pt idx="35">
                  <c:v>121.88</c:v>
                </c:pt>
                <c:pt idx="36">
                  <c:v>121.93</c:v>
                </c:pt>
                <c:pt idx="37">
                  <c:v>121.95</c:v>
                </c:pt>
                <c:pt idx="38">
                  <c:v>121.99</c:v>
                </c:pt>
                <c:pt idx="39">
                  <c:v>122.02</c:v>
                </c:pt>
                <c:pt idx="40">
                  <c:v>122.03</c:v>
                </c:pt>
                <c:pt idx="41">
                  <c:v>122.03</c:v>
                </c:pt>
                <c:pt idx="42">
                  <c:v>122.05</c:v>
                </c:pt>
                <c:pt idx="43">
                  <c:v>122.06</c:v>
                </c:pt>
                <c:pt idx="44">
                  <c:v>122.06</c:v>
                </c:pt>
                <c:pt idx="45">
                  <c:v>122.08</c:v>
                </c:pt>
                <c:pt idx="46">
                  <c:v>122.09</c:v>
                </c:pt>
                <c:pt idx="47">
                  <c:v>122.1</c:v>
                </c:pt>
                <c:pt idx="48">
                  <c:v>122.1</c:v>
                </c:pt>
                <c:pt idx="49">
                  <c:v>122.11</c:v>
                </c:pt>
                <c:pt idx="50">
                  <c:v>122.12</c:v>
                </c:pt>
                <c:pt idx="51">
                  <c:v>122.13</c:v>
                </c:pt>
                <c:pt idx="52">
                  <c:v>122.14</c:v>
                </c:pt>
                <c:pt idx="53">
                  <c:v>122.15</c:v>
                </c:pt>
                <c:pt idx="54">
                  <c:v>122.16</c:v>
                </c:pt>
                <c:pt idx="55">
                  <c:v>122.16</c:v>
                </c:pt>
                <c:pt idx="56">
                  <c:v>122.17</c:v>
                </c:pt>
                <c:pt idx="57">
                  <c:v>122.17</c:v>
                </c:pt>
                <c:pt idx="58">
                  <c:v>122.18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02C1-485A-BD26-AFC015213497}"/>
            </c:ext>
          </c:extLst>
        </c:ser>
        <c:ser>
          <c:idx val="5"/>
          <c:order val="5"/>
          <c:tx>
            <c:strRef>
              <c:f>'DESEMPEÑO  TEMP3'!$BG$30</c:f>
              <c:strCache>
                <c:ptCount val="1"/>
                <c:pt idx="0">
                  <c:v>Q00749</c:v>
                </c:pt>
              </c:strCache>
            </c:strRef>
          </c:tx>
          <c:marker>
            <c:symbol val="none"/>
          </c:marker>
          <c:cat>
            <c:numRef>
              <c:f>'DESEMPEÑO  TEMP3'!$B$70:$B$128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TEMP3'!$BG$70:$BG$128</c:f>
              <c:numCache>
                <c:formatCode>0.0</c:formatCode>
                <c:ptCount val="59"/>
                <c:pt idx="0">
                  <c:v>111.19</c:v>
                </c:pt>
                <c:pt idx="1">
                  <c:v>112.62</c:v>
                </c:pt>
                <c:pt idx="2">
                  <c:v>113.9</c:v>
                </c:pt>
                <c:pt idx="3">
                  <c:v>114.96</c:v>
                </c:pt>
                <c:pt idx="4">
                  <c:v>115.91</c:v>
                </c:pt>
                <c:pt idx="5">
                  <c:v>116.74</c:v>
                </c:pt>
                <c:pt idx="6">
                  <c:v>117.41</c:v>
                </c:pt>
                <c:pt idx="7">
                  <c:v>118.07</c:v>
                </c:pt>
                <c:pt idx="8">
                  <c:v>118.57</c:v>
                </c:pt>
                <c:pt idx="9">
                  <c:v>119.06</c:v>
                </c:pt>
                <c:pt idx="10">
                  <c:v>119.44</c:v>
                </c:pt>
                <c:pt idx="11">
                  <c:v>119.8</c:v>
                </c:pt>
                <c:pt idx="12">
                  <c:v>120.1</c:v>
                </c:pt>
                <c:pt idx="13">
                  <c:v>120.39</c:v>
                </c:pt>
                <c:pt idx="14">
                  <c:v>120.6</c:v>
                </c:pt>
                <c:pt idx="15">
                  <c:v>120.8</c:v>
                </c:pt>
                <c:pt idx="16">
                  <c:v>120.99</c:v>
                </c:pt>
                <c:pt idx="17">
                  <c:v>121.13</c:v>
                </c:pt>
                <c:pt idx="18">
                  <c:v>121.21</c:v>
                </c:pt>
                <c:pt idx="19">
                  <c:v>121.38</c:v>
                </c:pt>
                <c:pt idx="20">
                  <c:v>121.42</c:v>
                </c:pt>
                <c:pt idx="21">
                  <c:v>121.58</c:v>
                </c:pt>
                <c:pt idx="22">
                  <c:v>121.57</c:v>
                </c:pt>
                <c:pt idx="23">
                  <c:v>121.7</c:v>
                </c:pt>
                <c:pt idx="24">
                  <c:v>121.66</c:v>
                </c:pt>
                <c:pt idx="25">
                  <c:v>121.81</c:v>
                </c:pt>
                <c:pt idx="26">
                  <c:v>121.78</c:v>
                </c:pt>
                <c:pt idx="27">
                  <c:v>121.91</c:v>
                </c:pt>
                <c:pt idx="28">
                  <c:v>121.92</c:v>
                </c:pt>
                <c:pt idx="29">
                  <c:v>121.87</c:v>
                </c:pt>
                <c:pt idx="30">
                  <c:v>122</c:v>
                </c:pt>
                <c:pt idx="31">
                  <c:v>121.92</c:v>
                </c:pt>
                <c:pt idx="32">
                  <c:v>122.1</c:v>
                </c:pt>
                <c:pt idx="33">
                  <c:v>122.02</c:v>
                </c:pt>
                <c:pt idx="34">
                  <c:v>122.05</c:v>
                </c:pt>
                <c:pt idx="35">
                  <c:v>122.04</c:v>
                </c:pt>
                <c:pt idx="36">
                  <c:v>122.02</c:v>
                </c:pt>
                <c:pt idx="37">
                  <c:v>122.09</c:v>
                </c:pt>
                <c:pt idx="38">
                  <c:v>122.03</c:v>
                </c:pt>
                <c:pt idx="39">
                  <c:v>122.08</c:v>
                </c:pt>
                <c:pt idx="40">
                  <c:v>122.07</c:v>
                </c:pt>
                <c:pt idx="41">
                  <c:v>122.09</c:v>
                </c:pt>
                <c:pt idx="42">
                  <c:v>122.07</c:v>
                </c:pt>
                <c:pt idx="43">
                  <c:v>122.09</c:v>
                </c:pt>
                <c:pt idx="44">
                  <c:v>122.12</c:v>
                </c:pt>
                <c:pt idx="45">
                  <c:v>122.11</c:v>
                </c:pt>
                <c:pt idx="46">
                  <c:v>122.12</c:v>
                </c:pt>
                <c:pt idx="47">
                  <c:v>122.1</c:v>
                </c:pt>
                <c:pt idx="48">
                  <c:v>122.13</c:v>
                </c:pt>
                <c:pt idx="49">
                  <c:v>122.12</c:v>
                </c:pt>
                <c:pt idx="50">
                  <c:v>122.15</c:v>
                </c:pt>
                <c:pt idx="51">
                  <c:v>122.14</c:v>
                </c:pt>
                <c:pt idx="52">
                  <c:v>122.18</c:v>
                </c:pt>
                <c:pt idx="53">
                  <c:v>122.13</c:v>
                </c:pt>
                <c:pt idx="54">
                  <c:v>122.17</c:v>
                </c:pt>
                <c:pt idx="55">
                  <c:v>122.15</c:v>
                </c:pt>
                <c:pt idx="56">
                  <c:v>122.17</c:v>
                </c:pt>
                <c:pt idx="57">
                  <c:v>122.13</c:v>
                </c:pt>
                <c:pt idx="58">
                  <c:v>122.2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02C1-485A-BD26-AFC015213497}"/>
            </c:ext>
          </c:extLst>
        </c:ser>
        <c:ser>
          <c:idx val="6"/>
          <c:order val="6"/>
          <c:tx>
            <c:strRef>
              <c:f>'DESEMPEÑO  TEMP3'!$BH$30</c:f>
              <c:strCache>
                <c:ptCount val="1"/>
                <c:pt idx="0">
                  <c:v>Q07513</c:v>
                </c:pt>
              </c:strCache>
            </c:strRef>
          </c:tx>
          <c:marker>
            <c:symbol val="none"/>
          </c:marker>
          <c:cat>
            <c:numRef>
              <c:f>'DESEMPEÑO  TEMP3'!$B$70:$B$128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TEMP3'!$BH$70:$BH$128</c:f>
              <c:numCache>
                <c:formatCode>0.0</c:formatCode>
                <c:ptCount val="59"/>
                <c:pt idx="0">
                  <c:v>116.91</c:v>
                </c:pt>
                <c:pt idx="1">
                  <c:v>117.7</c:v>
                </c:pt>
                <c:pt idx="2">
                  <c:v>117.93</c:v>
                </c:pt>
                <c:pt idx="3">
                  <c:v>118.77</c:v>
                </c:pt>
                <c:pt idx="4">
                  <c:v>118.89</c:v>
                </c:pt>
                <c:pt idx="5">
                  <c:v>119.49</c:v>
                </c:pt>
                <c:pt idx="6">
                  <c:v>119.94</c:v>
                </c:pt>
                <c:pt idx="7">
                  <c:v>119.94</c:v>
                </c:pt>
                <c:pt idx="8">
                  <c:v>120.49</c:v>
                </c:pt>
                <c:pt idx="9">
                  <c:v>120.22</c:v>
                </c:pt>
                <c:pt idx="10">
                  <c:v>120.83</c:v>
                </c:pt>
                <c:pt idx="11">
                  <c:v>120.38</c:v>
                </c:pt>
                <c:pt idx="12">
                  <c:v>121.22</c:v>
                </c:pt>
                <c:pt idx="13">
                  <c:v>120.76</c:v>
                </c:pt>
                <c:pt idx="14">
                  <c:v>121.36</c:v>
                </c:pt>
                <c:pt idx="15">
                  <c:v>121.58</c:v>
                </c:pt>
                <c:pt idx="16">
                  <c:v>121.35</c:v>
                </c:pt>
                <c:pt idx="17">
                  <c:v>121.69</c:v>
                </c:pt>
                <c:pt idx="18">
                  <c:v>121.28</c:v>
                </c:pt>
                <c:pt idx="19">
                  <c:v>121.91</c:v>
                </c:pt>
                <c:pt idx="20">
                  <c:v>121.19</c:v>
                </c:pt>
                <c:pt idx="21">
                  <c:v>122.08</c:v>
                </c:pt>
                <c:pt idx="22">
                  <c:v>121.68</c:v>
                </c:pt>
                <c:pt idx="23">
                  <c:v>121.92</c:v>
                </c:pt>
                <c:pt idx="24">
                  <c:v>122.26</c:v>
                </c:pt>
                <c:pt idx="25">
                  <c:v>121.72</c:v>
                </c:pt>
                <c:pt idx="26">
                  <c:v>122.3</c:v>
                </c:pt>
                <c:pt idx="27">
                  <c:v>121.5</c:v>
                </c:pt>
                <c:pt idx="28">
                  <c:v>122.3</c:v>
                </c:pt>
                <c:pt idx="29">
                  <c:v>122.41</c:v>
                </c:pt>
                <c:pt idx="30">
                  <c:v>122.1</c:v>
                </c:pt>
                <c:pt idx="31">
                  <c:v>122.51</c:v>
                </c:pt>
                <c:pt idx="32">
                  <c:v>121.83</c:v>
                </c:pt>
                <c:pt idx="33">
                  <c:v>122.64</c:v>
                </c:pt>
                <c:pt idx="34">
                  <c:v>121.64</c:v>
                </c:pt>
                <c:pt idx="35">
                  <c:v>122.44</c:v>
                </c:pt>
                <c:pt idx="36">
                  <c:v>122.59</c:v>
                </c:pt>
                <c:pt idx="37">
                  <c:v>122.04</c:v>
                </c:pt>
                <c:pt idx="38">
                  <c:v>122.72</c:v>
                </c:pt>
                <c:pt idx="39">
                  <c:v>121.83</c:v>
                </c:pt>
                <c:pt idx="40">
                  <c:v>122.78</c:v>
                </c:pt>
                <c:pt idx="41">
                  <c:v>121.7</c:v>
                </c:pt>
                <c:pt idx="42">
                  <c:v>122.75</c:v>
                </c:pt>
                <c:pt idx="43">
                  <c:v>121.67</c:v>
                </c:pt>
                <c:pt idx="44">
                  <c:v>122.69</c:v>
                </c:pt>
                <c:pt idx="45">
                  <c:v>121.76</c:v>
                </c:pt>
                <c:pt idx="46">
                  <c:v>122.59</c:v>
                </c:pt>
                <c:pt idx="47">
                  <c:v>122.15</c:v>
                </c:pt>
                <c:pt idx="48">
                  <c:v>122.53</c:v>
                </c:pt>
                <c:pt idx="49">
                  <c:v>122.33</c:v>
                </c:pt>
                <c:pt idx="50">
                  <c:v>122.46</c:v>
                </c:pt>
                <c:pt idx="51">
                  <c:v>122.85</c:v>
                </c:pt>
                <c:pt idx="52">
                  <c:v>122.33</c:v>
                </c:pt>
                <c:pt idx="53">
                  <c:v>122.85</c:v>
                </c:pt>
                <c:pt idx="54">
                  <c:v>122.16</c:v>
                </c:pt>
                <c:pt idx="55">
                  <c:v>122.89</c:v>
                </c:pt>
                <c:pt idx="56">
                  <c:v>122.05</c:v>
                </c:pt>
                <c:pt idx="57">
                  <c:v>122.78</c:v>
                </c:pt>
                <c:pt idx="58">
                  <c:v>121.96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02C1-485A-BD26-AFC015213497}"/>
            </c:ext>
          </c:extLst>
        </c:ser>
        <c:ser>
          <c:idx val="7"/>
          <c:order val="7"/>
          <c:tx>
            <c:strRef>
              <c:f>'DESEMPEÑO  TEMP3'!$BI$30</c:f>
              <c:strCache>
                <c:ptCount val="1"/>
                <c:pt idx="0">
                  <c:v>Q07518</c:v>
                </c:pt>
              </c:strCache>
            </c:strRef>
          </c:tx>
          <c:marker>
            <c:symbol val="none"/>
          </c:marker>
          <c:cat>
            <c:numRef>
              <c:f>'DESEMPEÑO  TEMP3'!$B$70:$B$128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TEMP3'!$BI$70:$BI$128</c:f>
              <c:numCache>
                <c:formatCode>0.0</c:formatCode>
                <c:ptCount val="59"/>
                <c:pt idx="0">
                  <c:v>123.56</c:v>
                </c:pt>
                <c:pt idx="1">
                  <c:v>123.26</c:v>
                </c:pt>
                <c:pt idx="2">
                  <c:v>122.65</c:v>
                </c:pt>
                <c:pt idx="3">
                  <c:v>123.85</c:v>
                </c:pt>
                <c:pt idx="4">
                  <c:v>122.64</c:v>
                </c:pt>
                <c:pt idx="5">
                  <c:v>123.59</c:v>
                </c:pt>
                <c:pt idx="6">
                  <c:v>123.29</c:v>
                </c:pt>
                <c:pt idx="7">
                  <c:v>122.73</c:v>
                </c:pt>
                <c:pt idx="8">
                  <c:v>123.16</c:v>
                </c:pt>
                <c:pt idx="9">
                  <c:v>122.42</c:v>
                </c:pt>
                <c:pt idx="10">
                  <c:v>123.12</c:v>
                </c:pt>
                <c:pt idx="11">
                  <c:v>122.2</c:v>
                </c:pt>
                <c:pt idx="12">
                  <c:v>123.22</c:v>
                </c:pt>
                <c:pt idx="13">
                  <c:v>122.3</c:v>
                </c:pt>
                <c:pt idx="14">
                  <c:v>123.07</c:v>
                </c:pt>
                <c:pt idx="15">
                  <c:v>123.03</c:v>
                </c:pt>
                <c:pt idx="16">
                  <c:v>122.9</c:v>
                </c:pt>
                <c:pt idx="17">
                  <c:v>123.01</c:v>
                </c:pt>
                <c:pt idx="18">
                  <c:v>122.36</c:v>
                </c:pt>
                <c:pt idx="19">
                  <c:v>123.03</c:v>
                </c:pt>
                <c:pt idx="20">
                  <c:v>122.03</c:v>
                </c:pt>
                <c:pt idx="21">
                  <c:v>123.07</c:v>
                </c:pt>
                <c:pt idx="22">
                  <c:v>122.4</c:v>
                </c:pt>
                <c:pt idx="23">
                  <c:v>122.76</c:v>
                </c:pt>
                <c:pt idx="24">
                  <c:v>123.01</c:v>
                </c:pt>
                <c:pt idx="25">
                  <c:v>122.37</c:v>
                </c:pt>
                <c:pt idx="26">
                  <c:v>122.99</c:v>
                </c:pt>
                <c:pt idx="27">
                  <c:v>121.96</c:v>
                </c:pt>
                <c:pt idx="28">
                  <c:v>122.89</c:v>
                </c:pt>
                <c:pt idx="29">
                  <c:v>122.86</c:v>
                </c:pt>
                <c:pt idx="30">
                  <c:v>122.55</c:v>
                </c:pt>
                <c:pt idx="31">
                  <c:v>122.95</c:v>
                </c:pt>
                <c:pt idx="32">
                  <c:v>122.17</c:v>
                </c:pt>
                <c:pt idx="33">
                  <c:v>123.05</c:v>
                </c:pt>
                <c:pt idx="34">
                  <c:v>121.86</c:v>
                </c:pt>
                <c:pt idx="35">
                  <c:v>122.78</c:v>
                </c:pt>
                <c:pt idx="36">
                  <c:v>122.89</c:v>
                </c:pt>
                <c:pt idx="37">
                  <c:v>122.29</c:v>
                </c:pt>
                <c:pt idx="38">
                  <c:v>123.02</c:v>
                </c:pt>
                <c:pt idx="39">
                  <c:v>122</c:v>
                </c:pt>
                <c:pt idx="40">
                  <c:v>123.06</c:v>
                </c:pt>
                <c:pt idx="41">
                  <c:v>121.82</c:v>
                </c:pt>
                <c:pt idx="42">
                  <c:v>122.99</c:v>
                </c:pt>
                <c:pt idx="43">
                  <c:v>121.76</c:v>
                </c:pt>
                <c:pt idx="44">
                  <c:v>122.9</c:v>
                </c:pt>
                <c:pt idx="45">
                  <c:v>121.82</c:v>
                </c:pt>
                <c:pt idx="46">
                  <c:v>122.78</c:v>
                </c:pt>
                <c:pt idx="47">
                  <c:v>122.23</c:v>
                </c:pt>
                <c:pt idx="48">
                  <c:v>122.7</c:v>
                </c:pt>
                <c:pt idx="49">
                  <c:v>122.42</c:v>
                </c:pt>
                <c:pt idx="50">
                  <c:v>122.6</c:v>
                </c:pt>
                <c:pt idx="51">
                  <c:v>123.01</c:v>
                </c:pt>
                <c:pt idx="52">
                  <c:v>122.45</c:v>
                </c:pt>
                <c:pt idx="53">
                  <c:v>123.01</c:v>
                </c:pt>
                <c:pt idx="54">
                  <c:v>122.25</c:v>
                </c:pt>
                <c:pt idx="55">
                  <c:v>123.04</c:v>
                </c:pt>
                <c:pt idx="56">
                  <c:v>122.12</c:v>
                </c:pt>
                <c:pt idx="57">
                  <c:v>122.93</c:v>
                </c:pt>
                <c:pt idx="58">
                  <c:v>122.02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02C1-485A-BD26-AFC015213497}"/>
            </c:ext>
          </c:extLst>
        </c:ser>
        <c:ser>
          <c:idx val="8"/>
          <c:order val="8"/>
          <c:tx>
            <c:strRef>
              <c:f>'DESEMPEÑO  TEMP3'!$BJ$30</c:f>
              <c:strCache>
                <c:ptCount val="1"/>
                <c:pt idx="0">
                  <c:v>Q07521</c:v>
                </c:pt>
              </c:strCache>
            </c:strRef>
          </c:tx>
          <c:marker>
            <c:symbol val="none"/>
          </c:marker>
          <c:cat>
            <c:numRef>
              <c:f>'DESEMPEÑO  TEMP3'!$B$70:$B$128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TEMP3'!$BJ$70:$BJ$128</c:f>
              <c:numCache>
                <c:formatCode>0.0</c:formatCode>
                <c:ptCount val="59"/>
                <c:pt idx="0">
                  <c:v>122.79</c:v>
                </c:pt>
                <c:pt idx="1">
                  <c:v>123.17</c:v>
                </c:pt>
                <c:pt idx="2">
                  <c:v>122.02</c:v>
                </c:pt>
                <c:pt idx="3">
                  <c:v>123.02</c:v>
                </c:pt>
                <c:pt idx="4">
                  <c:v>122.46</c:v>
                </c:pt>
                <c:pt idx="5">
                  <c:v>122.6</c:v>
                </c:pt>
                <c:pt idx="6">
                  <c:v>122.98</c:v>
                </c:pt>
                <c:pt idx="7">
                  <c:v>122.3</c:v>
                </c:pt>
                <c:pt idx="8">
                  <c:v>122.99</c:v>
                </c:pt>
                <c:pt idx="9">
                  <c:v>122.09</c:v>
                </c:pt>
                <c:pt idx="10">
                  <c:v>122.83</c:v>
                </c:pt>
                <c:pt idx="11">
                  <c:v>121.95</c:v>
                </c:pt>
                <c:pt idx="12">
                  <c:v>123</c:v>
                </c:pt>
                <c:pt idx="13">
                  <c:v>122.19</c:v>
                </c:pt>
                <c:pt idx="14">
                  <c:v>122.8</c:v>
                </c:pt>
                <c:pt idx="15">
                  <c:v>122.99</c:v>
                </c:pt>
                <c:pt idx="16">
                  <c:v>122.52</c:v>
                </c:pt>
                <c:pt idx="17">
                  <c:v>122.83</c:v>
                </c:pt>
                <c:pt idx="18">
                  <c:v>122.18</c:v>
                </c:pt>
                <c:pt idx="19">
                  <c:v>122.89</c:v>
                </c:pt>
                <c:pt idx="20">
                  <c:v>121.86</c:v>
                </c:pt>
                <c:pt idx="21">
                  <c:v>122.92</c:v>
                </c:pt>
                <c:pt idx="22">
                  <c:v>122.38</c:v>
                </c:pt>
                <c:pt idx="23">
                  <c:v>122.57</c:v>
                </c:pt>
                <c:pt idx="24">
                  <c:v>122.91</c:v>
                </c:pt>
                <c:pt idx="25">
                  <c:v>122.2</c:v>
                </c:pt>
                <c:pt idx="26">
                  <c:v>122.85</c:v>
                </c:pt>
                <c:pt idx="27">
                  <c:v>121.82</c:v>
                </c:pt>
                <c:pt idx="28">
                  <c:v>122.76</c:v>
                </c:pt>
                <c:pt idx="29">
                  <c:v>122.91</c:v>
                </c:pt>
                <c:pt idx="30">
                  <c:v>122.41</c:v>
                </c:pt>
                <c:pt idx="31">
                  <c:v>122.89</c:v>
                </c:pt>
                <c:pt idx="32">
                  <c:v>122.04</c:v>
                </c:pt>
                <c:pt idx="33">
                  <c:v>122.98</c:v>
                </c:pt>
                <c:pt idx="34">
                  <c:v>121.75</c:v>
                </c:pt>
                <c:pt idx="35">
                  <c:v>122.67</c:v>
                </c:pt>
                <c:pt idx="36">
                  <c:v>122.93</c:v>
                </c:pt>
                <c:pt idx="37">
                  <c:v>122.17</c:v>
                </c:pt>
                <c:pt idx="38">
                  <c:v>122.93</c:v>
                </c:pt>
                <c:pt idx="39">
                  <c:v>121.89</c:v>
                </c:pt>
                <c:pt idx="40">
                  <c:v>122.98</c:v>
                </c:pt>
                <c:pt idx="41">
                  <c:v>121.7</c:v>
                </c:pt>
                <c:pt idx="42">
                  <c:v>122.9</c:v>
                </c:pt>
                <c:pt idx="43">
                  <c:v>121.65</c:v>
                </c:pt>
                <c:pt idx="44">
                  <c:v>122.78</c:v>
                </c:pt>
                <c:pt idx="45">
                  <c:v>121.76</c:v>
                </c:pt>
                <c:pt idx="46">
                  <c:v>122.67</c:v>
                </c:pt>
                <c:pt idx="47">
                  <c:v>122.26</c:v>
                </c:pt>
                <c:pt idx="48">
                  <c:v>122.59</c:v>
                </c:pt>
                <c:pt idx="49">
                  <c:v>122.46</c:v>
                </c:pt>
                <c:pt idx="50">
                  <c:v>122.48</c:v>
                </c:pt>
                <c:pt idx="51">
                  <c:v>122.98</c:v>
                </c:pt>
                <c:pt idx="52">
                  <c:v>122.34</c:v>
                </c:pt>
                <c:pt idx="53">
                  <c:v>122.96</c:v>
                </c:pt>
                <c:pt idx="54">
                  <c:v>122.14</c:v>
                </c:pt>
                <c:pt idx="55">
                  <c:v>122.97</c:v>
                </c:pt>
                <c:pt idx="56">
                  <c:v>122.01</c:v>
                </c:pt>
                <c:pt idx="57">
                  <c:v>122.83</c:v>
                </c:pt>
                <c:pt idx="58">
                  <c:v>121.92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02C1-485A-BD26-AFC015213497}"/>
            </c:ext>
          </c:extLst>
        </c:ser>
        <c:ser>
          <c:idx val="9"/>
          <c:order val="9"/>
          <c:tx>
            <c:strRef>
              <c:f>'DESEMPEÑO  TEMP3'!$BK$30</c:f>
              <c:strCache>
                <c:ptCount val="1"/>
                <c:pt idx="0">
                  <c:v>Q01421</c:v>
                </c:pt>
              </c:strCache>
            </c:strRef>
          </c:tx>
          <c:marker>
            <c:symbol val="none"/>
          </c:marker>
          <c:cat>
            <c:numRef>
              <c:f>'DESEMPEÑO  TEMP3'!$B$70:$B$128</c:f>
              <c:numCache>
                <c:formatCode>h:mm:ss\ AM/PM</c:formatCode>
                <c:ptCount val="59"/>
                <c:pt idx="0">
                  <c:v>0.47187499999999999</c:v>
                </c:pt>
                <c:pt idx="1">
                  <c:v>0.47222222222222227</c:v>
                </c:pt>
                <c:pt idx="2">
                  <c:v>0.47256944444444443</c:v>
                </c:pt>
                <c:pt idx="3">
                  <c:v>0.47291666666666665</c:v>
                </c:pt>
                <c:pt idx="4">
                  <c:v>0.47326388888888887</c:v>
                </c:pt>
                <c:pt idx="5">
                  <c:v>0.47361111111111115</c:v>
                </c:pt>
                <c:pt idx="6">
                  <c:v>0.47395833333333331</c:v>
                </c:pt>
                <c:pt idx="7">
                  <c:v>0.47430555555555554</c:v>
                </c:pt>
                <c:pt idx="8">
                  <c:v>0.47465277777777781</c:v>
                </c:pt>
                <c:pt idx="9">
                  <c:v>0.47500000000000003</c:v>
                </c:pt>
                <c:pt idx="10">
                  <c:v>0.4753472222222222</c:v>
                </c:pt>
                <c:pt idx="11">
                  <c:v>0.47569444444444442</c:v>
                </c:pt>
                <c:pt idx="12">
                  <c:v>0.4760416666666667</c:v>
                </c:pt>
                <c:pt idx="13">
                  <c:v>0.47638888888888892</c:v>
                </c:pt>
                <c:pt idx="14">
                  <c:v>0.47673611111111108</c:v>
                </c:pt>
                <c:pt idx="15">
                  <c:v>0.4770833333333333</c:v>
                </c:pt>
                <c:pt idx="16">
                  <c:v>0.47743055555555558</c:v>
                </c:pt>
                <c:pt idx="17">
                  <c:v>0.4777777777777778</c:v>
                </c:pt>
                <c:pt idx="18">
                  <c:v>0.47812499999999997</c:v>
                </c:pt>
                <c:pt idx="19">
                  <c:v>0.47847222222222219</c:v>
                </c:pt>
                <c:pt idx="20">
                  <c:v>0.47881944444444446</c:v>
                </c:pt>
                <c:pt idx="21">
                  <c:v>0.47916666666666669</c:v>
                </c:pt>
                <c:pt idx="22">
                  <c:v>0.47951388888888885</c:v>
                </c:pt>
                <c:pt idx="23">
                  <c:v>0.47986111111111113</c:v>
                </c:pt>
                <c:pt idx="24">
                  <c:v>0.48020833333333335</c:v>
                </c:pt>
                <c:pt idx="25">
                  <c:v>0.48055555555555557</c:v>
                </c:pt>
                <c:pt idx="26">
                  <c:v>0.48090277777777773</c:v>
                </c:pt>
                <c:pt idx="27">
                  <c:v>0.48125000000000001</c:v>
                </c:pt>
                <c:pt idx="28">
                  <c:v>0.48159722222222223</c:v>
                </c:pt>
                <c:pt idx="29">
                  <c:v>0.48194444444444445</c:v>
                </c:pt>
                <c:pt idx="30">
                  <c:v>0.48229166666666662</c:v>
                </c:pt>
                <c:pt idx="31">
                  <c:v>0.4826388888888889</c:v>
                </c:pt>
                <c:pt idx="32">
                  <c:v>0.48298611111111112</c:v>
                </c:pt>
                <c:pt idx="33">
                  <c:v>0.48333333333333334</c:v>
                </c:pt>
                <c:pt idx="34">
                  <c:v>0.4836805555555555</c:v>
                </c:pt>
                <c:pt idx="35">
                  <c:v>0.48402777777777778</c:v>
                </c:pt>
                <c:pt idx="36">
                  <c:v>0.484375</c:v>
                </c:pt>
                <c:pt idx="37">
                  <c:v>0.48472222222222222</c:v>
                </c:pt>
                <c:pt idx="38">
                  <c:v>0.4850694444444445</c:v>
                </c:pt>
                <c:pt idx="39">
                  <c:v>0.48541666666666666</c:v>
                </c:pt>
                <c:pt idx="40">
                  <c:v>0.48576388888888888</c:v>
                </c:pt>
                <c:pt idx="41">
                  <c:v>0.4861111111111111</c:v>
                </c:pt>
                <c:pt idx="42">
                  <c:v>0.48645833333333338</c:v>
                </c:pt>
                <c:pt idx="43">
                  <c:v>0.48680555555555555</c:v>
                </c:pt>
                <c:pt idx="44">
                  <c:v>0.48715277777777777</c:v>
                </c:pt>
                <c:pt idx="45">
                  <c:v>0.48749999999999999</c:v>
                </c:pt>
                <c:pt idx="46">
                  <c:v>0.48784722222222227</c:v>
                </c:pt>
                <c:pt idx="47">
                  <c:v>0.48819444444444443</c:v>
                </c:pt>
                <c:pt idx="48">
                  <c:v>0.48854166666666665</c:v>
                </c:pt>
                <c:pt idx="49">
                  <c:v>0.48888888888888887</c:v>
                </c:pt>
                <c:pt idx="50">
                  <c:v>0.48923611111111115</c:v>
                </c:pt>
                <c:pt idx="51">
                  <c:v>0.48958333333333331</c:v>
                </c:pt>
                <c:pt idx="52">
                  <c:v>0.48993055555555554</c:v>
                </c:pt>
                <c:pt idx="53">
                  <c:v>0.49027777777777781</c:v>
                </c:pt>
                <c:pt idx="54">
                  <c:v>0.49062500000000003</c:v>
                </c:pt>
                <c:pt idx="55">
                  <c:v>0.4909722222222222</c:v>
                </c:pt>
                <c:pt idx="56">
                  <c:v>0.49131944444444442</c:v>
                </c:pt>
                <c:pt idx="57">
                  <c:v>0.4916666666666667</c:v>
                </c:pt>
                <c:pt idx="58">
                  <c:v>0.49201388888888892</c:v>
                </c:pt>
              </c:numCache>
            </c:numRef>
          </c:cat>
          <c:val>
            <c:numRef>
              <c:f>'DESEMPEÑO  TEMP3'!$BK$70:$BK$128</c:f>
              <c:numCache>
                <c:formatCode>0.0</c:formatCode>
                <c:ptCount val="59"/>
                <c:pt idx="0">
                  <c:v>120.68</c:v>
                </c:pt>
                <c:pt idx="1">
                  <c:v>120.88</c:v>
                </c:pt>
                <c:pt idx="2">
                  <c:v>121.32</c:v>
                </c:pt>
                <c:pt idx="3">
                  <c:v>121.51</c:v>
                </c:pt>
                <c:pt idx="4">
                  <c:v>121.62</c:v>
                </c:pt>
                <c:pt idx="5">
                  <c:v>121.92</c:v>
                </c:pt>
                <c:pt idx="6">
                  <c:v>121.91</c:v>
                </c:pt>
                <c:pt idx="7">
                  <c:v>122.16</c:v>
                </c:pt>
                <c:pt idx="8">
                  <c:v>122.15</c:v>
                </c:pt>
                <c:pt idx="9">
                  <c:v>122.29</c:v>
                </c:pt>
                <c:pt idx="10">
                  <c:v>122.31</c:v>
                </c:pt>
                <c:pt idx="11">
                  <c:v>122.36</c:v>
                </c:pt>
                <c:pt idx="12">
                  <c:v>122.43</c:v>
                </c:pt>
                <c:pt idx="13">
                  <c:v>122.4</c:v>
                </c:pt>
                <c:pt idx="14">
                  <c:v>122.51</c:v>
                </c:pt>
                <c:pt idx="15">
                  <c:v>122.41</c:v>
                </c:pt>
                <c:pt idx="16">
                  <c:v>122.55</c:v>
                </c:pt>
                <c:pt idx="17">
                  <c:v>122.45</c:v>
                </c:pt>
                <c:pt idx="18">
                  <c:v>122.54</c:v>
                </c:pt>
                <c:pt idx="19">
                  <c:v>122.48</c:v>
                </c:pt>
                <c:pt idx="20">
                  <c:v>122.5</c:v>
                </c:pt>
                <c:pt idx="21">
                  <c:v>122.52</c:v>
                </c:pt>
                <c:pt idx="22">
                  <c:v>122.44</c:v>
                </c:pt>
                <c:pt idx="23">
                  <c:v>122.56</c:v>
                </c:pt>
                <c:pt idx="24">
                  <c:v>122.43</c:v>
                </c:pt>
                <c:pt idx="25">
                  <c:v>122.55</c:v>
                </c:pt>
                <c:pt idx="26">
                  <c:v>122.48</c:v>
                </c:pt>
                <c:pt idx="27">
                  <c:v>122.49</c:v>
                </c:pt>
                <c:pt idx="28">
                  <c:v>122.53</c:v>
                </c:pt>
                <c:pt idx="29">
                  <c:v>122.42</c:v>
                </c:pt>
                <c:pt idx="30">
                  <c:v>122.54</c:v>
                </c:pt>
                <c:pt idx="31">
                  <c:v>122.44</c:v>
                </c:pt>
                <c:pt idx="32">
                  <c:v>122.53</c:v>
                </c:pt>
                <c:pt idx="33">
                  <c:v>122.49</c:v>
                </c:pt>
                <c:pt idx="34">
                  <c:v>122.47</c:v>
                </c:pt>
                <c:pt idx="35">
                  <c:v>122.53</c:v>
                </c:pt>
                <c:pt idx="36">
                  <c:v>122.39</c:v>
                </c:pt>
                <c:pt idx="37">
                  <c:v>122.51</c:v>
                </c:pt>
                <c:pt idx="38">
                  <c:v>122.43</c:v>
                </c:pt>
                <c:pt idx="39">
                  <c:v>122.47</c:v>
                </c:pt>
                <c:pt idx="40">
                  <c:v>122.46</c:v>
                </c:pt>
                <c:pt idx="41">
                  <c:v>122.43</c:v>
                </c:pt>
                <c:pt idx="42">
                  <c:v>122.47</c:v>
                </c:pt>
                <c:pt idx="43">
                  <c:v>122.42</c:v>
                </c:pt>
                <c:pt idx="44">
                  <c:v>122.5</c:v>
                </c:pt>
                <c:pt idx="45">
                  <c:v>122.4</c:v>
                </c:pt>
                <c:pt idx="46">
                  <c:v>122.5</c:v>
                </c:pt>
                <c:pt idx="47">
                  <c:v>122.38</c:v>
                </c:pt>
                <c:pt idx="48">
                  <c:v>122.51</c:v>
                </c:pt>
                <c:pt idx="49">
                  <c:v>122.37</c:v>
                </c:pt>
                <c:pt idx="50">
                  <c:v>122.52</c:v>
                </c:pt>
                <c:pt idx="51">
                  <c:v>122.37</c:v>
                </c:pt>
                <c:pt idx="52">
                  <c:v>122.52</c:v>
                </c:pt>
                <c:pt idx="53">
                  <c:v>122.4</c:v>
                </c:pt>
                <c:pt idx="54">
                  <c:v>122.5</c:v>
                </c:pt>
                <c:pt idx="55">
                  <c:v>122.41</c:v>
                </c:pt>
                <c:pt idx="56">
                  <c:v>122.48</c:v>
                </c:pt>
                <c:pt idx="57">
                  <c:v>122.43</c:v>
                </c:pt>
                <c:pt idx="58">
                  <c:v>122.46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02C1-485A-BD26-AFC0152134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4430672"/>
        <c:axId val="434430016"/>
      </c:lineChart>
      <c:catAx>
        <c:axId val="4344306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Hora (HH:MM:SS)</a:t>
                </a:r>
              </a:p>
            </c:rich>
          </c:tx>
          <c:overlay val="0"/>
        </c:title>
        <c:numFmt formatCode="h:mm:ss\ AM/PM" sourceLinked="1"/>
        <c:majorTickMark val="out"/>
        <c:minorTickMark val="none"/>
        <c:tickLblPos val="nextTo"/>
        <c:crossAx val="434430016"/>
        <c:crosses val="autoZero"/>
        <c:auto val="1"/>
        <c:lblAlgn val="ctr"/>
        <c:lblOffset val="100"/>
        <c:noMultiLvlLbl val="0"/>
      </c:catAx>
      <c:valAx>
        <c:axId val="434430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400" i="1">
                    <a:solidFill>
                      <a:srgbClr val="FF0000"/>
                    </a:solidFill>
                  </a:defRPr>
                </a:pPr>
                <a:r>
                  <a:rPr lang="es-CO" sz="1400" i="1">
                    <a:solidFill>
                      <a:srgbClr val="FF0000"/>
                    </a:solidFill>
                  </a:rPr>
                  <a:t>Temperatura (°C)</a:t>
                </a:r>
              </a:p>
            </c:rich>
          </c:tx>
          <c:overlay val="0"/>
        </c:title>
        <c:numFmt formatCode="0.0" sourceLinked="1"/>
        <c:majorTickMark val="out"/>
        <c:minorTickMark val="none"/>
        <c:tickLblPos val="nextTo"/>
        <c:crossAx val="434430672"/>
        <c:crosses val="autoZero"/>
        <c:crossBetween val="between"/>
      </c:val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77D2D2C-E1FA-4595-89B5-D83D6E99D55D}">
  <sheetPr codeName="Gráfico10"/>
  <sheetViews>
    <sheetView zoomScale="79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20DD338-4529-472D-898C-2E38DD86E776}">
  <sheetPr codeName="Gráfico11"/>
  <sheetViews>
    <sheetView zoomScale="79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F477C58-D75B-4F2E-B214-AB8E00BBD03E}">
  <sheetPr codeName="Gráfico12"/>
  <sheetViews>
    <sheetView zoomScale="79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C852197-C061-465C-99C5-E173CE6126E5}">
  <sheetPr codeName="Gráfico13"/>
  <sheetViews>
    <sheetView zoomScale="79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5DA72B3-9BA1-40B2-8FF1-547AEB7A04E9}">
  <sheetPr codeName="Gráfico8"/>
  <sheetViews>
    <sheetView zoomScale="79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5E7521F-3320-4E6F-A243-C346B66FD246}">
  <sheetPr codeName="Gráfico9"/>
  <sheetViews>
    <sheetView tabSelected="1" zoomScale="79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118222</xdr:colOff>
      <xdr:row>10</xdr:row>
      <xdr:rowOff>199465</xdr:rowOff>
    </xdr:from>
    <xdr:to>
      <xdr:col>8</xdr:col>
      <xdr:colOff>582705</xdr:colOff>
      <xdr:row>11</xdr:row>
      <xdr:rowOff>268943</xdr:rowOff>
    </xdr:to>
    <xdr:sp macro="[0]!Rectánguloesquinasredondeadas1_Haga_clic_en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001310" y="3673289"/>
          <a:ext cx="1316130" cy="4168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LLENAR</a:t>
          </a:r>
          <a:r>
            <a:rPr lang="es-CO" sz="1600" b="1" baseline="0">
              <a:latin typeface="Agency FB" panose="020B0503020202020204" pitchFamily="34" charset="0"/>
            </a:rPr>
            <a:t> DATOS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134472</xdr:colOff>
      <xdr:row>13</xdr:row>
      <xdr:rowOff>291352</xdr:rowOff>
    </xdr:from>
    <xdr:to>
      <xdr:col>8</xdr:col>
      <xdr:colOff>1770531</xdr:colOff>
      <xdr:row>14</xdr:row>
      <xdr:rowOff>313766</xdr:rowOff>
    </xdr:to>
    <xdr:sp macro="[0]!generar_informe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5233148" y="4807323"/>
          <a:ext cx="2375648" cy="369796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INFORME DE WORD</a:t>
          </a:r>
          <a:endParaRPr lang="es-CO" sz="1400" b="1">
            <a:latin typeface="Agency FB" panose="020B0503020202020204" pitchFamily="34" charset="0"/>
          </a:endParaRPr>
        </a:p>
      </xdr:txBody>
    </xdr:sp>
    <xdr:clientData/>
  </xdr:twoCellAnchor>
  <xdr:twoCellAnchor>
    <xdr:from>
      <xdr:col>7</xdr:col>
      <xdr:colOff>123264</xdr:colOff>
      <xdr:row>12</xdr:row>
      <xdr:rowOff>78443</xdr:rowOff>
    </xdr:from>
    <xdr:to>
      <xdr:col>8</xdr:col>
      <xdr:colOff>1434352</xdr:colOff>
      <xdr:row>13</xdr:row>
      <xdr:rowOff>112060</xdr:rowOff>
    </xdr:to>
    <xdr:sp macro="[0]!generar_hojast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21940" y="4247031"/>
          <a:ext cx="2050677" cy="38100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CO" sz="1600" b="1">
              <a:latin typeface="Agency FB" panose="020B0503020202020204" pitchFamily="34" charset="0"/>
            </a:rPr>
            <a:t>GENERAR</a:t>
          </a:r>
          <a:r>
            <a:rPr lang="es-CO" sz="1600" b="1" baseline="0">
              <a:latin typeface="Agency FB" panose="020B0503020202020204" pitchFamily="34" charset="0"/>
            </a:rPr>
            <a:t> HOJAS DE EXCEL</a:t>
          </a:r>
          <a:endParaRPr lang="es-CO" sz="1600" b="1">
            <a:latin typeface="Agency FB" panose="020B0503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33793" name="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7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34817" name="2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A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295918" cy="6076709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23</xdr:row>
          <xdr:rowOff>0</xdr:rowOff>
        </xdr:from>
        <xdr:to>
          <xdr:col>1</xdr:col>
          <xdr:colOff>0</xdr:colOff>
          <xdr:row>24</xdr:row>
          <xdr:rowOff>0</xdr:rowOff>
        </xdr:to>
        <xdr:sp macro="" textlink="">
          <xdr:nvSpPr>
            <xdr:cNvPr id="35841" name="3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D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Correr!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O23"/>
  <sheetViews>
    <sheetView topLeftCell="G1" zoomScale="85" zoomScaleNormal="85" workbookViewId="0">
      <selection activeCell="K14" sqref="K14"/>
    </sheetView>
  </sheetViews>
  <sheetFormatPr baseColWidth="10" defaultColWidth="11" defaultRowHeight="27.75" customHeight="1" x14ac:dyDescent="0.4"/>
  <cols>
    <col min="1" max="7" width="11" style="3"/>
    <col min="8" max="8" width="11.140625" style="3" customWidth="1"/>
    <col min="9" max="9" width="28.28515625" style="3" customWidth="1"/>
    <col min="10" max="10" width="12.28515625" style="3" customWidth="1"/>
    <col min="11" max="11" width="12.42578125" style="3" customWidth="1"/>
    <col min="12" max="12" width="24.5703125" style="3" customWidth="1"/>
    <col min="13" max="13" width="19.42578125" style="3" customWidth="1"/>
    <col min="14" max="14" width="11" style="3"/>
    <col min="15" max="15" width="25" style="3" customWidth="1"/>
    <col min="16" max="16384" width="11" style="3"/>
  </cols>
  <sheetData>
    <row r="1" spans="1:15" ht="27.75" customHeight="1" thickBot="1" x14ac:dyDescent="0.45">
      <c r="A1" s="1"/>
      <c r="B1" s="2"/>
      <c r="C1" s="2"/>
      <c r="D1" s="2"/>
      <c r="E1" s="2"/>
      <c r="F1" s="2"/>
      <c r="G1" s="2"/>
      <c r="H1" s="159" t="s">
        <v>0</v>
      </c>
      <c r="I1" s="160"/>
      <c r="J1" s="159" t="s">
        <v>61</v>
      </c>
      <c r="K1" s="163"/>
      <c r="L1" s="163"/>
      <c r="M1" s="163"/>
      <c r="N1" s="163"/>
      <c r="O1" s="160"/>
    </row>
    <row r="2" spans="1:15" ht="27.75" customHeight="1" thickBot="1" x14ac:dyDescent="0.45">
      <c r="A2" s="4"/>
      <c r="B2" s="5"/>
      <c r="C2" s="5"/>
      <c r="D2" s="5"/>
      <c r="E2" s="5"/>
      <c r="F2" s="5"/>
      <c r="G2" s="5"/>
      <c r="H2" s="39" t="s">
        <v>1</v>
      </c>
      <c r="I2" s="102">
        <v>43040</v>
      </c>
      <c r="J2" s="40"/>
      <c r="K2" s="40"/>
      <c r="L2" s="159" t="s">
        <v>7</v>
      </c>
      <c r="M2" s="160"/>
      <c r="N2" s="159">
        <v>3</v>
      </c>
      <c r="O2" s="160"/>
    </row>
    <row r="3" spans="1:15" ht="27.75" customHeight="1" thickBot="1" x14ac:dyDescent="0.45">
      <c r="A3" s="4"/>
      <c r="B3" s="5"/>
      <c r="C3" s="5"/>
      <c r="D3" s="5"/>
      <c r="E3" s="5"/>
      <c r="F3" s="5"/>
      <c r="G3" s="5"/>
      <c r="H3" s="39" t="s">
        <v>6</v>
      </c>
      <c r="I3" s="39" t="s">
        <v>45</v>
      </c>
      <c r="J3" s="40"/>
      <c r="K3" s="39" t="s">
        <v>8</v>
      </c>
      <c r="L3" s="41" t="s">
        <v>100</v>
      </c>
      <c r="M3" s="42" t="s">
        <v>50</v>
      </c>
      <c r="N3" s="159" t="s">
        <v>52</v>
      </c>
      <c r="O3" s="160"/>
    </row>
    <row r="4" spans="1:15" ht="27.75" customHeight="1" thickBot="1" x14ac:dyDescent="0.45">
      <c r="A4" s="4"/>
      <c r="B4" s="5"/>
      <c r="C4" s="5"/>
      <c r="D4" s="5"/>
      <c r="E4" s="5"/>
      <c r="F4" s="5"/>
      <c r="G4" s="5"/>
      <c r="H4" s="39" t="s">
        <v>5</v>
      </c>
      <c r="I4" s="39" t="s">
        <v>97</v>
      </c>
      <c r="J4" s="40"/>
      <c r="K4" s="39" t="s">
        <v>9</v>
      </c>
      <c r="L4" s="39" t="s">
        <v>53</v>
      </c>
      <c r="M4" s="42" t="s">
        <v>37</v>
      </c>
      <c r="N4" s="159">
        <v>3600</v>
      </c>
      <c r="O4" s="160"/>
    </row>
    <row r="5" spans="1:15" ht="27.75" customHeight="1" thickBot="1" x14ac:dyDescent="0.45">
      <c r="A5" s="4"/>
      <c r="B5" s="5"/>
      <c r="C5" s="5"/>
      <c r="D5" s="5"/>
      <c r="E5" s="5"/>
      <c r="F5" s="5"/>
      <c r="G5" s="5"/>
      <c r="H5" s="39" t="s">
        <v>2</v>
      </c>
      <c r="I5" s="39" t="s">
        <v>60</v>
      </c>
      <c r="J5" s="40"/>
      <c r="K5" s="39" t="s">
        <v>10</v>
      </c>
      <c r="L5" s="39" t="s">
        <v>101</v>
      </c>
      <c r="M5" s="39" t="s">
        <v>19</v>
      </c>
      <c r="N5" s="47" t="s">
        <v>102</v>
      </c>
      <c r="O5" s="57"/>
    </row>
    <row r="6" spans="1:15" ht="27.75" customHeight="1" thickBot="1" x14ac:dyDescent="0.45">
      <c r="A6" s="4"/>
      <c r="B6" s="5"/>
      <c r="C6" s="5"/>
      <c r="D6" s="5"/>
      <c r="E6" s="5"/>
      <c r="F6" s="5"/>
      <c r="G6" s="5"/>
      <c r="H6" s="39" t="s">
        <v>3</v>
      </c>
      <c r="I6" s="39" t="s">
        <v>98</v>
      </c>
      <c r="J6" s="40"/>
      <c r="K6" s="39" t="s">
        <v>11</v>
      </c>
      <c r="L6" s="39" t="s">
        <v>54</v>
      </c>
      <c r="M6" s="39" t="s">
        <v>14</v>
      </c>
      <c r="N6" s="159" t="s">
        <v>48</v>
      </c>
      <c r="O6" s="160"/>
    </row>
    <row r="7" spans="1:15" ht="27.75" customHeight="1" thickBot="1" x14ac:dyDescent="0.45">
      <c r="A7" s="4"/>
      <c r="B7" s="5"/>
      <c r="C7" s="5"/>
      <c r="D7" s="5"/>
      <c r="E7" s="5"/>
      <c r="F7" s="5"/>
      <c r="G7" s="5"/>
      <c r="H7" s="42" t="s">
        <v>4</v>
      </c>
      <c r="I7" s="101" t="s">
        <v>99</v>
      </c>
      <c r="J7" s="40"/>
      <c r="K7" s="39" t="s">
        <v>12</v>
      </c>
      <c r="L7" s="39" t="s">
        <v>55</v>
      </c>
      <c r="M7" s="43" t="s">
        <v>13</v>
      </c>
      <c r="N7" s="164" t="s">
        <v>56</v>
      </c>
      <c r="O7" s="160"/>
    </row>
    <row r="8" spans="1:15" ht="27.75" customHeight="1" thickBot="1" x14ac:dyDescent="0.45">
      <c r="A8" s="6"/>
      <c r="B8" s="7"/>
      <c r="C8" s="7"/>
      <c r="D8" s="7"/>
      <c r="E8" s="7"/>
      <c r="F8" s="7"/>
      <c r="G8" s="7"/>
      <c r="H8" s="159" t="s">
        <v>21</v>
      </c>
      <c r="I8" s="160"/>
      <c r="J8" s="161">
        <v>135</v>
      </c>
      <c r="K8" s="165"/>
      <c r="L8" s="42" t="s">
        <v>22</v>
      </c>
      <c r="M8" s="46">
        <v>4</v>
      </c>
      <c r="N8" s="42" t="s">
        <v>36</v>
      </c>
      <c r="O8" s="48">
        <v>15</v>
      </c>
    </row>
    <row r="9" spans="1:15" ht="27.75" customHeight="1" thickBot="1" x14ac:dyDescent="0.45">
      <c r="A9" s="4"/>
      <c r="B9" s="5"/>
      <c r="C9" s="5"/>
      <c r="D9" s="5"/>
      <c r="E9" s="5"/>
      <c r="F9" s="5" t="s">
        <v>15</v>
      </c>
      <c r="G9" s="5"/>
      <c r="H9" s="159" t="s">
        <v>20</v>
      </c>
      <c r="I9" s="160"/>
      <c r="J9" s="161">
        <v>2.2999999999999998</v>
      </c>
      <c r="K9" s="162"/>
      <c r="L9" s="42" t="s">
        <v>23</v>
      </c>
      <c r="M9" s="58" t="s">
        <v>57</v>
      </c>
      <c r="N9" s="42" t="s">
        <v>51</v>
      </c>
      <c r="O9" s="100" t="s">
        <v>62</v>
      </c>
    </row>
    <row r="10" spans="1:15" ht="27.75" customHeight="1" thickBot="1" x14ac:dyDescent="0.45">
      <c r="A10" s="4"/>
      <c r="B10" s="5"/>
      <c r="C10" s="5"/>
      <c r="D10" s="5"/>
      <c r="E10" s="5"/>
      <c r="F10" s="5"/>
      <c r="G10" s="5"/>
      <c r="H10" s="159" t="s">
        <v>46</v>
      </c>
      <c r="I10" s="160"/>
      <c r="J10" s="161" t="s">
        <v>58</v>
      </c>
      <c r="K10" s="162"/>
      <c r="L10" s="42" t="s">
        <v>47</v>
      </c>
      <c r="M10" s="100" t="s">
        <v>49</v>
      </c>
      <c r="N10" s="5"/>
      <c r="O10" s="8"/>
    </row>
    <row r="11" spans="1:15" ht="27.75" customHeight="1" x14ac:dyDescent="0.4">
      <c r="A11" s="4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8"/>
    </row>
    <row r="12" spans="1:15" ht="27.75" customHeight="1" x14ac:dyDescent="0.4">
      <c r="A12" s="4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8"/>
    </row>
    <row r="13" spans="1:15" ht="27.75" customHeight="1" x14ac:dyDescent="0.4">
      <c r="A13" s="4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8"/>
    </row>
    <row r="14" spans="1:15" ht="27.75" customHeight="1" x14ac:dyDescent="0.4">
      <c r="A14" s="4"/>
      <c r="B14" s="5"/>
      <c r="C14" s="5"/>
      <c r="H14" s="5"/>
      <c r="I14" s="5"/>
      <c r="J14" s="5"/>
      <c r="K14" s="5"/>
      <c r="L14" s="5"/>
      <c r="M14" s="5"/>
      <c r="N14" s="5"/>
      <c r="O14" s="8"/>
    </row>
    <row r="15" spans="1:15" ht="27.75" customHeight="1" x14ac:dyDescent="0.4">
      <c r="A15" s="4"/>
      <c r="B15" s="5"/>
      <c r="C15" s="5"/>
      <c r="D15" s="5"/>
      <c r="E15" s="5"/>
      <c r="F15" s="5"/>
      <c r="G15" s="5"/>
      <c r="H15" s="5"/>
      <c r="I15" s="5" t="s">
        <v>59</v>
      </c>
      <c r="J15" s="5"/>
      <c r="K15" s="5"/>
      <c r="L15" s="5"/>
      <c r="M15" s="5"/>
      <c r="N15" s="5"/>
      <c r="O15" s="8"/>
    </row>
    <row r="16" spans="1:15" ht="27.75" customHeight="1" x14ac:dyDescent="0.4">
      <c r="A16" s="4"/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8"/>
    </row>
    <row r="17" spans="1:15" ht="27.75" customHeight="1" x14ac:dyDescent="0.4">
      <c r="A17" s="4"/>
      <c r="B17" s="5"/>
      <c r="C17" s="5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8"/>
    </row>
    <row r="18" spans="1:15" ht="27.75" customHeight="1" x14ac:dyDescent="0.4">
      <c r="A18" s="4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8"/>
    </row>
    <row r="19" spans="1:15" ht="27.75" customHeight="1" x14ac:dyDescent="0.4">
      <c r="A19" s="4"/>
      <c r="B19" s="5"/>
      <c r="C19" s="5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8"/>
    </row>
    <row r="20" spans="1:15" ht="27.75" customHeight="1" x14ac:dyDescent="0.4">
      <c r="A20" s="4"/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8"/>
    </row>
    <row r="21" spans="1:15" ht="27.75" customHeight="1" x14ac:dyDescent="0.4">
      <c r="A21" s="4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8"/>
    </row>
    <row r="22" spans="1:15" ht="27.75" customHeight="1" x14ac:dyDescent="0.4">
      <c r="A22" s="4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8"/>
    </row>
    <row r="23" spans="1:15" ht="27.75" customHeight="1" thickBot="1" x14ac:dyDescent="0.45">
      <c r="A23" s="6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9"/>
    </row>
  </sheetData>
  <sheetProtection selectLockedCells="1"/>
  <mergeCells count="14">
    <mergeCell ref="H10:I10"/>
    <mergeCell ref="J10:K10"/>
    <mergeCell ref="N3:O3"/>
    <mergeCell ref="H9:I9"/>
    <mergeCell ref="H1:I1"/>
    <mergeCell ref="H8:I8"/>
    <mergeCell ref="J1:O1"/>
    <mergeCell ref="L2:M2"/>
    <mergeCell ref="N2:O2"/>
    <mergeCell ref="N6:O6"/>
    <mergeCell ref="N7:O7"/>
    <mergeCell ref="J8:K8"/>
    <mergeCell ref="J9:K9"/>
    <mergeCell ref="N4:O4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/>
  <dimension ref="A1:BL980"/>
  <sheetViews>
    <sheetView workbookViewId="0">
      <selection activeCell="BM30" sqref="BM30"/>
    </sheetView>
  </sheetViews>
  <sheetFormatPr baseColWidth="10" defaultRowHeight="15" x14ac:dyDescent="0.25"/>
  <cols>
    <col min="1" max="1" width="14.7109375" style="11" customWidth="1"/>
    <col min="2" max="2" width="14.140625" style="11" customWidth="1"/>
    <col min="3" max="3" width="11" style="11"/>
    <col min="4" max="4" width="13.140625" style="11" customWidth="1"/>
    <col min="5" max="12" width="11" style="11"/>
    <col min="13" max="13" width="26.28515625" style="81" customWidth="1"/>
    <col min="14" max="61" width="11" style="81"/>
  </cols>
  <sheetData>
    <row r="1" spans="1:64" ht="15.75" thickBot="1" x14ac:dyDescent="0.3">
      <c r="A1" s="59" t="s">
        <v>16</v>
      </c>
      <c r="B1" s="29" t="s">
        <v>17</v>
      </c>
      <c r="C1" s="30" t="s">
        <v>18</v>
      </c>
      <c r="D1" s="31" t="s">
        <v>16</v>
      </c>
      <c r="E1" s="32" t="s">
        <v>17</v>
      </c>
      <c r="F1" s="33" t="s">
        <v>18</v>
      </c>
      <c r="G1" s="91" t="s">
        <v>16</v>
      </c>
      <c r="H1" s="34" t="s">
        <v>17</v>
      </c>
      <c r="I1" s="35" t="s">
        <v>18</v>
      </c>
      <c r="J1" s="36" t="s">
        <v>16</v>
      </c>
      <c r="K1" s="37" t="s">
        <v>17</v>
      </c>
      <c r="L1" s="38" t="s">
        <v>18</v>
      </c>
      <c r="M1" s="22" t="s">
        <v>41</v>
      </c>
      <c r="N1" s="87">
        <f>AVERAGE(C2:C9)</f>
        <v>135.67500000000001</v>
      </c>
      <c r="BH1" s="111"/>
      <c r="BI1" s="86">
        <v>42837</v>
      </c>
      <c r="BJ1" s="45">
        <v>0.47187499999999999</v>
      </c>
      <c r="BK1" s="44">
        <v>42837</v>
      </c>
      <c r="BL1" s="45">
        <v>0.49236111111111108</v>
      </c>
    </row>
    <row r="2" spans="1:64" x14ac:dyDescent="0.25">
      <c r="A2" s="63"/>
      <c r="B2" s="60"/>
      <c r="C2" s="12">
        <v>135.6</v>
      </c>
      <c r="D2" s="24"/>
      <c r="E2" s="25"/>
      <c r="F2" s="15"/>
      <c r="G2" s="92"/>
      <c r="H2" s="26"/>
      <c r="I2" s="18">
        <v>2.2229999999999999</v>
      </c>
      <c r="J2" s="27"/>
      <c r="K2" s="27"/>
      <c r="L2" s="28"/>
      <c r="M2" s="16" t="s">
        <v>42</v>
      </c>
      <c r="N2" s="88" t="e">
        <f>AVERAGE(F2:F10)</f>
        <v>#DIV/0!</v>
      </c>
      <c r="BH2" s="111"/>
      <c r="BI2" s="86">
        <v>42837</v>
      </c>
      <c r="BJ2">
        <v>0.61006944444444444</v>
      </c>
      <c r="BK2" s="44">
        <v>42837</v>
      </c>
      <c r="BL2">
        <v>0.63020833333333337</v>
      </c>
    </row>
    <row r="3" spans="1:64" x14ac:dyDescent="0.25">
      <c r="A3" s="12"/>
      <c r="B3" s="61"/>
      <c r="C3" s="12">
        <v>135.4</v>
      </c>
      <c r="D3" s="13"/>
      <c r="E3" s="14"/>
      <c r="F3" s="15"/>
      <c r="G3" s="93"/>
      <c r="H3" s="17"/>
      <c r="I3" s="18">
        <v>2.1800000000000002</v>
      </c>
      <c r="J3" s="20"/>
      <c r="K3" s="20"/>
      <c r="L3" s="21"/>
      <c r="M3" s="19" t="s">
        <v>43</v>
      </c>
      <c r="N3" s="88">
        <f>AVERAGE(I2:I9)</f>
        <v>2.20825</v>
      </c>
      <c r="BH3" s="111"/>
      <c r="BI3" s="86">
        <v>42844</v>
      </c>
      <c r="BJ3">
        <v>0.58472222222222225</v>
      </c>
      <c r="BK3" s="44">
        <v>42844</v>
      </c>
      <c r="BL3">
        <v>0.61527777777777781</v>
      </c>
    </row>
    <row r="4" spans="1:64" ht="15.75" thickBot="1" x14ac:dyDescent="0.3">
      <c r="A4" s="12"/>
      <c r="B4" s="61"/>
      <c r="C4" s="12">
        <v>135.80000000000001</v>
      </c>
      <c r="D4" s="13"/>
      <c r="E4" s="14"/>
      <c r="F4" s="15"/>
      <c r="G4" s="93"/>
      <c r="H4" s="17"/>
      <c r="I4" s="18">
        <v>2.2130000000000001</v>
      </c>
      <c r="J4" s="20"/>
      <c r="K4" s="20"/>
      <c r="L4" s="21"/>
      <c r="M4" s="23" t="s">
        <v>44</v>
      </c>
      <c r="N4" s="88" t="e">
        <f>AVERAGE(L2:L9)</f>
        <v>#DIV/0!</v>
      </c>
    </row>
    <row r="5" spans="1:64" x14ac:dyDescent="0.25">
      <c r="A5" s="12"/>
      <c r="B5" s="61"/>
      <c r="C5" s="12">
        <v>135.9</v>
      </c>
      <c r="D5" s="13"/>
      <c r="E5" s="14"/>
      <c r="F5" s="15"/>
      <c r="G5" s="93"/>
      <c r="H5" s="17"/>
      <c r="I5" s="18">
        <v>2.2170000000000001</v>
      </c>
      <c r="J5" s="20"/>
      <c r="K5" s="20"/>
      <c r="L5" s="21"/>
      <c r="M5" s="10" t="s">
        <v>38</v>
      </c>
      <c r="N5" s="88"/>
    </row>
    <row r="6" spans="1:64" x14ac:dyDescent="0.25">
      <c r="A6" s="12"/>
      <c r="B6" s="61"/>
      <c r="C6" s="12"/>
      <c r="D6" s="13"/>
      <c r="E6" s="14"/>
      <c r="F6" s="15"/>
      <c r="G6" s="93"/>
      <c r="H6" s="17"/>
      <c r="I6" s="18"/>
      <c r="J6" s="20"/>
      <c r="K6" s="20"/>
      <c r="L6" s="21"/>
      <c r="M6" s="10"/>
      <c r="N6" s="88"/>
    </row>
    <row r="7" spans="1:64" x14ac:dyDescent="0.25">
      <c r="A7" s="12" t="s">
        <v>15</v>
      </c>
      <c r="B7" s="61"/>
      <c r="C7" s="12"/>
      <c r="D7" s="13"/>
      <c r="E7" s="14"/>
      <c r="F7" s="15"/>
      <c r="G7" s="93"/>
      <c r="H7" s="17"/>
      <c r="I7" s="18"/>
      <c r="J7" s="20"/>
      <c r="K7" s="20"/>
      <c r="L7" s="21"/>
      <c r="M7" s="10"/>
      <c r="N7" s="88"/>
    </row>
    <row r="8" spans="1:64" x14ac:dyDescent="0.25">
      <c r="A8" s="12"/>
      <c r="B8" s="61"/>
      <c r="C8" s="12"/>
      <c r="D8" s="13"/>
      <c r="E8" s="14"/>
      <c r="F8" s="15"/>
      <c r="G8" s="93"/>
      <c r="H8" s="17"/>
      <c r="I8" s="18"/>
      <c r="J8" s="20"/>
      <c r="K8" s="20"/>
      <c r="L8" s="21"/>
      <c r="M8" s="10"/>
      <c r="N8" s="88"/>
    </row>
    <row r="9" spans="1:64" ht="15.75" thickBot="1" x14ac:dyDescent="0.3">
      <c r="A9" s="12"/>
      <c r="B9" s="61"/>
      <c r="C9" s="12"/>
      <c r="D9" s="13"/>
      <c r="E9" s="14"/>
      <c r="F9" s="15"/>
      <c r="G9" s="93"/>
      <c r="H9" s="17"/>
      <c r="I9" s="18"/>
      <c r="J9" s="20"/>
      <c r="K9" s="20"/>
      <c r="L9" s="21"/>
      <c r="M9" s="10"/>
      <c r="N9" s="88"/>
    </row>
    <row r="10" spans="1:64" ht="15.75" thickBot="1" x14ac:dyDescent="0.3">
      <c r="A10" s="59" t="s">
        <v>16</v>
      </c>
      <c r="B10" s="29" t="s">
        <v>17</v>
      </c>
      <c r="C10" s="30" t="s">
        <v>18</v>
      </c>
      <c r="D10" s="31" t="s">
        <v>16</v>
      </c>
      <c r="E10" s="32" t="s">
        <v>17</v>
      </c>
      <c r="F10" s="33" t="s">
        <v>18</v>
      </c>
      <c r="G10" s="91" t="s">
        <v>16</v>
      </c>
      <c r="H10" s="34" t="s">
        <v>17</v>
      </c>
      <c r="I10" s="35" t="s">
        <v>18</v>
      </c>
      <c r="J10" s="36" t="s">
        <v>16</v>
      </c>
      <c r="K10" s="37" t="s">
        <v>17</v>
      </c>
      <c r="L10" s="38" t="s">
        <v>18</v>
      </c>
    </row>
    <row r="11" spans="1:64" x14ac:dyDescent="0.25">
      <c r="A11" s="63"/>
      <c r="B11" s="62"/>
      <c r="C11" s="63">
        <v>135.5</v>
      </c>
      <c r="D11" s="64"/>
      <c r="E11" s="65"/>
      <c r="F11" s="66"/>
      <c r="G11" s="94"/>
      <c r="H11" s="67"/>
      <c r="I11" s="63">
        <v>2.2440000000000002</v>
      </c>
      <c r="J11" s="68"/>
      <c r="K11" s="68"/>
      <c r="L11" s="69"/>
      <c r="M11" s="22" t="s">
        <v>41</v>
      </c>
      <c r="N11" s="88">
        <f>AVERAGE(C11:C16)</f>
        <v>135.77500000000001</v>
      </c>
    </row>
    <row r="12" spans="1:64" x14ac:dyDescent="0.25">
      <c r="A12" s="12"/>
      <c r="B12" s="61"/>
      <c r="C12" s="12">
        <v>135.80000000000001</v>
      </c>
      <c r="D12" s="13"/>
      <c r="E12" s="14"/>
      <c r="F12" s="15"/>
      <c r="G12" s="93"/>
      <c r="H12" s="17"/>
      <c r="I12" s="12">
        <v>2.2050000000000001</v>
      </c>
      <c r="J12" s="20"/>
      <c r="K12" s="20"/>
      <c r="L12" s="21"/>
      <c r="M12" s="16" t="s">
        <v>42</v>
      </c>
      <c r="N12" s="88" t="e">
        <f>AVERAGE(F11:F19)</f>
        <v>#DIV/0!</v>
      </c>
    </row>
    <row r="13" spans="1:64" x14ac:dyDescent="0.25">
      <c r="A13" s="12"/>
      <c r="B13" s="61"/>
      <c r="C13" s="12">
        <v>135.80000000000001</v>
      </c>
      <c r="D13" s="13"/>
      <c r="E13" s="14"/>
      <c r="F13" s="15"/>
      <c r="G13" s="93"/>
      <c r="H13" s="17"/>
      <c r="I13" s="12">
        <v>2.2069999999999999</v>
      </c>
      <c r="J13" s="20"/>
      <c r="K13" s="20"/>
      <c r="L13" s="21"/>
      <c r="M13" s="19" t="s">
        <v>43</v>
      </c>
      <c r="N13" s="88">
        <f>AVERAGE(I11:I19)</f>
        <v>2.2155</v>
      </c>
    </row>
    <row r="14" spans="1:64" ht="15.75" thickBot="1" x14ac:dyDescent="0.3">
      <c r="A14" s="12"/>
      <c r="B14" s="61"/>
      <c r="C14" s="12">
        <v>136</v>
      </c>
      <c r="D14" s="13"/>
      <c r="E14" s="14"/>
      <c r="F14" s="15"/>
      <c r="G14" s="93"/>
      <c r="H14" s="17"/>
      <c r="I14" s="12">
        <v>2.206</v>
      </c>
      <c r="J14" s="20"/>
      <c r="K14" s="20"/>
      <c r="L14" s="21"/>
      <c r="M14" s="23" t="s">
        <v>44</v>
      </c>
      <c r="N14" s="88" t="e">
        <f>AVERAGE(L11:L19)</f>
        <v>#DIV/0!</v>
      </c>
    </row>
    <row r="15" spans="1:64" x14ac:dyDescent="0.25">
      <c r="A15" s="12"/>
      <c r="B15" s="61"/>
      <c r="C15" s="12"/>
      <c r="D15" s="13"/>
      <c r="E15" s="14"/>
      <c r="F15" s="15"/>
      <c r="G15" s="93"/>
      <c r="H15" s="17"/>
      <c r="I15" s="18"/>
      <c r="J15" s="20"/>
      <c r="K15" s="20"/>
      <c r="L15" s="21"/>
      <c r="M15" s="10" t="s">
        <v>39</v>
      </c>
      <c r="N15" s="88"/>
    </row>
    <row r="16" spans="1:64" x14ac:dyDescent="0.25">
      <c r="A16" s="12"/>
      <c r="B16" s="61"/>
      <c r="C16" s="12"/>
      <c r="D16" s="13"/>
      <c r="E16" s="14"/>
      <c r="F16" s="15"/>
      <c r="G16" s="93"/>
      <c r="H16" s="17"/>
      <c r="I16" s="18"/>
      <c r="J16" s="20"/>
      <c r="K16" s="20"/>
      <c r="L16" s="21"/>
      <c r="M16" s="10"/>
      <c r="N16" s="88"/>
    </row>
    <row r="17" spans="1:14" x14ac:dyDescent="0.25">
      <c r="A17" s="12"/>
      <c r="B17" s="61"/>
      <c r="C17" s="12"/>
      <c r="D17" s="13"/>
      <c r="E17" s="14"/>
      <c r="F17" s="15"/>
      <c r="G17" s="93"/>
      <c r="H17" s="17"/>
      <c r="I17" s="18"/>
      <c r="J17" s="20"/>
      <c r="K17" s="20"/>
      <c r="L17" s="21"/>
      <c r="M17" s="10"/>
      <c r="N17" s="88"/>
    </row>
    <row r="18" spans="1:14" x14ac:dyDescent="0.25">
      <c r="A18" s="12"/>
      <c r="B18" s="61"/>
      <c r="C18" s="12"/>
      <c r="D18" s="13"/>
      <c r="E18" s="14"/>
      <c r="F18" s="15"/>
      <c r="G18" s="93"/>
      <c r="H18" s="17"/>
      <c r="I18" s="18"/>
      <c r="J18" s="20"/>
      <c r="K18" s="20"/>
      <c r="L18" s="21"/>
      <c r="M18" s="10"/>
      <c r="N18" s="88"/>
    </row>
    <row r="19" spans="1:14" ht="15.75" thickBot="1" x14ac:dyDescent="0.3">
      <c r="A19" s="12"/>
      <c r="B19" s="61"/>
      <c r="C19" s="12"/>
      <c r="D19" s="13"/>
      <c r="E19" s="14"/>
      <c r="F19" s="15"/>
      <c r="G19" s="93"/>
      <c r="H19" s="17"/>
      <c r="I19" s="18"/>
      <c r="J19" s="20"/>
      <c r="K19" s="20"/>
      <c r="L19" s="21"/>
      <c r="M19" s="10"/>
      <c r="N19" s="88"/>
    </row>
    <row r="20" spans="1:14" ht="15.75" thickBot="1" x14ac:dyDescent="0.3">
      <c r="A20" s="59" t="s">
        <v>16</v>
      </c>
      <c r="B20" s="29" t="s">
        <v>17</v>
      </c>
      <c r="C20" s="30" t="s">
        <v>18</v>
      </c>
      <c r="D20" s="31" t="s">
        <v>16</v>
      </c>
      <c r="E20" s="32" t="s">
        <v>17</v>
      </c>
      <c r="F20" s="33" t="s">
        <v>18</v>
      </c>
      <c r="G20" s="91" t="s">
        <v>16</v>
      </c>
      <c r="H20" s="34" t="s">
        <v>17</v>
      </c>
      <c r="I20" s="35" t="s">
        <v>18</v>
      </c>
      <c r="J20" s="36" t="s">
        <v>16</v>
      </c>
      <c r="K20" s="37" t="s">
        <v>17</v>
      </c>
      <c r="L20" s="38" t="s">
        <v>18</v>
      </c>
    </row>
    <row r="21" spans="1:14" x14ac:dyDescent="0.25">
      <c r="A21" s="63"/>
      <c r="B21" s="62"/>
      <c r="C21" s="63">
        <v>135.69999999999999</v>
      </c>
      <c r="D21" s="64"/>
      <c r="E21" s="65"/>
      <c r="F21" s="66"/>
      <c r="G21" s="94"/>
      <c r="H21" s="67"/>
      <c r="I21" s="63">
        <v>2.2650000000000001</v>
      </c>
      <c r="J21" s="68"/>
      <c r="K21" s="68"/>
      <c r="L21" s="69"/>
      <c r="M21" s="22" t="s">
        <v>41</v>
      </c>
      <c r="N21" s="88">
        <f>AVERAGE(C21:C26)</f>
        <v>135.85</v>
      </c>
    </row>
    <row r="22" spans="1:14" x14ac:dyDescent="0.25">
      <c r="A22" s="12"/>
      <c r="B22" s="61"/>
      <c r="C22" s="12">
        <v>135.9</v>
      </c>
      <c r="D22" s="13"/>
      <c r="E22" s="14"/>
      <c r="F22" s="15"/>
      <c r="G22" s="93"/>
      <c r="H22" s="17"/>
      <c r="I22" s="12">
        <v>2.1930000000000001</v>
      </c>
      <c r="J22" s="20"/>
      <c r="K22" s="20"/>
      <c r="L22" s="21"/>
      <c r="M22" s="16" t="s">
        <v>42</v>
      </c>
      <c r="N22" s="88" t="e">
        <f>AVERAGE(F21:F29)</f>
        <v>#DIV/0!</v>
      </c>
    </row>
    <row r="23" spans="1:14" x14ac:dyDescent="0.25">
      <c r="A23" s="12"/>
      <c r="B23" s="61"/>
      <c r="C23" s="12">
        <v>135.9</v>
      </c>
      <c r="D23" s="13"/>
      <c r="E23" s="14"/>
      <c r="F23" s="15"/>
      <c r="G23" s="93"/>
      <c r="H23" s="17"/>
      <c r="I23" s="12">
        <v>2.1930000000000001</v>
      </c>
      <c r="J23" s="20"/>
      <c r="K23" s="20"/>
      <c r="L23" s="21"/>
      <c r="M23" s="19" t="s">
        <v>43</v>
      </c>
      <c r="N23" s="88">
        <f>AVERAGE(I21:I29)</f>
        <v>2.2164999999999999</v>
      </c>
    </row>
    <row r="24" spans="1:14" ht="15.75" thickBot="1" x14ac:dyDescent="0.3">
      <c r="A24" s="12"/>
      <c r="B24" s="61"/>
      <c r="C24" s="12">
        <v>135.9</v>
      </c>
      <c r="D24" s="13"/>
      <c r="E24" s="14"/>
      <c r="F24" s="15"/>
      <c r="G24" s="93"/>
      <c r="H24" s="17"/>
      <c r="I24" s="12">
        <v>2.2149999999999999</v>
      </c>
      <c r="J24" s="20"/>
      <c r="K24" s="20"/>
      <c r="L24" s="21"/>
      <c r="M24" s="23" t="s">
        <v>44</v>
      </c>
      <c r="N24" s="88" t="e">
        <f>AVERAGE(L21:L29)</f>
        <v>#DIV/0!</v>
      </c>
    </row>
    <row r="25" spans="1:14" x14ac:dyDescent="0.25">
      <c r="A25" s="12"/>
      <c r="B25" s="61"/>
      <c r="C25" s="12"/>
      <c r="D25" s="13"/>
      <c r="E25" s="14"/>
      <c r="F25" s="15"/>
      <c r="G25" s="93"/>
      <c r="H25" s="17"/>
      <c r="I25" s="18"/>
      <c r="J25" s="20"/>
      <c r="K25" s="20"/>
      <c r="L25" s="21"/>
      <c r="M25" s="10" t="s">
        <v>40</v>
      </c>
      <c r="N25" s="88"/>
    </row>
    <row r="26" spans="1:14" x14ac:dyDescent="0.25">
      <c r="A26" s="12"/>
      <c r="B26" s="61"/>
      <c r="C26" s="12"/>
      <c r="D26" s="13"/>
      <c r="E26" s="14"/>
      <c r="F26" s="15"/>
      <c r="G26" s="93"/>
      <c r="H26" s="17"/>
      <c r="I26" s="18"/>
      <c r="J26" s="20"/>
      <c r="K26" s="20"/>
      <c r="L26" s="21"/>
      <c r="M26" s="10"/>
      <c r="N26" s="88"/>
    </row>
    <row r="27" spans="1:14" x14ac:dyDescent="0.25">
      <c r="A27" s="12"/>
      <c r="B27" s="61"/>
      <c r="C27" s="12"/>
      <c r="D27" s="13"/>
      <c r="E27" s="14"/>
      <c r="F27" s="15"/>
      <c r="G27" s="93"/>
      <c r="H27" s="17"/>
      <c r="I27" s="18"/>
      <c r="J27" s="20"/>
      <c r="K27" s="20"/>
      <c r="L27" s="21"/>
      <c r="M27" s="10"/>
      <c r="N27" s="88"/>
    </row>
    <row r="28" spans="1:14" x14ac:dyDescent="0.25">
      <c r="A28" s="12"/>
      <c r="B28" s="61"/>
      <c r="C28" s="12"/>
      <c r="D28" s="13"/>
      <c r="E28" s="14"/>
      <c r="F28" s="15"/>
      <c r="G28" s="93"/>
      <c r="H28" s="17"/>
      <c r="I28" s="18"/>
      <c r="J28" s="20"/>
      <c r="K28" s="20"/>
      <c r="L28" s="21"/>
      <c r="M28" s="10"/>
      <c r="N28" s="88"/>
    </row>
    <row r="29" spans="1:14" x14ac:dyDescent="0.25">
      <c r="A29" s="12"/>
      <c r="B29" s="61"/>
      <c r="C29" s="12"/>
      <c r="D29" s="13"/>
      <c r="E29" s="14"/>
      <c r="F29" s="15"/>
      <c r="G29" s="93"/>
      <c r="H29" s="17"/>
      <c r="I29" s="18"/>
      <c r="J29" s="20"/>
      <c r="K29" s="20"/>
      <c r="L29" s="21"/>
      <c r="M29" s="10"/>
      <c r="N29" s="88"/>
    </row>
    <row r="30" spans="1:14" ht="15.75" thickBot="1" x14ac:dyDescent="0.3">
      <c r="A30" s="70"/>
      <c r="B30" s="71"/>
      <c r="C30" s="70"/>
      <c r="D30" s="72"/>
      <c r="E30" s="73"/>
      <c r="F30" s="74"/>
      <c r="G30" s="95"/>
      <c r="H30" s="96"/>
      <c r="I30" s="97"/>
      <c r="J30" s="98"/>
      <c r="K30" s="98"/>
      <c r="L30" s="99"/>
      <c r="M30" s="89"/>
      <c r="N30" s="90"/>
    </row>
    <row r="70" spans="1:13" ht="15.75" x14ac:dyDescent="0.25">
      <c r="D70" s="75"/>
      <c r="E70" s="76"/>
      <c r="F70" s="75"/>
      <c r="G70" s="76"/>
      <c r="H70" s="75"/>
      <c r="I70" s="76"/>
      <c r="J70" s="75"/>
      <c r="K70" s="76"/>
    </row>
    <row r="72" spans="1:13" ht="15.75" x14ac:dyDescent="0.25">
      <c r="A72" s="77"/>
      <c r="B72" s="78"/>
      <c r="C72" s="79"/>
      <c r="D72" s="79"/>
      <c r="E72" s="79"/>
      <c r="F72" s="79"/>
      <c r="G72" s="79"/>
      <c r="H72" s="79"/>
      <c r="I72" s="79"/>
      <c r="J72" s="79"/>
      <c r="K72" s="79"/>
      <c r="L72" s="79"/>
      <c r="M72" s="82"/>
    </row>
    <row r="73" spans="1:13" ht="15.75" x14ac:dyDescent="0.25">
      <c r="A73" s="77"/>
      <c r="B73" s="78"/>
      <c r="C73" s="80"/>
      <c r="D73" s="80"/>
      <c r="E73" s="80"/>
      <c r="F73" s="80"/>
      <c r="G73" s="80"/>
      <c r="H73" s="80"/>
      <c r="I73" s="80"/>
      <c r="J73" s="80"/>
      <c r="K73" s="80"/>
      <c r="L73" s="80"/>
      <c r="M73" s="83"/>
    </row>
    <row r="74" spans="1:13" ht="15.75" x14ac:dyDescent="0.25">
      <c r="A74" s="77"/>
      <c r="B74" s="78"/>
      <c r="C74" s="80"/>
      <c r="D74" s="80"/>
      <c r="E74" s="80"/>
      <c r="F74" s="80"/>
      <c r="G74" s="80"/>
      <c r="H74" s="80"/>
      <c r="I74" s="80"/>
      <c r="J74" s="80"/>
      <c r="K74" s="80"/>
      <c r="L74" s="80"/>
      <c r="M74" s="84"/>
    </row>
    <row r="75" spans="1:13" ht="15.75" x14ac:dyDescent="0.25">
      <c r="A75" s="77"/>
      <c r="B75" s="78"/>
      <c r="C75" s="80"/>
      <c r="D75" s="80"/>
      <c r="E75" s="80"/>
      <c r="F75" s="80"/>
      <c r="G75" s="80"/>
      <c r="H75" s="80"/>
      <c r="I75" s="80"/>
      <c r="J75" s="80"/>
      <c r="K75" s="80"/>
      <c r="L75" s="80"/>
      <c r="M75" s="84"/>
    </row>
    <row r="76" spans="1:13" ht="15.75" x14ac:dyDescent="0.25">
      <c r="A76" s="77"/>
      <c r="B76" s="78"/>
      <c r="C76" s="80"/>
      <c r="D76" s="80"/>
      <c r="E76" s="80"/>
      <c r="F76" s="80"/>
      <c r="G76" s="80"/>
      <c r="H76" s="80"/>
      <c r="I76" s="80"/>
      <c r="J76" s="80"/>
      <c r="K76" s="80"/>
      <c r="L76" s="80"/>
      <c r="M76" s="84"/>
    </row>
    <row r="77" spans="1:13" ht="15.75" x14ac:dyDescent="0.25">
      <c r="A77" s="77"/>
      <c r="B77" s="78"/>
      <c r="C77" s="80"/>
      <c r="D77" s="80"/>
      <c r="E77" s="80"/>
      <c r="F77" s="80"/>
      <c r="G77" s="80"/>
      <c r="H77" s="80"/>
      <c r="I77" s="80"/>
      <c r="J77" s="80"/>
      <c r="K77" s="80"/>
      <c r="L77" s="80"/>
      <c r="M77" s="84"/>
    </row>
    <row r="78" spans="1:13" ht="15.75" x14ac:dyDescent="0.25">
      <c r="A78" s="77"/>
      <c r="B78" s="78"/>
      <c r="C78" s="80"/>
      <c r="D78" s="80"/>
      <c r="E78" s="80"/>
      <c r="F78" s="80"/>
      <c r="G78" s="80"/>
      <c r="H78" s="80"/>
      <c r="I78" s="80"/>
      <c r="J78" s="80"/>
      <c r="K78" s="80"/>
      <c r="L78" s="80"/>
      <c r="M78" s="84"/>
    </row>
    <row r="79" spans="1:13" ht="15.75" x14ac:dyDescent="0.25">
      <c r="A79" s="77"/>
      <c r="B79" s="78"/>
      <c r="C79" s="80"/>
      <c r="D79" s="80"/>
      <c r="E79" s="80"/>
      <c r="F79" s="80"/>
      <c r="G79" s="80"/>
      <c r="H79" s="80"/>
      <c r="I79" s="80"/>
      <c r="J79" s="80"/>
      <c r="K79" s="80"/>
      <c r="L79" s="80"/>
      <c r="M79" s="84"/>
    </row>
    <row r="80" spans="1:13" ht="15.75" x14ac:dyDescent="0.25">
      <c r="A80" s="77"/>
      <c r="B80" s="78"/>
      <c r="C80" s="80"/>
      <c r="D80" s="80"/>
      <c r="E80" s="80"/>
      <c r="F80" s="80"/>
      <c r="G80" s="80"/>
      <c r="H80" s="80"/>
      <c r="I80" s="80"/>
      <c r="J80" s="80"/>
      <c r="K80" s="80"/>
      <c r="L80" s="80"/>
      <c r="M80" s="84"/>
    </row>
    <row r="81" spans="1:13" ht="15.75" x14ac:dyDescent="0.25">
      <c r="A81" s="77"/>
      <c r="B81" s="78"/>
      <c r="C81" s="80"/>
      <c r="D81" s="80"/>
      <c r="E81" s="80"/>
      <c r="F81" s="80"/>
      <c r="G81" s="80"/>
      <c r="H81" s="80"/>
      <c r="I81" s="80"/>
      <c r="J81" s="80"/>
      <c r="K81" s="80"/>
      <c r="L81" s="80"/>
      <c r="M81" s="84"/>
    </row>
    <row r="82" spans="1:13" ht="15.75" x14ac:dyDescent="0.25">
      <c r="A82" s="77"/>
      <c r="B82" s="78"/>
      <c r="C82" s="80"/>
      <c r="D82" s="80"/>
      <c r="E82" s="80"/>
      <c r="F82" s="80"/>
      <c r="G82" s="80"/>
      <c r="H82" s="80"/>
      <c r="I82" s="80"/>
      <c r="J82" s="80"/>
      <c r="K82" s="80"/>
      <c r="L82" s="80"/>
      <c r="M82" s="84"/>
    </row>
    <row r="83" spans="1:13" ht="15.75" x14ac:dyDescent="0.25">
      <c r="A83" s="77"/>
      <c r="B83" s="78"/>
      <c r="C83" s="80"/>
      <c r="D83" s="80"/>
      <c r="E83" s="80"/>
      <c r="F83" s="80"/>
      <c r="G83" s="80"/>
      <c r="H83" s="80"/>
      <c r="I83" s="80"/>
      <c r="J83" s="80"/>
      <c r="K83" s="80"/>
      <c r="L83" s="80"/>
      <c r="M83" s="84"/>
    </row>
    <row r="84" spans="1:13" ht="15.75" x14ac:dyDescent="0.25">
      <c r="A84" s="77"/>
      <c r="B84" s="78"/>
      <c r="C84" s="80"/>
      <c r="D84" s="80"/>
      <c r="E84" s="80"/>
      <c r="F84" s="80"/>
      <c r="G84" s="80"/>
      <c r="H84" s="80"/>
      <c r="I84" s="80"/>
      <c r="J84" s="80"/>
      <c r="K84" s="80"/>
      <c r="L84" s="80"/>
      <c r="M84" s="84"/>
    </row>
    <row r="85" spans="1:13" ht="15.75" x14ac:dyDescent="0.25">
      <c r="A85" s="77"/>
      <c r="B85" s="78"/>
      <c r="C85" s="80"/>
      <c r="D85" s="80"/>
      <c r="E85" s="80"/>
      <c r="F85" s="80"/>
      <c r="G85" s="80"/>
      <c r="H85" s="80"/>
      <c r="I85" s="80"/>
      <c r="J85" s="80"/>
      <c r="K85" s="80"/>
      <c r="L85" s="80"/>
      <c r="M85" s="84"/>
    </row>
    <row r="86" spans="1:13" ht="15.75" x14ac:dyDescent="0.25">
      <c r="A86" s="77"/>
      <c r="B86" s="78"/>
      <c r="C86" s="80"/>
      <c r="D86" s="80"/>
      <c r="E86" s="80"/>
      <c r="F86" s="80"/>
      <c r="G86" s="80"/>
      <c r="H86" s="80"/>
      <c r="I86" s="80"/>
      <c r="J86" s="80"/>
      <c r="K86" s="80"/>
      <c r="L86" s="80"/>
      <c r="M86" s="84"/>
    </row>
    <row r="87" spans="1:13" ht="15.75" x14ac:dyDescent="0.25">
      <c r="A87" s="77"/>
      <c r="B87" s="78"/>
      <c r="C87" s="80"/>
      <c r="D87" s="80"/>
      <c r="E87" s="80"/>
      <c r="F87" s="80"/>
      <c r="G87" s="80"/>
      <c r="H87" s="80"/>
      <c r="I87" s="80"/>
      <c r="J87" s="80"/>
      <c r="K87" s="80"/>
      <c r="L87" s="80"/>
      <c r="M87" s="84"/>
    </row>
    <row r="88" spans="1:13" ht="15.75" x14ac:dyDescent="0.25">
      <c r="A88" s="77"/>
      <c r="B88" s="78"/>
      <c r="C88" s="80"/>
      <c r="D88" s="80"/>
      <c r="E88" s="80"/>
      <c r="F88" s="80"/>
      <c r="G88" s="80"/>
      <c r="H88" s="80"/>
      <c r="I88" s="80"/>
      <c r="J88" s="80"/>
      <c r="K88" s="80"/>
      <c r="L88" s="80"/>
      <c r="M88" s="84"/>
    </row>
    <row r="89" spans="1:13" ht="15.75" x14ac:dyDescent="0.25">
      <c r="A89" s="77"/>
      <c r="B89" s="78"/>
      <c r="C89" s="80"/>
      <c r="D89" s="80"/>
      <c r="E89" s="80"/>
      <c r="F89" s="80"/>
      <c r="G89" s="80"/>
      <c r="H89" s="80"/>
      <c r="I89" s="80"/>
      <c r="J89" s="80"/>
      <c r="K89" s="80"/>
      <c r="L89" s="80"/>
      <c r="M89" s="84"/>
    </row>
    <row r="90" spans="1:13" ht="15.75" x14ac:dyDescent="0.25">
      <c r="A90" s="77"/>
      <c r="B90" s="78"/>
      <c r="C90" s="80"/>
      <c r="D90" s="80"/>
      <c r="E90" s="80"/>
      <c r="F90" s="80"/>
      <c r="G90" s="80"/>
      <c r="H90" s="80"/>
      <c r="I90" s="80"/>
      <c r="J90" s="80"/>
      <c r="K90" s="80"/>
      <c r="L90" s="80"/>
      <c r="M90" s="84"/>
    </row>
    <row r="91" spans="1:13" ht="15.75" x14ac:dyDescent="0.25">
      <c r="A91" s="77"/>
      <c r="B91" s="78"/>
      <c r="C91" s="80"/>
      <c r="D91" s="80"/>
      <c r="E91" s="80"/>
      <c r="F91" s="80"/>
      <c r="G91" s="80"/>
      <c r="H91" s="80"/>
      <c r="I91" s="80"/>
      <c r="J91" s="80"/>
      <c r="K91" s="80"/>
      <c r="L91" s="80"/>
      <c r="M91" s="84"/>
    </row>
    <row r="92" spans="1:13" ht="15.75" x14ac:dyDescent="0.25">
      <c r="A92" s="77"/>
      <c r="B92" s="78"/>
      <c r="C92" s="80"/>
      <c r="D92" s="80"/>
      <c r="E92" s="80"/>
      <c r="F92" s="80"/>
      <c r="G92" s="80"/>
      <c r="H92" s="80"/>
      <c r="I92" s="80"/>
      <c r="J92" s="80"/>
      <c r="K92" s="80"/>
      <c r="L92" s="80"/>
      <c r="M92" s="84"/>
    </row>
    <row r="93" spans="1:13" ht="15.75" x14ac:dyDescent="0.25">
      <c r="A93" s="77"/>
      <c r="B93" s="78"/>
      <c r="C93" s="80"/>
      <c r="D93" s="80"/>
      <c r="E93" s="80"/>
      <c r="F93" s="80"/>
      <c r="G93" s="80"/>
      <c r="H93" s="80"/>
      <c r="I93" s="80"/>
      <c r="J93" s="80"/>
      <c r="K93" s="80"/>
      <c r="L93" s="80"/>
      <c r="M93" s="84"/>
    </row>
    <row r="94" spans="1:13" ht="15.75" x14ac:dyDescent="0.25">
      <c r="A94" s="77"/>
      <c r="B94" s="78"/>
      <c r="C94" s="80"/>
      <c r="D94" s="80"/>
      <c r="E94" s="80"/>
      <c r="F94" s="80"/>
      <c r="G94" s="80"/>
      <c r="H94" s="80"/>
      <c r="I94" s="80"/>
      <c r="J94" s="80"/>
      <c r="K94" s="80"/>
      <c r="L94" s="80"/>
      <c r="M94" s="84"/>
    </row>
    <row r="95" spans="1:13" ht="15.75" x14ac:dyDescent="0.25">
      <c r="A95" s="77"/>
      <c r="B95" s="78"/>
      <c r="C95" s="80"/>
      <c r="D95" s="80"/>
      <c r="E95" s="80"/>
      <c r="F95" s="80"/>
      <c r="G95" s="80"/>
      <c r="H95" s="80"/>
      <c r="I95" s="80"/>
      <c r="J95" s="80"/>
      <c r="K95" s="80"/>
      <c r="L95" s="80"/>
      <c r="M95" s="84"/>
    </row>
    <row r="96" spans="1:13" ht="15.75" x14ac:dyDescent="0.25">
      <c r="A96" s="77"/>
      <c r="B96" s="78"/>
      <c r="C96" s="80"/>
      <c r="D96" s="80"/>
      <c r="E96" s="80"/>
      <c r="F96" s="80"/>
      <c r="G96" s="80"/>
      <c r="H96" s="80"/>
      <c r="I96" s="80"/>
      <c r="J96" s="80"/>
      <c r="K96" s="80"/>
      <c r="L96" s="80"/>
      <c r="M96" s="84"/>
    </row>
    <row r="97" spans="1:13" ht="15.75" x14ac:dyDescent="0.25">
      <c r="A97" s="77"/>
      <c r="B97" s="78"/>
      <c r="C97" s="80"/>
      <c r="D97" s="80"/>
      <c r="E97" s="80"/>
      <c r="F97" s="80"/>
      <c r="G97" s="80"/>
      <c r="H97" s="80"/>
      <c r="I97" s="80"/>
      <c r="J97" s="80"/>
      <c r="K97" s="80"/>
      <c r="L97" s="80"/>
      <c r="M97" s="84"/>
    </row>
    <row r="98" spans="1:13" ht="15.75" x14ac:dyDescent="0.25">
      <c r="A98" s="77"/>
      <c r="B98" s="78"/>
      <c r="C98" s="80"/>
      <c r="D98" s="80"/>
      <c r="E98" s="80"/>
      <c r="F98" s="80"/>
      <c r="G98" s="80"/>
      <c r="H98" s="80"/>
      <c r="I98" s="80"/>
      <c r="J98" s="80"/>
      <c r="K98" s="80"/>
      <c r="L98" s="80"/>
      <c r="M98" s="84"/>
    </row>
    <row r="99" spans="1:13" ht="15.75" x14ac:dyDescent="0.25">
      <c r="A99" s="77"/>
      <c r="B99" s="78"/>
      <c r="C99" s="80"/>
      <c r="D99" s="80"/>
      <c r="E99" s="80"/>
      <c r="F99" s="80"/>
      <c r="G99" s="80"/>
      <c r="H99" s="80"/>
      <c r="I99" s="80"/>
      <c r="J99" s="80"/>
      <c r="K99" s="80"/>
      <c r="L99" s="80"/>
      <c r="M99" s="84"/>
    </row>
    <row r="100" spans="1:13" ht="15.75" x14ac:dyDescent="0.25">
      <c r="A100" s="77"/>
      <c r="B100" s="78"/>
      <c r="C100" s="80"/>
      <c r="D100" s="80"/>
      <c r="E100" s="80"/>
      <c r="F100" s="80"/>
      <c r="G100" s="80"/>
      <c r="H100" s="80"/>
      <c r="I100" s="80"/>
      <c r="J100" s="80"/>
      <c r="K100" s="80"/>
      <c r="L100" s="80"/>
      <c r="M100" s="84"/>
    </row>
    <row r="101" spans="1:13" ht="15.75" x14ac:dyDescent="0.25">
      <c r="A101" s="77"/>
      <c r="B101" s="78"/>
      <c r="C101" s="80"/>
      <c r="D101" s="80"/>
      <c r="E101" s="80"/>
      <c r="F101" s="80"/>
      <c r="G101" s="80"/>
      <c r="H101" s="80"/>
      <c r="I101" s="80"/>
      <c r="J101" s="80"/>
      <c r="K101" s="80"/>
      <c r="L101" s="80"/>
      <c r="M101" s="84"/>
    </row>
    <row r="102" spans="1:13" ht="15.75" x14ac:dyDescent="0.25">
      <c r="A102" s="77"/>
      <c r="B102" s="78"/>
      <c r="C102" s="80"/>
      <c r="D102" s="80"/>
      <c r="E102" s="80"/>
      <c r="F102" s="80"/>
      <c r="G102" s="80"/>
      <c r="H102" s="80"/>
      <c r="I102" s="80"/>
      <c r="J102" s="80"/>
      <c r="K102" s="80"/>
      <c r="L102" s="80"/>
      <c r="M102" s="84"/>
    </row>
    <row r="103" spans="1:13" ht="15.75" x14ac:dyDescent="0.25">
      <c r="A103" s="77"/>
      <c r="B103" s="78"/>
      <c r="C103" s="80"/>
      <c r="D103" s="80"/>
      <c r="E103" s="80"/>
      <c r="F103" s="80"/>
      <c r="G103" s="80"/>
      <c r="H103" s="80"/>
      <c r="I103" s="80"/>
      <c r="J103" s="80"/>
      <c r="K103" s="80"/>
      <c r="L103" s="80"/>
      <c r="M103" s="84"/>
    </row>
    <row r="104" spans="1:13" ht="15.75" x14ac:dyDescent="0.25">
      <c r="A104" s="77"/>
      <c r="B104" s="78"/>
      <c r="C104" s="80"/>
      <c r="D104" s="80"/>
      <c r="E104" s="80"/>
      <c r="F104" s="80"/>
      <c r="G104" s="80"/>
      <c r="H104" s="80"/>
      <c r="I104" s="80"/>
      <c r="J104" s="80"/>
      <c r="K104" s="80"/>
      <c r="L104" s="80"/>
      <c r="M104" s="84"/>
    </row>
    <row r="105" spans="1:13" ht="15.75" x14ac:dyDescent="0.25">
      <c r="A105" s="77"/>
      <c r="B105" s="78"/>
      <c r="C105" s="80"/>
      <c r="D105" s="80"/>
      <c r="E105" s="80"/>
      <c r="F105" s="80"/>
      <c r="G105" s="80"/>
      <c r="H105" s="80"/>
      <c r="I105" s="80"/>
      <c r="J105" s="80"/>
      <c r="K105" s="80"/>
      <c r="L105" s="80"/>
      <c r="M105" s="84"/>
    </row>
    <row r="106" spans="1:13" ht="15.75" x14ac:dyDescent="0.25">
      <c r="A106" s="77"/>
      <c r="B106" s="78"/>
      <c r="C106" s="80"/>
      <c r="D106" s="80"/>
      <c r="E106" s="80"/>
      <c r="F106" s="80"/>
      <c r="G106" s="80"/>
      <c r="H106" s="80"/>
      <c r="I106" s="80"/>
      <c r="J106" s="80"/>
      <c r="K106" s="80"/>
      <c r="L106" s="80"/>
      <c r="M106" s="84"/>
    </row>
    <row r="107" spans="1:13" ht="15.75" x14ac:dyDescent="0.25">
      <c r="A107" s="77"/>
      <c r="B107" s="78"/>
      <c r="C107" s="80"/>
      <c r="D107" s="80"/>
      <c r="E107" s="80"/>
      <c r="F107" s="80"/>
      <c r="G107" s="80"/>
      <c r="H107" s="80"/>
      <c r="I107" s="80"/>
      <c r="J107" s="80"/>
      <c r="K107" s="80"/>
      <c r="L107" s="80"/>
      <c r="M107" s="84"/>
    </row>
    <row r="108" spans="1:13" ht="15.75" x14ac:dyDescent="0.25">
      <c r="A108" s="77"/>
      <c r="B108" s="78"/>
      <c r="C108" s="80"/>
      <c r="D108" s="80"/>
      <c r="E108" s="80"/>
      <c r="F108" s="80"/>
      <c r="G108" s="80"/>
      <c r="H108" s="80"/>
      <c r="I108" s="80"/>
      <c r="J108" s="80"/>
      <c r="K108" s="80"/>
      <c r="L108" s="80"/>
      <c r="M108" s="84"/>
    </row>
    <row r="109" spans="1:13" ht="15.75" x14ac:dyDescent="0.25">
      <c r="A109" s="77"/>
      <c r="B109" s="78"/>
      <c r="C109" s="80"/>
      <c r="D109" s="80"/>
      <c r="E109" s="80"/>
      <c r="F109" s="80"/>
      <c r="G109" s="80"/>
      <c r="H109" s="80"/>
      <c r="I109" s="80"/>
      <c r="J109" s="80"/>
      <c r="K109" s="80"/>
      <c r="L109" s="80"/>
      <c r="M109" s="84"/>
    </row>
    <row r="110" spans="1:13" ht="15.75" x14ac:dyDescent="0.25">
      <c r="A110" s="77"/>
      <c r="B110" s="78"/>
      <c r="C110" s="80"/>
      <c r="D110" s="80"/>
      <c r="E110" s="80"/>
      <c r="F110" s="80"/>
      <c r="G110" s="80"/>
      <c r="H110" s="80"/>
      <c r="I110" s="80"/>
      <c r="J110" s="80"/>
      <c r="K110" s="80"/>
      <c r="L110" s="80"/>
      <c r="M110" s="84"/>
    </row>
    <row r="111" spans="1:13" ht="15.75" x14ac:dyDescent="0.25">
      <c r="A111" s="77"/>
      <c r="B111" s="78"/>
      <c r="C111" s="80"/>
      <c r="D111" s="80"/>
      <c r="E111" s="80"/>
      <c r="F111" s="80"/>
      <c r="G111" s="80"/>
      <c r="H111" s="80"/>
      <c r="I111" s="80"/>
      <c r="J111" s="80"/>
      <c r="K111" s="80"/>
      <c r="L111" s="80"/>
      <c r="M111" s="84"/>
    </row>
    <row r="112" spans="1:13" ht="15.75" x14ac:dyDescent="0.25">
      <c r="A112" s="77"/>
      <c r="B112" s="78"/>
      <c r="C112" s="80"/>
      <c r="D112" s="80"/>
      <c r="E112" s="80"/>
      <c r="F112" s="80"/>
      <c r="G112" s="80"/>
      <c r="H112" s="80"/>
      <c r="I112" s="80"/>
      <c r="J112" s="80"/>
      <c r="K112" s="80"/>
      <c r="L112" s="80"/>
      <c r="M112" s="84"/>
    </row>
    <row r="113" spans="1:13" ht="15.75" x14ac:dyDescent="0.25">
      <c r="A113" s="77"/>
      <c r="B113" s="78"/>
      <c r="C113" s="80"/>
      <c r="D113" s="80"/>
      <c r="E113" s="80"/>
      <c r="F113" s="80"/>
      <c r="G113" s="80"/>
      <c r="H113" s="80"/>
      <c r="I113" s="80"/>
      <c r="J113" s="80"/>
      <c r="K113" s="80"/>
      <c r="L113" s="80"/>
      <c r="M113" s="84"/>
    </row>
    <row r="114" spans="1:13" ht="15.75" x14ac:dyDescent="0.25">
      <c r="A114" s="77"/>
      <c r="B114" s="78"/>
      <c r="C114" s="80"/>
      <c r="D114" s="80"/>
      <c r="E114" s="80"/>
      <c r="F114" s="80"/>
      <c r="G114" s="80"/>
      <c r="H114" s="80"/>
      <c r="I114" s="80"/>
      <c r="J114" s="80"/>
      <c r="K114" s="80"/>
      <c r="L114" s="80"/>
      <c r="M114" s="84"/>
    </row>
    <row r="115" spans="1:13" ht="15.75" x14ac:dyDescent="0.25">
      <c r="A115" s="77"/>
      <c r="B115" s="78"/>
      <c r="C115" s="80"/>
      <c r="D115" s="80"/>
      <c r="E115" s="80"/>
      <c r="F115" s="80"/>
      <c r="G115" s="80"/>
      <c r="H115" s="80"/>
      <c r="I115" s="80"/>
      <c r="J115" s="80"/>
      <c r="K115" s="80"/>
      <c r="L115" s="80"/>
      <c r="M115" s="84"/>
    </row>
    <row r="116" spans="1:13" ht="15.75" x14ac:dyDescent="0.25">
      <c r="A116" s="77"/>
      <c r="B116" s="78"/>
      <c r="C116" s="80"/>
      <c r="D116" s="80"/>
      <c r="E116" s="80"/>
      <c r="F116" s="80"/>
      <c r="G116" s="80"/>
      <c r="H116" s="80"/>
      <c r="I116" s="80"/>
      <c r="J116" s="80"/>
      <c r="K116" s="80"/>
      <c r="L116" s="80"/>
      <c r="M116" s="84"/>
    </row>
    <row r="117" spans="1:13" ht="15.75" x14ac:dyDescent="0.25">
      <c r="A117" s="77"/>
      <c r="B117" s="78"/>
      <c r="C117" s="80"/>
      <c r="D117" s="80"/>
      <c r="E117" s="80"/>
      <c r="F117" s="80"/>
      <c r="G117" s="80"/>
      <c r="H117" s="80"/>
      <c r="I117" s="80"/>
      <c r="J117" s="80"/>
      <c r="K117" s="80"/>
      <c r="L117" s="80"/>
      <c r="M117" s="84"/>
    </row>
    <row r="118" spans="1:13" ht="15.75" x14ac:dyDescent="0.25">
      <c r="A118" s="77"/>
      <c r="B118" s="78"/>
      <c r="C118" s="80"/>
      <c r="D118" s="80"/>
      <c r="E118" s="80"/>
      <c r="F118" s="80"/>
      <c r="G118" s="80"/>
      <c r="H118" s="80"/>
      <c r="I118" s="80"/>
      <c r="J118" s="80"/>
      <c r="K118" s="80"/>
      <c r="L118" s="80"/>
      <c r="M118" s="84"/>
    </row>
    <row r="119" spans="1:13" ht="15.75" x14ac:dyDescent="0.25">
      <c r="A119" s="77"/>
      <c r="B119" s="78"/>
      <c r="C119" s="80"/>
      <c r="D119" s="80"/>
      <c r="E119" s="80"/>
      <c r="F119" s="80"/>
      <c r="G119" s="80"/>
      <c r="H119" s="80"/>
      <c r="I119" s="80"/>
      <c r="J119" s="80"/>
      <c r="K119" s="80"/>
      <c r="L119" s="80"/>
      <c r="M119" s="84"/>
    </row>
    <row r="120" spans="1:13" ht="15.75" x14ac:dyDescent="0.25">
      <c r="A120" s="77"/>
      <c r="B120" s="78"/>
      <c r="C120" s="80"/>
      <c r="D120" s="80"/>
      <c r="E120" s="80"/>
      <c r="F120" s="80"/>
      <c r="G120" s="80"/>
      <c r="H120" s="80"/>
      <c r="I120" s="80"/>
      <c r="J120" s="80"/>
      <c r="K120" s="80"/>
      <c r="L120" s="80"/>
      <c r="M120" s="84"/>
    </row>
    <row r="121" spans="1:13" ht="15.75" x14ac:dyDescent="0.25">
      <c r="A121" s="77"/>
      <c r="B121" s="78"/>
      <c r="C121" s="80"/>
      <c r="D121" s="80"/>
      <c r="E121" s="80"/>
      <c r="F121" s="80"/>
      <c r="G121" s="80"/>
      <c r="H121" s="80"/>
      <c r="I121" s="80"/>
      <c r="J121" s="80"/>
      <c r="K121" s="80"/>
      <c r="L121" s="80"/>
      <c r="M121" s="84"/>
    </row>
    <row r="122" spans="1:13" ht="15.75" x14ac:dyDescent="0.25">
      <c r="A122" s="77"/>
      <c r="B122" s="78"/>
      <c r="C122" s="80"/>
      <c r="D122" s="80"/>
      <c r="E122" s="80"/>
      <c r="F122" s="80"/>
      <c r="G122" s="80"/>
      <c r="H122" s="80"/>
      <c r="I122" s="80"/>
      <c r="J122" s="80"/>
      <c r="K122" s="80"/>
      <c r="L122" s="80"/>
      <c r="M122" s="84"/>
    </row>
    <row r="123" spans="1:13" ht="15.75" x14ac:dyDescent="0.25">
      <c r="A123" s="77"/>
      <c r="B123" s="78"/>
      <c r="C123" s="80"/>
      <c r="D123" s="80"/>
      <c r="E123" s="80"/>
      <c r="F123" s="80"/>
      <c r="G123" s="80"/>
      <c r="H123" s="80"/>
      <c r="I123" s="80"/>
      <c r="J123" s="80"/>
      <c r="K123" s="80"/>
      <c r="L123" s="80"/>
      <c r="M123" s="84"/>
    </row>
    <row r="124" spans="1:13" ht="15.75" x14ac:dyDescent="0.25">
      <c r="A124" s="77"/>
      <c r="B124" s="78"/>
      <c r="C124" s="80"/>
      <c r="D124" s="80"/>
      <c r="E124" s="80"/>
      <c r="F124" s="80"/>
      <c r="G124" s="80"/>
      <c r="H124" s="80"/>
      <c r="I124" s="80"/>
      <c r="J124" s="80"/>
      <c r="K124" s="80"/>
      <c r="L124" s="80"/>
      <c r="M124" s="84"/>
    </row>
    <row r="125" spans="1:13" ht="15.75" x14ac:dyDescent="0.25">
      <c r="A125" s="77"/>
      <c r="B125" s="78"/>
      <c r="C125" s="80"/>
      <c r="D125" s="80"/>
      <c r="E125" s="80"/>
      <c r="F125" s="80"/>
      <c r="G125" s="80"/>
      <c r="H125" s="80"/>
      <c r="I125" s="80"/>
      <c r="J125" s="80"/>
      <c r="K125" s="80"/>
      <c r="L125" s="80"/>
      <c r="M125" s="84"/>
    </row>
    <row r="126" spans="1:13" ht="15.75" x14ac:dyDescent="0.25">
      <c r="A126" s="77"/>
      <c r="B126" s="78"/>
      <c r="C126" s="80"/>
      <c r="D126" s="80"/>
      <c r="E126" s="80"/>
      <c r="F126" s="80"/>
      <c r="G126" s="80"/>
      <c r="H126" s="80"/>
      <c r="I126" s="80"/>
      <c r="J126" s="80"/>
      <c r="K126" s="80"/>
      <c r="L126" s="80"/>
      <c r="M126" s="84"/>
    </row>
    <row r="127" spans="1:13" ht="15.75" x14ac:dyDescent="0.25">
      <c r="A127" s="77"/>
      <c r="B127" s="78"/>
      <c r="C127" s="80"/>
      <c r="D127" s="80"/>
      <c r="E127" s="80"/>
      <c r="F127" s="80"/>
      <c r="G127" s="80"/>
      <c r="H127" s="80"/>
      <c r="I127" s="80"/>
      <c r="J127" s="80"/>
      <c r="K127" s="80"/>
      <c r="L127" s="80"/>
      <c r="M127" s="84"/>
    </row>
    <row r="128" spans="1:13" ht="15.75" x14ac:dyDescent="0.25">
      <c r="A128" s="77"/>
      <c r="B128" s="78"/>
      <c r="C128" s="80"/>
      <c r="D128" s="80"/>
      <c r="E128" s="80"/>
      <c r="F128" s="80"/>
      <c r="G128" s="80"/>
      <c r="H128" s="80"/>
      <c r="I128" s="80"/>
      <c r="J128" s="80"/>
      <c r="K128" s="80"/>
      <c r="L128" s="80"/>
      <c r="M128" s="84"/>
    </row>
    <row r="129" spans="1:13" ht="15.75" x14ac:dyDescent="0.25">
      <c r="A129" s="77"/>
      <c r="B129" s="78"/>
      <c r="C129" s="80"/>
      <c r="D129" s="80"/>
      <c r="E129" s="80"/>
      <c r="F129" s="80"/>
      <c r="G129" s="80"/>
      <c r="H129" s="80"/>
      <c r="I129" s="80"/>
      <c r="J129" s="80"/>
      <c r="K129" s="80"/>
      <c r="L129" s="80"/>
      <c r="M129" s="84"/>
    </row>
    <row r="130" spans="1:13" ht="15.75" x14ac:dyDescent="0.25">
      <c r="A130" s="77"/>
      <c r="B130" s="78"/>
      <c r="C130" s="80"/>
      <c r="D130" s="80"/>
      <c r="E130" s="80"/>
      <c r="F130" s="80"/>
      <c r="G130" s="80"/>
      <c r="H130" s="80"/>
      <c r="I130" s="80"/>
      <c r="J130" s="80"/>
      <c r="K130" s="80"/>
      <c r="L130" s="80"/>
      <c r="M130" s="84"/>
    </row>
    <row r="131" spans="1:13" ht="15.75" x14ac:dyDescent="0.25">
      <c r="A131" s="77"/>
      <c r="B131" s="78"/>
      <c r="C131" s="80"/>
      <c r="D131" s="80"/>
      <c r="E131" s="80"/>
      <c r="F131" s="80"/>
      <c r="G131" s="80"/>
      <c r="H131" s="80"/>
      <c r="I131" s="80"/>
      <c r="J131" s="80"/>
      <c r="K131" s="80"/>
      <c r="L131" s="80"/>
      <c r="M131" s="84"/>
    </row>
    <row r="132" spans="1:13" ht="15.75" x14ac:dyDescent="0.25">
      <c r="A132" s="77"/>
      <c r="B132" s="78"/>
      <c r="C132" s="80"/>
      <c r="D132" s="80"/>
      <c r="E132" s="80"/>
      <c r="F132" s="80"/>
      <c r="G132" s="80"/>
      <c r="H132" s="80"/>
      <c r="I132" s="80"/>
      <c r="J132" s="80"/>
      <c r="K132" s="80"/>
      <c r="L132" s="80"/>
      <c r="M132" s="84"/>
    </row>
    <row r="133" spans="1:13" ht="15.75" x14ac:dyDescent="0.25">
      <c r="A133" s="77"/>
      <c r="B133" s="78"/>
      <c r="C133" s="80"/>
      <c r="D133" s="80"/>
      <c r="E133" s="80"/>
      <c r="F133" s="80"/>
      <c r="G133" s="80"/>
      <c r="H133" s="80"/>
      <c r="I133" s="80"/>
      <c r="J133" s="80"/>
      <c r="K133" s="80"/>
      <c r="L133" s="80"/>
      <c r="M133" s="84"/>
    </row>
    <row r="134" spans="1:13" ht="15.75" x14ac:dyDescent="0.25">
      <c r="A134" s="77"/>
      <c r="B134" s="78"/>
      <c r="C134" s="80"/>
      <c r="D134" s="80"/>
      <c r="E134" s="80"/>
      <c r="F134" s="80"/>
      <c r="G134" s="80"/>
      <c r="H134" s="80"/>
      <c r="I134" s="80"/>
      <c r="J134" s="80"/>
      <c r="K134" s="80"/>
      <c r="L134" s="80"/>
      <c r="M134" s="84"/>
    </row>
    <row r="135" spans="1:13" ht="15.75" x14ac:dyDescent="0.25">
      <c r="A135" s="77"/>
      <c r="B135" s="78"/>
      <c r="C135" s="80"/>
      <c r="D135" s="80"/>
      <c r="E135" s="80"/>
      <c r="F135" s="80"/>
      <c r="G135" s="80"/>
      <c r="H135" s="80"/>
      <c r="I135" s="80"/>
      <c r="J135" s="80"/>
      <c r="K135" s="80"/>
      <c r="L135" s="80"/>
      <c r="M135" s="84"/>
    </row>
    <row r="136" spans="1:13" ht="15.75" x14ac:dyDescent="0.25">
      <c r="A136" s="77"/>
      <c r="B136" s="78"/>
      <c r="C136" s="80"/>
      <c r="D136" s="80"/>
      <c r="E136" s="80"/>
      <c r="F136" s="80"/>
      <c r="G136" s="80"/>
      <c r="H136" s="80"/>
      <c r="I136" s="80"/>
      <c r="J136" s="80"/>
      <c r="K136" s="80"/>
      <c r="L136" s="80"/>
      <c r="M136" s="84"/>
    </row>
    <row r="137" spans="1:13" ht="15.75" x14ac:dyDescent="0.25">
      <c r="A137" s="77"/>
      <c r="B137" s="78"/>
      <c r="C137" s="80"/>
      <c r="D137" s="80"/>
      <c r="E137" s="80"/>
      <c r="F137" s="80"/>
      <c r="G137" s="80"/>
      <c r="H137" s="80"/>
      <c r="I137" s="80"/>
      <c r="J137" s="80"/>
      <c r="K137" s="80"/>
      <c r="L137" s="80"/>
      <c r="M137" s="84"/>
    </row>
    <row r="138" spans="1:13" ht="15.75" x14ac:dyDescent="0.25">
      <c r="A138" s="77"/>
      <c r="B138" s="78"/>
      <c r="C138" s="80"/>
      <c r="D138" s="80"/>
      <c r="E138" s="80"/>
      <c r="F138" s="80"/>
      <c r="G138" s="80"/>
      <c r="H138" s="80"/>
      <c r="I138" s="80"/>
      <c r="J138" s="80"/>
      <c r="K138" s="80"/>
      <c r="L138" s="80"/>
      <c r="M138" s="84"/>
    </row>
    <row r="139" spans="1:13" ht="15.75" x14ac:dyDescent="0.25">
      <c r="A139" s="77"/>
      <c r="B139" s="78"/>
      <c r="C139" s="80"/>
      <c r="D139" s="80"/>
      <c r="E139" s="80"/>
      <c r="F139" s="80"/>
      <c r="G139" s="80"/>
      <c r="H139" s="80"/>
      <c r="I139" s="80"/>
      <c r="J139" s="80"/>
      <c r="K139" s="80"/>
      <c r="L139" s="80"/>
      <c r="M139" s="84"/>
    </row>
    <row r="140" spans="1:13" ht="15.75" x14ac:dyDescent="0.25">
      <c r="A140" s="77"/>
      <c r="B140" s="78"/>
      <c r="C140" s="80"/>
      <c r="D140" s="80"/>
      <c r="E140" s="80"/>
      <c r="F140" s="80"/>
      <c r="G140" s="80"/>
      <c r="H140" s="80"/>
      <c r="I140" s="80"/>
      <c r="J140" s="80"/>
      <c r="K140" s="80"/>
      <c r="L140" s="80"/>
      <c r="M140" s="84"/>
    </row>
    <row r="141" spans="1:13" ht="15.75" x14ac:dyDescent="0.25">
      <c r="A141" s="77"/>
      <c r="B141" s="78"/>
      <c r="C141" s="80"/>
      <c r="D141" s="80"/>
      <c r="E141" s="80"/>
      <c r="F141" s="80"/>
      <c r="G141" s="80"/>
      <c r="H141" s="80"/>
      <c r="I141" s="80"/>
      <c r="J141" s="80"/>
      <c r="K141" s="80"/>
      <c r="L141" s="80"/>
      <c r="M141" s="84"/>
    </row>
    <row r="142" spans="1:13" ht="15.75" x14ac:dyDescent="0.25">
      <c r="A142" s="77"/>
      <c r="B142" s="78"/>
      <c r="C142" s="80"/>
      <c r="D142" s="80"/>
      <c r="E142" s="80"/>
      <c r="F142" s="80"/>
      <c r="G142" s="80"/>
      <c r="H142" s="80"/>
      <c r="I142" s="80"/>
      <c r="J142" s="80"/>
      <c r="K142" s="80"/>
      <c r="L142" s="80"/>
      <c r="M142" s="84"/>
    </row>
    <row r="143" spans="1:13" ht="15.75" x14ac:dyDescent="0.25">
      <c r="A143" s="77"/>
      <c r="B143" s="78"/>
      <c r="C143" s="80"/>
      <c r="D143" s="80"/>
      <c r="E143" s="80"/>
      <c r="F143" s="80"/>
      <c r="G143" s="80"/>
      <c r="H143" s="80"/>
      <c r="I143" s="80"/>
      <c r="J143" s="80"/>
      <c r="K143" s="80"/>
      <c r="L143" s="80"/>
      <c r="M143" s="84"/>
    </row>
    <row r="144" spans="1:13" ht="15.75" x14ac:dyDescent="0.25">
      <c r="A144" s="77"/>
      <c r="B144" s="78"/>
      <c r="C144" s="80"/>
      <c r="D144" s="80"/>
      <c r="E144" s="80"/>
      <c r="F144" s="80"/>
      <c r="G144" s="80"/>
      <c r="H144" s="80"/>
      <c r="I144" s="80"/>
      <c r="J144" s="80"/>
      <c r="K144" s="80"/>
      <c r="L144" s="80"/>
      <c r="M144" s="84"/>
    </row>
    <row r="145" spans="1:13" ht="15.75" x14ac:dyDescent="0.25">
      <c r="A145" s="77"/>
      <c r="B145" s="78"/>
      <c r="C145" s="80"/>
      <c r="D145" s="80"/>
      <c r="E145" s="80"/>
      <c r="F145" s="80"/>
      <c r="G145" s="80"/>
      <c r="H145" s="80"/>
      <c r="I145" s="80"/>
      <c r="J145" s="80"/>
      <c r="K145" s="80"/>
      <c r="L145" s="80"/>
      <c r="M145" s="84"/>
    </row>
    <row r="146" spans="1:13" ht="15.75" x14ac:dyDescent="0.25">
      <c r="A146" s="77"/>
      <c r="B146" s="78"/>
      <c r="C146" s="80"/>
      <c r="D146" s="80"/>
      <c r="E146" s="80"/>
      <c r="F146" s="80"/>
      <c r="G146" s="80"/>
      <c r="H146" s="80"/>
      <c r="I146" s="80"/>
      <c r="J146" s="80"/>
      <c r="K146" s="80"/>
      <c r="L146" s="80"/>
      <c r="M146" s="84"/>
    </row>
    <row r="147" spans="1:13" ht="15.75" x14ac:dyDescent="0.25">
      <c r="A147" s="77"/>
      <c r="B147" s="78"/>
      <c r="C147" s="80"/>
      <c r="D147" s="80"/>
      <c r="E147" s="80"/>
      <c r="F147" s="80"/>
      <c r="G147" s="80"/>
      <c r="H147" s="80"/>
      <c r="I147" s="80"/>
      <c r="J147" s="80"/>
      <c r="K147" s="80"/>
      <c r="L147" s="80"/>
      <c r="M147" s="84"/>
    </row>
    <row r="148" spans="1:13" ht="15.75" x14ac:dyDescent="0.25">
      <c r="A148" s="77"/>
      <c r="B148" s="78"/>
      <c r="C148" s="80"/>
      <c r="D148" s="80"/>
      <c r="E148" s="80"/>
      <c r="F148" s="80"/>
      <c r="G148" s="80"/>
      <c r="H148" s="80"/>
      <c r="I148" s="80"/>
      <c r="J148" s="80"/>
      <c r="K148" s="80"/>
      <c r="L148" s="80"/>
      <c r="M148" s="84"/>
    </row>
    <row r="149" spans="1:13" ht="15.75" x14ac:dyDescent="0.25">
      <c r="A149" s="77"/>
      <c r="B149" s="78"/>
      <c r="C149" s="80"/>
      <c r="D149" s="80"/>
      <c r="E149" s="80"/>
      <c r="F149" s="80"/>
      <c r="G149" s="80"/>
      <c r="H149" s="80"/>
      <c r="I149" s="80"/>
      <c r="J149" s="80"/>
      <c r="K149" s="80"/>
      <c r="L149" s="80"/>
      <c r="M149" s="84"/>
    </row>
    <row r="150" spans="1:13" ht="15.75" x14ac:dyDescent="0.25">
      <c r="A150" s="77"/>
      <c r="B150" s="78"/>
      <c r="C150" s="80"/>
      <c r="D150" s="80"/>
      <c r="E150" s="80"/>
      <c r="F150" s="80"/>
      <c r="G150" s="80"/>
      <c r="H150" s="80"/>
      <c r="I150" s="80"/>
      <c r="J150" s="80"/>
      <c r="K150" s="80"/>
      <c r="L150" s="80"/>
      <c r="M150" s="84"/>
    </row>
    <row r="151" spans="1:13" ht="15.75" x14ac:dyDescent="0.25">
      <c r="A151" s="77"/>
      <c r="B151" s="78"/>
      <c r="C151" s="80"/>
      <c r="D151" s="80"/>
      <c r="E151" s="80"/>
      <c r="F151" s="80"/>
      <c r="G151" s="80"/>
      <c r="H151" s="80"/>
      <c r="I151" s="80"/>
      <c r="J151" s="80"/>
      <c r="K151" s="80"/>
      <c r="L151" s="80"/>
      <c r="M151" s="84"/>
    </row>
    <row r="152" spans="1:13" ht="15.75" x14ac:dyDescent="0.25">
      <c r="A152" s="77"/>
      <c r="B152" s="78"/>
      <c r="C152" s="80"/>
      <c r="D152" s="80"/>
      <c r="E152" s="80"/>
      <c r="F152" s="80"/>
      <c r="G152" s="80"/>
      <c r="H152" s="80"/>
      <c r="I152" s="80"/>
      <c r="J152" s="80"/>
      <c r="K152" s="80"/>
      <c r="L152" s="80"/>
      <c r="M152" s="84"/>
    </row>
    <row r="153" spans="1:13" ht="15.75" x14ac:dyDescent="0.25">
      <c r="A153" s="77"/>
      <c r="B153" s="78"/>
      <c r="C153" s="80"/>
      <c r="D153" s="80"/>
      <c r="E153" s="80"/>
      <c r="F153" s="80"/>
      <c r="G153" s="80"/>
      <c r="H153" s="80"/>
      <c r="I153" s="80"/>
      <c r="J153" s="80"/>
      <c r="K153" s="80"/>
      <c r="L153" s="80"/>
      <c r="M153" s="84"/>
    </row>
    <row r="154" spans="1:13" ht="15.75" x14ac:dyDescent="0.25">
      <c r="A154" s="77"/>
      <c r="B154" s="78"/>
      <c r="C154" s="80"/>
      <c r="D154" s="80"/>
      <c r="E154" s="80"/>
      <c r="F154" s="80"/>
      <c r="G154" s="80"/>
      <c r="H154" s="80"/>
      <c r="I154" s="80"/>
      <c r="J154" s="80"/>
      <c r="K154" s="80"/>
      <c r="L154" s="80"/>
      <c r="M154" s="84"/>
    </row>
    <row r="155" spans="1:13" ht="15.75" x14ac:dyDescent="0.25">
      <c r="A155" s="77"/>
      <c r="B155" s="78"/>
      <c r="C155" s="80"/>
      <c r="D155" s="80"/>
      <c r="E155" s="80"/>
      <c r="F155" s="80"/>
      <c r="G155" s="80"/>
      <c r="H155" s="80"/>
      <c r="I155" s="80"/>
      <c r="J155" s="80"/>
      <c r="K155" s="80"/>
      <c r="L155" s="80"/>
      <c r="M155" s="84"/>
    </row>
    <row r="156" spans="1:13" ht="15.75" x14ac:dyDescent="0.25">
      <c r="A156" s="77"/>
      <c r="B156" s="78"/>
      <c r="C156" s="80"/>
      <c r="D156" s="80"/>
      <c r="E156" s="80"/>
      <c r="F156" s="80"/>
      <c r="G156" s="80"/>
      <c r="H156" s="80"/>
      <c r="I156" s="80"/>
      <c r="J156" s="80"/>
      <c r="K156" s="80"/>
      <c r="L156" s="80"/>
      <c r="M156" s="84"/>
    </row>
    <row r="157" spans="1:13" ht="15.75" x14ac:dyDescent="0.25">
      <c r="A157" s="77"/>
      <c r="B157" s="78"/>
      <c r="C157" s="80"/>
      <c r="D157" s="80"/>
      <c r="E157" s="80"/>
      <c r="F157" s="80"/>
      <c r="G157" s="80"/>
      <c r="H157" s="80"/>
      <c r="I157" s="80"/>
      <c r="J157" s="80"/>
      <c r="K157" s="80"/>
      <c r="L157" s="80"/>
      <c r="M157" s="84"/>
    </row>
    <row r="158" spans="1:13" ht="15.75" x14ac:dyDescent="0.25">
      <c r="A158" s="77"/>
      <c r="B158" s="78"/>
      <c r="C158" s="80"/>
      <c r="D158" s="80"/>
      <c r="E158" s="80"/>
      <c r="F158" s="80"/>
      <c r="G158" s="80"/>
      <c r="H158" s="80"/>
      <c r="I158" s="80"/>
      <c r="J158" s="80"/>
      <c r="K158" s="80"/>
      <c r="L158" s="80"/>
      <c r="M158" s="84"/>
    </row>
    <row r="159" spans="1:13" ht="15.75" x14ac:dyDescent="0.25">
      <c r="A159" s="77"/>
      <c r="B159" s="78"/>
      <c r="C159" s="80"/>
      <c r="D159" s="80"/>
      <c r="E159" s="80"/>
      <c r="F159" s="80"/>
      <c r="G159" s="80"/>
      <c r="H159" s="80"/>
      <c r="I159" s="80"/>
      <c r="J159" s="80"/>
      <c r="K159" s="80"/>
      <c r="L159" s="80"/>
      <c r="M159" s="84"/>
    </row>
    <row r="160" spans="1:13" ht="15.75" x14ac:dyDescent="0.25">
      <c r="A160" s="77"/>
      <c r="B160" s="78"/>
      <c r="C160" s="80"/>
      <c r="D160" s="80"/>
      <c r="E160" s="80"/>
      <c r="F160" s="80"/>
      <c r="G160" s="80"/>
      <c r="H160" s="80"/>
      <c r="I160" s="80"/>
      <c r="J160" s="80"/>
      <c r="K160" s="80"/>
      <c r="L160" s="80"/>
      <c r="M160" s="84"/>
    </row>
    <row r="161" spans="1:13" ht="15.75" x14ac:dyDescent="0.25">
      <c r="A161" s="77"/>
      <c r="B161" s="78"/>
      <c r="C161" s="80"/>
      <c r="D161" s="80"/>
      <c r="E161" s="80"/>
      <c r="F161" s="80"/>
      <c r="G161" s="80"/>
      <c r="H161" s="80"/>
      <c r="I161" s="80"/>
      <c r="J161" s="80"/>
      <c r="K161" s="80"/>
      <c r="L161" s="80"/>
      <c r="M161" s="84"/>
    </row>
    <row r="162" spans="1:13" ht="15.75" x14ac:dyDescent="0.25">
      <c r="A162" s="77"/>
      <c r="B162" s="78"/>
      <c r="C162" s="80"/>
      <c r="D162" s="80"/>
      <c r="E162" s="80"/>
      <c r="F162" s="80"/>
      <c r="G162" s="80"/>
      <c r="H162" s="80"/>
      <c r="I162" s="80"/>
      <c r="J162" s="80"/>
      <c r="K162" s="80"/>
      <c r="L162" s="80"/>
      <c r="M162" s="84"/>
    </row>
    <row r="163" spans="1:13" ht="15.75" x14ac:dyDescent="0.25">
      <c r="A163" s="77"/>
      <c r="B163" s="78"/>
      <c r="C163" s="80"/>
      <c r="D163" s="80"/>
      <c r="E163" s="80"/>
      <c r="F163" s="80"/>
      <c r="G163" s="80"/>
      <c r="H163" s="80"/>
      <c r="I163" s="80"/>
      <c r="J163" s="80"/>
      <c r="K163" s="80"/>
      <c r="L163" s="80"/>
      <c r="M163" s="84"/>
    </row>
    <row r="164" spans="1:13" ht="15.75" x14ac:dyDescent="0.25">
      <c r="A164" s="77"/>
      <c r="B164" s="78"/>
      <c r="C164" s="80"/>
      <c r="D164" s="80"/>
      <c r="E164" s="80"/>
      <c r="F164" s="80"/>
      <c r="G164" s="80"/>
      <c r="H164" s="80"/>
      <c r="I164" s="80"/>
      <c r="J164" s="80"/>
      <c r="K164" s="80"/>
      <c r="L164" s="80"/>
      <c r="M164" s="84"/>
    </row>
    <row r="165" spans="1:13" ht="15.75" x14ac:dyDescent="0.25">
      <c r="A165" s="77"/>
      <c r="B165" s="78"/>
      <c r="C165" s="80"/>
      <c r="D165" s="80"/>
      <c r="E165" s="80"/>
      <c r="F165" s="80"/>
      <c r="G165" s="80"/>
      <c r="H165" s="80"/>
      <c r="I165" s="80"/>
      <c r="J165" s="80"/>
      <c r="K165" s="80"/>
      <c r="L165" s="80"/>
      <c r="M165" s="84"/>
    </row>
    <row r="166" spans="1:13" ht="15.75" x14ac:dyDescent="0.25">
      <c r="A166" s="77"/>
      <c r="B166" s="78"/>
      <c r="C166" s="80"/>
      <c r="D166" s="80"/>
      <c r="E166" s="80"/>
      <c r="F166" s="80"/>
      <c r="G166" s="80"/>
      <c r="H166" s="80"/>
      <c r="I166" s="80"/>
      <c r="J166" s="80"/>
      <c r="K166" s="80"/>
      <c r="L166" s="80"/>
      <c r="M166" s="84"/>
    </row>
    <row r="167" spans="1:13" ht="15.75" x14ac:dyDescent="0.25">
      <c r="A167" s="77"/>
      <c r="B167" s="78"/>
      <c r="C167" s="80"/>
      <c r="D167" s="80"/>
      <c r="E167" s="80"/>
      <c r="F167" s="80"/>
      <c r="G167" s="80"/>
      <c r="H167" s="80"/>
      <c r="I167" s="80"/>
      <c r="J167" s="80"/>
      <c r="K167" s="80"/>
      <c r="L167" s="80"/>
      <c r="M167" s="84"/>
    </row>
    <row r="168" spans="1:13" ht="15.75" x14ac:dyDescent="0.25">
      <c r="A168" s="77"/>
      <c r="B168" s="78"/>
      <c r="C168" s="80"/>
      <c r="D168" s="80"/>
      <c r="E168" s="80"/>
      <c r="F168" s="80"/>
      <c r="G168" s="80"/>
      <c r="H168" s="80"/>
      <c r="I168" s="80"/>
      <c r="J168" s="80"/>
      <c r="K168" s="80"/>
      <c r="L168" s="80"/>
      <c r="M168" s="84"/>
    </row>
    <row r="169" spans="1:13" ht="15.75" x14ac:dyDescent="0.25">
      <c r="A169" s="77"/>
      <c r="B169" s="78"/>
      <c r="C169" s="80"/>
      <c r="D169" s="80"/>
      <c r="E169" s="80"/>
      <c r="F169" s="80"/>
      <c r="G169" s="80"/>
      <c r="H169" s="80"/>
      <c r="I169" s="80"/>
      <c r="J169" s="80"/>
      <c r="K169" s="80"/>
      <c r="L169" s="80"/>
      <c r="M169" s="84"/>
    </row>
    <row r="170" spans="1:13" ht="15.75" x14ac:dyDescent="0.25">
      <c r="A170" s="77"/>
      <c r="B170" s="78"/>
      <c r="C170" s="80"/>
      <c r="D170" s="80"/>
      <c r="E170" s="80"/>
      <c r="F170" s="80"/>
      <c r="G170" s="80"/>
      <c r="H170" s="80"/>
      <c r="I170" s="80"/>
      <c r="J170" s="80"/>
      <c r="K170" s="80"/>
      <c r="L170" s="80"/>
      <c r="M170" s="84"/>
    </row>
    <row r="171" spans="1:13" ht="15.75" x14ac:dyDescent="0.25">
      <c r="A171" s="77"/>
      <c r="B171" s="78"/>
      <c r="C171" s="80"/>
      <c r="D171" s="80"/>
      <c r="E171" s="80"/>
      <c r="F171" s="80"/>
      <c r="G171" s="80"/>
      <c r="H171" s="80"/>
      <c r="I171" s="80"/>
      <c r="J171" s="80"/>
      <c r="K171" s="80"/>
      <c r="L171" s="80"/>
      <c r="M171" s="84"/>
    </row>
    <row r="172" spans="1:13" ht="15.75" x14ac:dyDescent="0.25">
      <c r="A172" s="77"/>
      <c r="B172" s="78"/>
      <c r="C172" s="80"/>
      <c r="D172" s="80"/>
      <c r="E172" s="80"/>
      <c r="F172" s="80"/>
      <c r="G172" s="80"/>
      <c r="H172" s="80"/>
      <c r="I172" s="80"/>
      <c r="J172" s="80"/>
      <c r="K172" s="80"/>
      <c r="L172" s="80"/>
      <c r="M172" s="84"/>
    </row>
    <row r="173" spans="1:13" ht="15.75" x14ac:dyDescent="0.25">
      <c r="A173" s="77"/>
      <c r="B173" s="78"/>
      <c r="C173" s="80"/>
      <c r="D173" s="80"/>
      <c r="E173" s="80"/>
      <c r="F173" s="80"/>
      <c r="G173" s="80"/>
      <c r="H173" s="80"/>
      <c r="I173" s="80"/>
      <c r="J173" s="80"/>
      <c r="K173" s="80"/>
      <c r="L173" s="80"/>
      <c r="M173" s="84"/>
    </row>
    <row r="174" spans="1:13" ht="15.75" x14ac:dyDescent="0.25">
      <c r="A174" s="77"/>
      <c r="B174" s="78"/>
      <c r="C174" s="80"/>
      <c r="D174" s="80"/>
      <c r="E174" s="80"/>
      <c r="F174" s="80"/>
      <c r="G174" s="80"/>
      <c r="H174" s="80"/>
      <c r="I174" s="80"/>
      <c r="J174" s="80"/>
      <c r="K174" s="80"/>
      <c r="L174" s="80"/>
      <c r="M174" s="84"/>
    </row>
    <row r="175" spans="1:13" ht="15.75" x14ac:dyDescent="0.25">
      <c r="A175" s="77"/>
      <c r="B175" s="78"/>
      <c r="C175" s="80"/>
      <c r="D175" s="80"/>
      <c r="E175" s="80"/>
      <c r="F175" s="80"/>
      <c r="G175" s="80"/>
      <c r="H175" s="80"/>
      <c r="I175" s="80"/>
      <c r="J175" s="80"/>
      <c r="K175" s="80"/>
      <c r="L175" s="80"/>
      <c r="M175" s="84"/>
    </row>
    <row r="176" spans="1:13" ht="15.75" x14ac:dyDescent="0.25">
      <c r="A176" s="77"/>
      <c r="B176" s="78"/>
      <c r="C176" s="80"/>
      <c r="D176" s="80"/>
      <c r="E176" s="80"/>
      <c r="F176" s="80"/>
      <c r="G176" s="80"/>
      <c r="H176" s="80"/>
      <c r="I176" s="80"/>
      <c r="J176" s="80"/>
      <c r="K176" s="80"/>
      <c r="L176" s="80"/>
      <c r="M176" s="84"/>
    </row>
    <row r="177" spans="1:13" ht="15.75" x14ac:dyDescent="0.25">
      <c r="A177" s="77"/>
      <c r="B177" s="78"/>
      <c r="C177" s="80"/>
      <c r="D177" s="80"/>
      <c r="E177" s="80"/>
      <c r="F177" s="80"/>
      <c r="G177" s="80"/>
      <c r="H177" s="80"/>
      <c r="I177" s="80"/>
      <c r="J177" s="80"/>
      <c r="K177" s="80"/>
      <c r="L177" s="80"/>
      <c r="M177" s="84"/>
    </row>
    <row r="178" spans="1:13" ht="15.75" x14ac:dyDescent="0.25">
      <c r="A178" s="77"/>
      <c r="B178" s="78"/>
      <c r="C178" s="80"/>
      <c r="D178" s="80"/>
      <c r="E178" s="80"/>
      <c r="F178" s="80"/>
      <c r="G178" s="80"/>
      <c r="H178" s="80"/>
      <c r="I178" s="80"/>
      <c r="J178" s="80"/>
      <c r="K178" s="80"/>
      <c r="L178" s="80"/>
      <c r="M178" s="84"/>
    </row>
    <row r="179" spans="1:13" ht="15.75" x14ac:dyDescent="0.25">
      <c r="A179" s="77"/>
      <c r="B179" s="78"/>
      <c r="C179" s="80"/>
      <c r="D179" s="80"/>
      <c r="E179" s="80"/>
      <c r="F179" s="80"/>
      <c r="G179" s="80"/>
      <c r="H179" s="80"/>
      <c r="I179" s="80"/>
      <c r="J179" s="80"/>
      <c r="K179" s="80"/>
      <c r="L179" s="80"/>
      <c r="M179" s="84"/>
    </row>
    <row r="180" spans="1:13" ht="15.75" x14ac:dyDescent="0.25">
      <c r="A180" s="77"/>
      <c r="B180" s="78"/>
      <c r="C180" s="80"/>
      <c r="D180" s="80"/>
      <c r="E180" s="80"/>
      <c r="F180" s="80"/>
      <c r="G180" s="80"/>
      <c r="H180" s="80"/>
      <c r="I180" s="80"/>
      <c r="J180" s="80"/>
      <c r="K180" s="80"/>
      <c r="L180" s="80"/>
      <c r="M180" s="84"/>
    </row>
    <row r="181" spans="1:13" ht="15.75" x14ac:dyDescent="0.25">
      <c r="A181" s="77"/>
      <c r="B181" s="78"/>
      <c r="C181" s="80"/>
      <c r="D181" s="80"/>
      <c r="E181" s="80"/>
      <c r="F181" s="80"/>
      <c r="G181" s="80"/>
      <c r="H181" s="80"/>
      <c r="I181" s="80"/>
      <c r="J181" s="80"/>
      <c r="K181" s="80"/>
      <c r="L181" s="80"/>
      <c r="M181" s="84"/>
    </row>
    <row r="182" spans="1:13" ht="15.75" x14ac:dyDescent="0.25">
      <c r="A182" s="77"/>
      <c r="B182" s="78"/>
      <c r="C182" s="80"/>
      <c r="D182" s="80"/>
      <c r="E182" s="80"/>
      <c r="F182" s="80"/>
      <c r="G182" s="80"/>
      <c r="H182" s="80"/>
      <c r="I182" s="80"/>
      <c r="J182" s="80"/>
      <c r="K182" s="80"/>
      <c r="L182" s="80"/>
      <c r="M182" s="84"/>
    </row>
    <row r="183" spans="1:13" ht="15.75" x14ac:dyDescent="0.25">
      <c r="A183" s="77"/>
      <c r="B183" s="78"/>
      <c r="C183" s="80"/>
      <c r="D183" s="80"/>
      <c r="E183" s="80"/>
      <c r="F183" s="80"/>
      <c r="G183" s="80"/>
      <c r="H183" s="80"/>
      <c r="I183" s="80"/>
      <c r="J183" s="80"/>
      <c r="K183" s="80"/>
      <c r="L183" s="80"/>
      <c r="M183" s="84"/>
    </row>
    <row r="184" spans="1:13" ht="15.75" x14ac:dyDescent="0.25">
      <c r="A184" s="77"/>
      <c r="B184" s="78"/>
      <c r="C184" s="80"/>
      <c r="D184" s="80"/>
      <c r="E184" s="80"/>
      <c r="F184" s="80"/>
      <c r="G184" s="80"/>
      <c r="H184" s="80"/>
      <c r="I184" s="80"/>
      <c r="J184" s="80"/>
      <c r="K184" s="80"/>
      <c r="L184" s="80"/>
      <c r="M184" s="84"/>
    </row>
    <row r="185" spans="1:13" ht="15.75" x14ac:dyDescent="0.25">
      <c r="A185" s="77"/>
      <c r="B185" s="78"/>
      <c r="C185" s="80"/>
      <c r="D185" s="80"/>
      <c r="E185" s="80"/>
      <c r="F185" s="80"/>
      <c r="G185" s="80"/>
      <c r="H185" s="80"/>
      <c r="I185" s="80"/>
      <c r="J185" s="80"/>
      <c r="K185" s="80"/>
      <c r="L185" s="80"/>
      <c r="M185" s="84"/>
    </row>
    <row r="186" spans="1:13" ht="15.75" x14ac:dyDescent="0.25">
      <c r="A186" s="77"/>
      <c r="B186" s="78"/>
      <c r="C186" s="80"/>
      <c r="D186" s="80"/>
      <c r="E186" s="80"/>
      <c r="F186" s="80"/>
      <c r="G186" s="80"/>
      <c r="H186" s="80"/>
      <c r="I186" s="80"/>
      <c r="J186" s="80"/>
      <c r="K186" s="80"/>
      <c r="L186" s="80"/>
      <c r="M186" s="84"/>
    </row>
    <row r="187" spans="1:13" ht="15.75" x14ac:dyDescent="0.25">
      <c r="A187" s="77"/>
      <c r="B187" s="78"/>
      <c r="C187" s="80"/>
      <c r="D187" s="80"/>
      <c r="E187" s="80"/>
      <c r="F187" s="80"/>
      <c r="G187" s="80"/>
      <c r="H187" s="80"/>
      <c r="I187" s="80"/>
      <c r="J187" s="80"/>
      <c r="K187" s="80"/>
      <c r="L187" s="80"/>
      <c r="M187" s="84"/>
    </row>
    <row r="188" spans="1:13" ht="15.75" x14ac:dyDescent="0.25">
      <c r="A188" s="77"/>
      <c r="B188" s="78"/>
      <c r="C188" s="80"/>
      <c r="D188" s="80"/>
      <c r="E188" s="80"/>
      <c r="F188" s="80"/>
      <c r="G188" s="80"/>
      <c r="H188" s="80"/>
      <c r="I188" s="80"/>
      <c r="J188" s="80"/>
      <c r="K188" s="80"/>
      <c r="L188" s="80"/>
      <c r="M188" s="84"/>
    </row>
    <row r="189" spans="1:13" ht="15.75" x14ac:dyDescent="0.25">
      <c r="A189" s="77"/>
      <c r="B189" s="78"/>
      <c r="C189" s="80"/>
      <c r="D189" s="80"/>
      <c r="E189" s="80"/>
      <c r="F189" s="80"/>
      <c r="G189" s="80"/>
      <c r="H189" s="80"/>
      <c r="I189" s="80"/>
      <c r="J189" s="80"/>
      <c r="K189" s="80"/>
      <c r="L189" s="80"/>
      <c r="M189" s="84"/>
    </row>
    <row r="190" spans="1:13" ht="15.75" x14ac:dyDescent="0.25">
      <c r="A190" s="77"/>
      <c r="B190" s="78"/>
      <c r="C190" s="80"/>
      <c r="D190" s="80"/>
      <c r="E190" s="80"/>
      <c r="F190" s="80"/>
      <c r="G190" s="80"/>
      <c r="H190" s="80"/>
      <c r="I190" s="80"/>
      <c r="J190" s="80"/>
      <c r="K190" s="80"/>
      <c r="L190" s="80"/>
      <c r="M190" s="84"/>
    </row>
    <row r="191" spans="1:13" ht="15.75" x14ac:dyDescent="0.25">
      <c r="A191" s="77"/>
      <c r="B191" s="78"/>
      <c r="C191" s="80"/>
      <c r="D191" s="80"/>
      <c r="E191" s="80"/>
      <c r="F191" s="80"/>
      <c r="G191" s="80"/>
      <c r="H191" s="80"/>
      <c r="I191" s="80"/>
      <c r="J191" s="80"/>
      <c r="K191" s="80"/>
      <c r="L191" s="80"/>
      <c r="M191" s="84"/>
    </row>
    <row r="192" spans="1:13" ht="15.75" x14ac:dyDescent="0.25">
      <c r="A192" s="77"/>
      <c r="B192" s="78"/>
      <c r="C192" s="80"/>
      <c r="D192" s="80"/>
      <c r="E192" s="80"/>
      <c r="F192" s="80"/>
      <c r="G192" s="80"/>
      <c r="H192" s="80"/>
      <c r="I192" s="80"/>
      <c r="J192" s="80"/>
      <c r="K192" s="80"/>
      <c r="L192" s="80"/>
      <c r="M192" s="84"/>
    </row>
    <row r="193" spans="1:13" ht="15.75" x14ac:dyDescent="0.25">
      <c r="A193" s="77"/>
      <c r="B193" s="78"/>
      <c r="C193" s="80"/>
      <c r="D193" s="80"/>
      <c r="E193" s="80"/>
      <c r="F193" s="80"/>
      <c r="G193" s="80"/>
      <c r="H193" s="80"/>
      <c r="I193" s="80"/>
      <c r="J193" s="80"/>
      <c r="K193" s="80"/>
      <c r="L193" s="80"/>
      <c r="M193" s="84"/>
    </row>
    <row r="194" spans="1:13" ht="15.75" x14ac:dyDescent="0.25">
      <c r="A194" s="77"/>
      <c r="B194" s="78"/>
      <c r="C194" s="80"/>
      <c r="D194" s="80"/>
      <c r="E194" s="80"/>
      <c r="F194" s="80"/>
      <c r="G194" s="80"/>
      <c r="H194" s="80"/>
      <c r="I194" s="80"/>
      <c r="J194" s="80"/>
      <c r="K194" s="80"/>
      <c r="L194" s="80"/>
      <c r="M194" s="84"/>
    </row>
    <row r="195" spans="1:13" ht="15.75" x14ac:dyDescent="0.25">
      <c r="A195" s="77"/>
      <c r="B195" s="78"/>
      <c r="C195" s="80"/>
      <c r="D195" s="80"/>
      <c r="E195" s="80"/>
      <c r="F195" s="80"/>
      <c r="G195" s="80"/>
      <c r="H195" s="80"/>
      <c r="I195" s="80"/>
      <c r="J195" s="80"/>
      <c r="K195" s="80"/>
      <c r="L195" s="80"/>
      <c r="M195" s="84"/>
    </row>
    <row r="196" spans="1:13" ht="15.75" x14ac:dyDescent="0.25">
      <c r="A196" s="77"/>
      <c r="B196" s="78"/>
      <c r="C196" s="80"/>
      <c r="D196" s="80"/>
      <c r="E196" s="80"/>
      <c r="F196" s="80"/>
      <c r="G196" s="80"/>
      <c r="H196" s="80"/>
      <c r="I196" s="80"/>
      <c r="J196" s="80"/>
      <c r="K196" s="80"/>
      <c r="L196" s="80"/>
      <c r="M196" s="84"/>
    </row>
    <row r="197" spans="1:13" ht="15.75" x14ac:dyDescent="0.25">
      <c r="A197" s="77"/>
      <c r="B197" s="78"/>
      <c r="C197" s="80"/>
      <c r="D197" s="80"/>
      <c r="E197" s="80"/>
      <c r="F197" s="80"/>
      <c r="G197" s="80"/>
      <c r="H197" s="80"/>
      <c r="I197" s="80"/>
      <c r="J197" s="80"/>
      <c r="K197" s="80"/>
      <c r="L197" s="80"/>
      <c r="M197" s="84"/>
    </row>
    <row r="198" spans="1:13" ht="15.75" x14ac:dyDescent="0.25">
      <c r="A198" s="77"/>
      <c r="B198" s="78"/>
      <c r="C198" s="80"/>
      <c r="D198" s="80"/>
      <c r="E198" s="80"/>
      <c r="F198" s="80"/>
      <c r="G198" s="80"/>
      <c r="H198" s="80"/>
      <c r="I198" s="80"/>
      <c r="J198" s="80"/>
      <c r="K198" s="80"/>
      <c r="L198" s="80"/>
      <c r="M198" s="84"/>
    </row>
    <row r="199" spans="1:13" ht="15.75" x14ac:dyDescent="0.25">
      <c r="A199" s="77"/>
      <c r="B199" s="78"/>
      <c r="C199" s="80"/>
      <c r="D199" s="80"/>
      <c r="E199" s="80"/>
      <c r="F199" s="80"/>
      <c r="G199" s="80"/>
      <c r="H199" s="80"/>
      <c r="I199" s="80"/>
      <c r="J199" s="80"/>
      <c r="K199" s="80"/>
      <c r="L199" s="80"/>
      <c r="M199" s="84"/>
    </row>
    <row r="200" spans="1:13" ht="15.75" x14ac:dyDescent="0.25">
      <c r="A200" s="77"/>
      <c r="B200" s="78"/>
      <c r="C200" s="80"/>
      <c r="D200" s="80"/>
      <c r="E200" s="80"/>
      <c r="F200" s="80"/>
      <c r="G200" s="80"/>
      <c r="H200" s="80"/>
      <c r="I200" s="80"/>
      <c r="J200" s="80"/>
      <c r="K200" s="80"/>
      <c r="L200" s="80"/>
      <c r="M200" s="84"/>
    </row>
    <row r="201" spans="1:13" ht="15.75" x14ac:dyDescent="0.25">
      <c r="A201" s="77"/>
      <c r="B201" s="78"/>
      <c r="C201" s="80"/>
      <c r="D201" s="80"/>
      <c r="E201" s="80"/>
      <c r="F201" s="80"/>
      <c r="G201" s="80"/>
      <c r="H201" s="80"/>
      <c r="I201" s="80"/>
      <c r="J201" s="80"/>
      <c r="K201" s="80"/>
      <c r="L201" s="80"/>
      <c r="M201" s="84"/>
    </row>
    <row r="202" spans="1:13" ht="15.75" x14ac:dyDescent="0.25">
      <c r="A202" s="77"/>
      <c r="B202" s="78"/>
      <c r="C202" s="80"/>
      <c r="D202" s="80"/>
      <c r="E202" s="80"/>
      <c r="F202" s="80"/>
      <c r="G202" s="80"/>
      <c r="H202" s="80"/>
      <c r="I202" s="80"/>
      <c r="J202" s="80"/>
      <c r="K202" s="80"/>
      <c r="L202" s="80"/>
      <c r="M202" s="84"/>
    </row>
    <row r="203" spans="1:13" ht="15.75" x14ac:dyDescent="0.25">
      <c r="A203" s="77"/>
      <c r="B203" s="78"/>
      <c r="C203" s="80"/>
      <c r="D203" s="80"/>
      <c r="E203" s="80"/>
      <c r="F203" s="80"/>
      <c r="G203" s="80"/>
      <c r="H203" s="80"/>
      <c r="I203" s="80"/>
      <c r="J203" s="80"/>
      <c r="K203" s="80"/>
      <c r="L203" s="80"/>
      <c r="M203" s="84"/>
    </row>
    <row r="204" spans="1:13" ht="15.75" x14ac:dyDescent="0.25">
      <c r="A204" s="77"/>
      <c r="B204" s="78"/>
      <c r="C204" s="80"/>
      <c r="D204" s="80"/>
      <c r="E204" s="80"/>
      <c r="F204" s="80"/>
      <c r="G204" s="80"/>
      <c r="H204" s="80"/>
      <c r="I204" s="80"/>
      <c r="J204" s="80"/>
      <c r="K204" s="80"/>
      <c r="L204" s="80"/>
      <c r="M204" s="84"/>
    </row>
    <row r="205" spans="1:13" ht="15.75" x14ac:dyDescent="0.25">
      <c r="A205" s="77"/>
      <c r="B205" s="78"/>
      <c r="C205" s="80"/>
      <c r="D205" s="80"/>
      <c r="E205" s="80"/>
      <c r="F205" s="80"/>
      <c r="G205" s="80"/>
      <c r="H205" s="80"/>
      <c r="I205" s="80"/>
      <c r="J205" s="80"/>
      <c r="K205" s="80"/>
      <c r="L205" s="80"/>
      <c r="M205" s="84"/>
    </row>
    <row r="206" spans="1:13" ht="15.75" x14ac:dyDescent="0.25">
      <c r="A206" s="77"/>
      <c r="B206" s="78"/>
      <c r="C206" s="80"/>
      <c r="D206" s="80"/>
      <c r="E206" s="80"/>
      <c r="F206" s="80"/>
      <c r="G206" s="80"/>
      <c r="H206" s="80"/>
      <c r="I206" s="80"/>
      <c r="J206" s="80"/>
      <c r="K206" s="80"/>
      <c r="L206" s="80"/>
      <c r="M206" s="84"/>
    </row>
    <row r="207" spans="1:13" ht="15.75" x14ac:dyDescent="0.25">
      <c r="A207" s="77"/>
      <c r="B207" s="78"/>
      <c r="C207" s="80"/>
      <c r="D207" s="80"/>
      <c r="E207" s="80"/>
      <c r="F207" s="80"/>
      <c r="G207" s="80"/>
      <c r="H207" s="80"/>
      <c r="I207" s="80"/>
      <c r="J207" s="80"/>
      <c r="K207" s="80"/>
      <c r="L207" s="80"/>
      <c r="M207" s="84"/>
    </row>
    <row r="208" spans="1:13" ht="15.75" x14ac:dyDescent="0.25">
      <c r="A208" s="77"/>
      <c r="B208" s="78"/>
      <c r="C208" s="80"/>
      <c r="D208" s="80"/>
      <c r="E208" s="80"/>
      <c r="F208" s="80"/>
      <c r="G208" s="80"/>
      <c r="H208" s="80"/>
      <c r="I208" s="80"/>
      <c r="J208" s="80"/>
      <c r="K208" s="80"/>
      <c r="L208" s="80"/>
      <c r="M208" s="84"/>
    </row>
    <row r="209" spans="1:13" ht="15.75" x14ac:dyDescent="0.25">
      <c r="A209" s="77"/>
      <c r="B209" s="78"/>
      <c r="C209" s="80"/>
      <c r="D209" s="80"/>
      <c r="E209" s="80"/>
      <c r="F209" s="80"/>
      <c r="G209" s="80"/>
      <c r="H209" s="80"/>
      <c r="I209" s="80"/>
      <c r="J209" s="80"/>
      <c r="K209" s="80"/>
      <c r="L209" s="80"/>
      <c r="M209" s="84"/>
    </row>
    <row r="210" spans="1:13" ht="15.75" x14ac:dyDescent="0.25">
      <c r="A210" s="77"/>
      <c r="B210" s="78"/>
      <c r="C210" s="80"/>
      <c r="D210" s="80"/>
      <c r="E210" s="80"/>
      <c r="F210" s="80"/>
      <c r="G210" s="80"/>
      <c r="H210" s="80"/>
      <c r="I210" s="80"/>
      <c r="J210" s="80"/>
      <c r="K210" s="80"/>
      <c r="L210" s="80"/>
      <c r="M210" s="84"/>
    </row>
    <row r="211" spans="1:13" ht="15.75" x14ac:dyDescent="0.25">
      <c r="A211" s="77"/>
      <c r="B211" s="78"/>
      <c r="C211" s="80"/>
      <c r="D211" s="80"/>
      <c r="E211" s="80"/>
      <c r="F211" s="80"/>
      <c r="G211" s="80"/>
      <c r="H211" s="80"/>
      <c r="I211" s="80"/>
      <c r="J211" s="80"/>
      <c r="K211" s="80"/>
      <c r="L211" s="80"/>
      <c r="M211" s="84"/>
    </row>
    <row r="212" spans="1:13" ht="15.75" x14ac:dyDescent="0.25">
      <c r="A212" s="77"/>
      <c r="B212" s="78"/>
      <c r="C212" s="80"/>
      <c r="D212" s="80"/>
      <c r="E212" s="80"/>
      <c r="F212" s="80"/>
      <c r="G212" s="80"/>
      <c r="H212" s="80"/>
      <c r="I212" s="80"/>
      <c r="J212" s="80"/>
      <c r="K212" s="80"/>
      <c r="L212" s="80"/>
      <c r="M212" s="84"/>
    </row>
    <row r="213" spans="1:13" ht="15.75" x14ac:dyDescent="0.25">
      <c r="A213" s="77"/>
      <c r="B213" s="78"/>
      <c r="C213" s="80"/>
      <c r="D213" s="80"/>
      <c r="E213" s="80"/>
      <c r="F213" s="80"/>
      <c r="G213" s="80"/>
      <c r="H213" s="80"/>
      <c r="I213" s="80"/>
      <c r="J213" s="80"/>
      <c r="K213" s="80"/>
      <c r="L213" s="80"/>
      <c r="M213" s="84"/>
    </row>
    <row r="214" spans="1:13" ht="15.75" x14ac:dyDescent="0.25">
      <c r="A214" s="77"/>
      <c r="B214" s="78"/>
      <c r="C214" s="80"/>
      <c r="D214" s="80"/>
      <c r="E214" s="80"/>
      <c r="F214" s="80"/>
      <c r="G214" s="80"/>
      <c r="H214" s="80"/>
      <c r="I214" s="80"/>
      <c r="J214" s="80"/>
      <c r="K214" s="80"/>
      <c r="L214" s="80"/>
      <c r="M214" s="84"/>
    </row>
    <row r="215" spans="1:13" ht="15.75" x14ac:dyDescent="0.25">
      <c r="A215" s="77"/>
      <c r="B215" s="78"/>
      <c r="C215" s="80"/>
      <c r="D215" s="80"/>
      <c r="E215" s="80"/>
      <c r="F215" s="80"/>
      <c r="G215" s="80"/>
      <c r="H215" s="80"/>
      <c r="I215" s="80"/>
      <c r="J215" s="80"/>
      <c r="K215" s="80"/>
      <c r="L215" s="80"/>
      <c r="M215" s="84"/>
    </row>
    <row r="216" spans="1:13" ht="15.75" x14ac:dyDescent="0.25">
      <c r="A216" s="77"/>
      <c r="B216" s="78"/>
      <c r="C216" s="80"/>
      <c r="D216" s="80"/>
      <c r="E216" s="80"/>
      <c r="F216" s="80"/>
      <c r="G216" s="80"/>
      <c r="H216" s="80"/>
      <c r="I216" s="80"/>
      <c r="J216" s="80"/>
      <c r="K216" s="80"/>
      <c r="L216" s="80"/>
      <c r="M216" s="84"/>
    </row>
    <row r="217" spans="1:13" ht="15.75" x14ac:dyDescent="0.25">
      <c r="A217" s="77"/>
      <c r="B217" s="78"/>
      <c r="C217" s="80"/>
      <c r="D217" s="80"/>
      <c r="E217" s="80"/>
      <c r="F217" s="80"/>
      <c r="G217" s="80"/>
      <c r="H217" s="80"/>
      <c r="I217" s="80"/>
      <c r="J217" s="80"/>
      <c r="K217" s="80"/>
      <c r="L217" s="80"/>
      <c r="M217" s="84"/>
    </row>
    <row r="218" spans="1:13" ht="15.75" x14ac:dyDescent="0.25">
      <c r="A218" s="77"/>
      <c r="B218" s="78"/>
      <c r="C218" s="80"/>
      <c r="D218" s="80"/>
      <c r="E218" s="80"/>
      <c r="F218" s="80"/>
      <c r="G218" s="80"/>
      <c r="H218" s="80"/>
      <c r="I218" s="80"/>
      <c r="J218" s="80"/>
      <c r="K218" s="80"/>
      <c r="L218" s="80"/>
      <c r="M218" s="84"/>
    </row>
    <row r="219" spans="1:13" ht="15.75" x14ac:dyDescent="0.25">
      <c r="A219" s="77"/>
      <c r="B219" s="78"/>
      <c r="C219" s="80"/>
      <c r="D219" s="80"/>
      <c r="E219" s="80"/>
      <c r="F219" s="80"/>
      <c r="G219" s="80"/>
      <c r="H219" s="80"/>
      <c r="I219" s="80"/>
      <c r="J219" s="80"/>
      <c r="K219" s="80"/>
      <c r="L219" s="80"/>
      <c r="M219" s="84"/>
    </row>
    <row r="220" spans="1:13" ht="15.75" x14ac:dyDescent="0.25">
      <c r="A220" s="77"/>
      <c r="B220" s="78"/>
      <c r="C220" s="80"/>
      <c r="D220" s="80"/>
      <c r="E220" s="80"/>
      <c r="F220" s="80"/>
      <c r="G220" s="80"/>
      <c r="H220" s="80"/>
      <c r="I220" s="80"/>
      <c r="J220" s="80"/>
      <c r="K220" s="80"/>
      <c r="L220" s="80"/>
      <c r="M220" s="84"/>
    </row>
    <row r="221" spans="1:13" ht="15.75" x14ac:dyDescent="0.25">
      <c r="A221" s="77"/>
      <c r="B221" s="78"/>
      <c r="C221" s="80"/>
      <c r="D221" s="80"/>
      <c r="E221" s="80"/>
      <c r="F221" s="80"/>
      <c r="G221" s="80"/>
      <c r="H221" s="80"/>
      <c r="I221" s="80"/>
      <c r="J221" s="80"/>
      <c r="K221" s="80"/>
      <c r="L221" s="80"/>
      <c r="M221" s="84"/>
    </row>
    <row r="222" spans="1:13" ht="15.75" x14ac:dyDescent="0.25">
      <c r="A222" s="77"/>
      <c r="B222" s="78"/>
      <c r="C222" s="80"/>
      <c r="D222" s="80"/>
      <c r="E222" s="80"/>
      <c r="F222" s="80"/>
      <c r="G222" s="80"/>
      <c r="H222" s="80"/>
      <c r="I222" s="80"/>
      <c r="J222" s="80"/>
      <c r="K222" s="80"/>
      <c r="L222" s="80"/>
      <c r="M222" s="84"/>
    </row>
    <row r="223" spans="1:13" ht="15.75" x14ac:dyDescent="0.25">
      <c r="A223" s="77"/>
      <c r="B223" s="78"/>
      <c r="C223" s="80"/>
      <c r="D223" s="80"/>
      <c r="E223" s="80"/>
      <c r="F223" s="80"/>
      <c r="G223" s="80"/>
      <c r="H223" s="80"/>
      <c r="I223" s="80"/>
      <c r="J223" s="80"/>
      <c r="K223" s="80"/>
      <c r="L223" s="80"/>
      <c r="M223" s="84"/>
    </row>
    <row r="224" spans="1:13" ht="15.75" x14ac:dyDescent="0.25">
      <c r="A224" s="77"/>
      <c r="B224" s="78"/>
      <c r="C224" s="80"/>
      <c r="D224" s="80"/>
      <c r="E224" s="80"/>
      <c r="F224" s="80"/>
      <c r="G224" s="80"/>
      <c r="H224" s="80"/>
      <c r="I224" s="80"/>
      <c r="J224" s="80"/>
      <c r="K224" s="80"/>
      <c r="L224" s="80"/>
      <c r="M224" s="84"/>
    </row>
    <row r="225" spans="1:13" ht="15.75" x14ac:dyDescent="0.25">
      <c r="A225" s="77"/>
      <c r="B225" s="78"/>
      <c r="C225" s="80"/>
      <c r="D225" s="80"/>
      <c r="E225" s="80"/>
      <c r="F225" s="80"/>
      <c r="G225" s="80"/>
      <c r="H225" s="80"/>
      <c r="I225" s="80"/>
      <c r="J225" s="80"/>
      <c r="K225" s="80"/>
      <c r="L225" s="80"/>
      <c r="M225" s="84"/>
    </row>
    <row r="226" spans="1:13" ht="15.75" x14ac:dyDescent="0.25">
      <c r="A226" s="77"/>
      <c r="B226" s="78"/>
      <c r="C226" s="80"/>
      <c r="D226" s="80"/>
      <c r="E226" s="80"/>
      <c r="F226" s="80"/>
      <c r="G226" s="80"/>
      <c r="H226" s="80"/>
      <c r="I226" s="80"/>
      <c r="J226" s="80"/>
      <c r="K226" s="80"/>
      <c r="L226" s="80"/>
      <c r="M226" s="84"/>
    </row>
    <row r="227" spans="1:13" ht="15.75" x14ac:dyDescent="0.25">
      <c r="A227" s="77"/>
      <c r="B227" s="78"/>
      <c r="C227" s="80"/>
      <c r="D227" s="80"/>
      <c r="E227" s="80"/>
      <c r="F227" s="80"/>
      <c r="G227" s="80"/>
      <c r="H227" s="80"/>
      <c r="I227" s="80"/>
      <c r="J227" s="80"/>
      <c r="K227" s="80"/>
      <c r="L227" s="80"/>
      <c r="M227" s="84"/>
    </row>
    <row r="228" spans="1:13" ht="15.75" x14ac:dyDescent="0.25">
      <c r="A228" s="77"/>
      <c r="B228" s="78"/>
      <c r="C228" s="80"/>
      <c r="D228" s="80"/>
      <c r="E228" s="80"/>
      <c r="F228" s="80"/>
      <c r="G228" s="80"/>
      <c r="H228" s="80"/>
      <c r="I228" s="80"/>
      <c r="J228" s="80"/>
      <c r="K228" s="80"/>
      <c r="L228" s="80"/>
      <c r="M228" s="84"/>
    </row>
    <row r="229" spans="1:13" ht="15.75" x14ac:dyDescent="0.25">
      <c r="A229" s="77"/>
      <c r="B229" s="78"/>
      <c r="C229" s="80"/>
      <c r="D229" s="80"/>
      <c r="E229" s="80"/>
      <c r="F229" s="80"/>
      <c r="G229" s="80"/>
      <c r="H229" s="80"/>
      <c r="I229" s="80"/>
      <c r="J229" s="80"/>
      <c r="K229" s="80"/>
      <c r="L229" s="80"/>
      <c r="M229" s="84"/>
    </row>
    <row r="230" spans="1:13" ht="15.75" x14ac:dyDescent="0.25">
      <c r="A230" s="77"/>
      <c r="B230" s="78"/>
      <c r="C230" s="80"/>
      <c r="D230" s="80"/>
      <c r="E230" s="80"/>
      <c r="F230" s="80"/>
      <c r="G230" s="80"/>
      <c r="H230" s="80"/>
      <c r="I230" s="80"/>
      <c r="J230" s="80"/>
      <c r="K230" s="80"/>
      <c r="L230" s="80"/>
      <c r="M230" s="84"/>
    </row>
    <row r="231" spans="1:13" ht="15.75" x14ac:dyDescent="0.25">
      <c r="A231" s="77"/>
      <c r="B231" s="78"/>
      <c r="C231" s="80"/>
      <c r="D231" s="80"/>
      <c r="E231" s="80"/>
      <c r="F231" s="80"/>
      <c r="G231" s="80"/>
      <c r="H231" s="80"/>
      <c r="I231" s="80"/>
      <c r="J231" s="80"/>
      <c r="K231" s="80"/>
      <c r="L231" s="80"/>
      <c r="M231" s="84"/>
    </row>
    <row r="232" spans="1:13" ht="15.75" x14ac:dyDescent="0.25">
      <c r="A232" s="77"/>
      <c r="B232" s="78"/>
      <c r="C232" s="80"/>
      <c r="D232" s="80"/>
      <c r="E232" s="80"/>
      <c r="F232" s="80"/>
      <c r="G232" s="80"/>
      <c r="H232" s="80"/>
      <c r="I232" s="80"/>
      <c r="J232" s="80"/>
      <c r="K232" s="80"/>
      <c r="L232" s="80"/>
      <c r="M232" s="84"/>
    </row>
    <row r="233" spans="1:13" ht="15.75" x14ac:dyDescent="0.25">
      <c r="A233" s="77"/>
      <c r="B233" s="78"/>
      <c r="C233" s="80"/>
      <c r="D233" s="80"/>
      <c r="E233" s="80"/>
      <c r="F233" s="80"/>
      <c r="G233" s="80"/>
      <c r="H233" s="80"/>
      <c r="I233" s="80"/>
      <c r="J233" s="80"/>
      <c r="K233" s="80"/>
      <c r="L233" s="80"/>
      <c r="M233" s="84"/>
    </row>
    <row r="234" spans="1:13" ht="15.75" x14ac:dyDescent="0.25">
      <c r="A234" s="77"/>
      <c r="B234" s="78"/>
      <c r="C234" s="80"/>
      <c r="D234" s="80"/>
      <c r="E234" s="80"/>
      <c r="F234" s="80"/>
      <c r="G234" s="80"/>
      <c r="H234" s="80"/>
      <c r="I234" s="80"/>
      <c r="J234" s="80"/>
      <c r="K234" s="80"/>
      <c r="L234" s="80"/>
      <c r="M234" s="84"/>
    </row>
    <row r="235" spans="1:13" ht="15.75" x14ac:dyDescent="0.25">
      <c r="A235" s="77"/>
      <c r="B235" s="78"/>
      <c r="C235" s="80"/>
      <c r="D235" s="80"/>
      <c r="E235" s="80"/>
      <c r="F235" s="80"/>
      <c r="G235" s="80"/>
      <c r="H235" s="80"/>
      <c r="I235" s="80"/>
      <c r="J235" s="80"/>
      <c r="K235" s="80"/>
      <c r="L235" s="80"/>
      <c r="M235" s="84"/>
    </row>
    <row r="236" spans="1:13" ht="15.75" x14ac:dyDescent="0.25">
      <c r="A236" s="77"/>
      <c r="B236" s="78"/>
      <c r="C236" s="80"/>
      <c r="D236" s="80"/>
      <c r="E236" s="80"/>
      <c r="F236" s="80"/>
      <c r="G236" s="80"/>
      <c r="H236" s="80"/>
      <c r="I236" s="80"/>
      <c r="J236" s="80"/>
      <c r="K236" s="80"/>
      <c r="L236" s="80"/>
      <c r="M236" s="84"/>
    </row>
    <row r="237" spans="1:13" ht="15.75" x14ac:dyDescent="0.25">
      <c r="A237" s="77"/>
      <c r="B237" s="78"/>
      <c r="C237" s="80"/>
      <c r="D237" s="80"/>
      <c r="E237" s="80"/>
      <c r="F237" s="80"/>
      <c r="G237" s="80"/>
      <c r="H237" s="80"/>
      <c r="I237" s="80"/>
      <c r="J237" s="80"/>
      <c r="K237" s="80"/>
      <c r="L237" s="80"/>
      <c r="M237" s="84"/>
    </row>
    <row r="238" spans="1:13" ht="15.75" x14ac:dyDescent="0.25">
      <c r="A238" s="77"/>
      <c r="B238" s="78"/>
      <c r="C238" s="80"/>
      <c r="D238" s="80"/>
      <c r="E238" s="80"/>
      <c r="F238" s="80"/>
      <c r="G238" s="80"/>
      <c r="H238" s="80"/>
      <c r="I238" s="80"/>
      <c r="J238" s="80"/>
      <c r="K238" s="80"/>
      <c r="L238" s="80"/>
      <c r="M238" s="84"/>
    </row>
    <row r="239" spans="1:13" ht="15.75" x14ac:dyDescent="0.25">
      <c r="A239" s="77"/>
      <c r="B239" s="78"/>
      <c r="C239" s="80"/>
      <c r="D239" s="80"/>
      <c r="E239" s="80"/>
      <c r="F239" s="80"/>
      <c r="G239" s="80"/>
      <c r="H239" s="80"/>
      <c r="I239" s="80"/>
      <c r="J239" s="80"/>
      <c r="K239" s="80"/>
      <c r="L239" s="80"/>
      <c r="M239" s="84"/>
    </row>
    <row r="240" spans="1:13" ht="15.75" x14ac:dyDescent="0.25">
      <c r="A240" s="77"/>
      <c r="B240" s="78"/>
      <c r="C240" s="80"/>
      <c r="D240" s="80"/>
      <c r="E240" s="80"/>
      <c r="F240" s="80"/>
      <c r="G240" s="80"/>
      <c r="H240" s="80"/>
      <c r="I240" s="80"/>
      <c r="J240" s="80"/>
      <c r="K240" s="80"/>
      <c r="L240" s="80"/>
      <c r="M240" s="84"/>
    </row>
    <row r="241" spans="1:13" ht="15.75" x14ac:dyDescent="0.25">
      <c r="A241" s="77"/>
      <c r="B241" s="78"/>
      <c r="C241" s="80"/>
      <c r="D241" s="80"/>
      <c r="E241" s="80"/>
      <c r="F241" s="80"/>
      <c r="G241" s="80"/>
      <c r="H241" s="80"/>
      <c r="I241" s="80"/>
      <c r="J241" s="80"/>
      <c r="K241" s="80"/>
      <c r="L241" s="80"/>
      <c r="M241" s="84"/>
    </row>
    <row r="242" spans="1:13" ht="15.75" x14ac:dyDescent="0.25">
      <c r="A242" s="77"/>
      <c r="B242" s="78"/>
      <c r="C242" s="80"/>
      <c r="D242" s="80"/>
      <c r="E242" s="80"/>
      <c r="F242" s="80"/>
      <c r="G242" s="80"/>
      <c r="H242" s="80"/>
      <c r="I242" s="80"/>
      <c r="J242" s="80"/>
      <c r="K242" s="80"/>
      <c r="L242" s="80"/>
      <c r="M242" s="84"/>
    </row>
    <row r="243" spans="1:13" ht="15.75" x14ac:dyDescent="0.25">
      <c r="A243" s="77"/>
      <c r="B243" s="78"/>
      <c r="C243" s="80"/>
      <c r="D243" s="80"/>
      <c r="E243" s="80"/>
      <c r="F243" s="80"/>
      <c r="G243" s="80"/>
      <c r="H243" s="80"/>
      <c r="I243" s="80"/>
      <c r="J243" s="80"/>
      <c r="K243" s="80"/>
      <c r="L243" s="80"/>
      <c r="M243" s="84"/>
    </row>
    <row r="244" spans="1:13" ht="15.75" x14ac:dyDescent="0.25">
      <c r="A244" s="77"/>
      <c r="B244" s="78"/>
      <c r="C244" s="80"/>
      <c r="D244" s="80"/>
      <c r="E244" s="80"/>
      <c r="F244" s="80"/>
      <c r="G244" s="80"/>
      <c r="H244" s="80"/>
      <c r="I244" s="80"/>
      <c r="J244" s="80"/>
      <c r="K244" s="80"/>
      <c r="L244" s="80"/>
      <c r="M244" s="84"/>
    </row>
    <row r="245" spans="1:13" ht="15.75" x14ac:dyDescent="0.25">
      <c r="A245" s="77"/>
      <c r="B245" s="78"/>
      <c r="C245" s="80"/>
      <c r="D245" s="80"/>
      <c r="E245" s="80"/>
      <c r="F245" s="80"/>
      <c r="G245" s="80"/>
      <c r="H245" s="80"/>
      <c r="I245" s="80"/>
      <c r="J245" s="80"/>
      <c r="K245" s="80"/>
      <c r="L245" s="80"/>
      <c r="M245" s="84"/>
    </row>
    <row r="246" spans="1:13" ht="15.75" x14ac:dyDescent="0.25">
      <c r="A246" s="77"/>
      <c r="B246" s="78"/>
      <c r="C246" s="80"/>
      <c r="D246" s="80"/>
      <c r="E246" s="80"/>
      <c r="F246" s="80"/>
      <c r="G246" s="80"/>
      <c r="H246" s="80"/>
      <c r="I246" s="80"/>
      <c r="J246" s="80"/>
      <c r="K246" s="80"/>
      <c r="L246" s="80"/>
      <c r="M246" s="84"/>
    </row>
    <row r="247" spans="1:13" ht="15.75" x14ac:dyDescent="0.25">
      <c r="A247" s="77"/>
      <c r="B247" s="78"/>
      <c r="C247" s="80"/>
      <c r="D247" s="80"/>
      <c r="E247" s="80"/>
      <c r="F247" s="80"/>
      <c r="G247" s="80"/>
      <c r="H247" s="80"/>
      <c r="I247" s="80"/>
      <c r="J247" s="80"/>
      <c r="K247" s="80"/>
      <c r="L247" s="80"/>
      <c r="M247" s="84"/>
    </row>
    <row r="248" spans="1:13" ht="15.75" x14ac:dyDescent="0.25">
      <c r="A248" s="77"/>
      <c r="B248" s="78"/>
      <c r="C248" s="80"/>
      <c r="D248" s="80"/>
      <c r="E248" s="80"/>
      <c r="F248" s="80"/>
      <c r="G248" s="80"/>
      <c r="H248" s="80"/>
      <c r="I248" s="80"/>
      <c r="J248" s="80"/>
      <c r="K248" s="80"/>
      <c r="L248" s="80"/>
      <c r="M248" s="84"/>
    </row>
    <row r="249" spans="1:13" ht="15.75" x14ac:dyDescent="0.25">
      <c r="A249" s="77"/>
      <c r="B249" s="78"/>
      <c r="C249" s="80"/>
      <c r="D249" s="80"/>
      <c r="E249" s="80"/>
      <c r="F249" s="80"/>
      <c r="G249" s="80"/>
      <c r="H249" s="80"/>
      <c r="I249" s="80"/>
      <c r="J249" s="80"/>
      <c r="K249" s="80"/>
      <c r="L249" s="80"/>
      <c r="M249" s="84"/>
    </row>
    <row r="250" spans="1:13" ht="15.75" x14ac:dyDescent="0.25">
      <c r="A250" s="77"/>
      <c r="B250" s="78"/>
      <c r="C250" s="80"/>
      <c r="D250" s="80"/>
      <c r="E250" s="80"/>
      <c r="F250" s="80"/>
      <c r="G250" s="80"/>
      <c r="H250" s="80"/>
      <c r="I250" s="80"/>
      <c r="J250" s="80"/>
      <c r="K250" s="80"/>
      <c r="L250" s="80"/>
      <c r="M250" s="84"/>
    </row>
    <row r="251" spans="1:13" ht="15.75" x14ac:dyDescent="0.25">
      <c r="A251" s="77"/>
      <c r="B251" s="78"/>
      <c r="C251" s="80"/>
      <c r="D251" s="80"/>
      <c r="E251" s="80"/>
      <c r="F251" s="80"/>
      <c r="G251" s="80"/>
      <c r="H251" s="80"/>
      <c r="I251" s="80"/>
      <c r="J251" s="80"/>
      <c r="K251" s="80"/>
      <c r="L251" s="80"/>
      <c r="M251" s="84"/>
    </row>
    <row r="252" spans="1:13" ht="15.75" x14ac:dyDescent="0.25">
      <c r="A252" s="77"/>
      <c r="B252" s="78"/>
      <c r="C252" s="80"/>
      <c r="D252" s="80"/>
      <c r="E252" s="80"/>
      <c r="F252" s="80"/>
      <c r="G252" s="80"/>
      <c r="H252" s="80"/>
      <c r="I252" s="80"/>
      <c r="J252" s="80"/>
      <c r="K252" s="80"/>
      <c r="L252" s="80"/>
      <c r="M252" s="84"/>
    </row>
    <row r="253" spans="1:13" ht="15.75" x14ac:dyDescent="0.25">
      <c r="A253" s="77"/>
      <c r="B253" s="78"/>
      <c r="C253" s="80"/>
      <c r="D253" s="80"/>
      <c r="E253" s="80"/>
      <c r="F253" s="80"/>
      <c r="G253" s="80"/>
      <c r="H253" s="80"/>
      <c r="I253" s="80"/>
      <c r="J253" s="80"/>
      <c r="K253" s="80"/>
      <c r="L253" s="80"/>
      <c r="M253" s="84"/>
    </row>
    <row r="254" spans="1:13" ht="15.75" x14ac:dyDescent="0.25">
      <c r="A254" s="77"/>
      <c r="B254" s="78"/>
      <c r="C254" s="80"/>
      <c r="D254" s="80"/>
      <c r="E254" s="80"/>
      <c r="F254" s="80"/>
      <c r="G254" s="80"/>
      <c r="H254" s="80"/>
      <c r="I254" s="80"/>
      <c r="J254" s="80"/>
      <c r="K254" s="80"/>
      <c r="L254" s="80"/>
      <c r="M254" s="84"/>
    </row>
    <row r="255" spans="1:13" ht="15.75" x14ac:dyDescent="0.25">
      <c r="A255" s="77"/>
      <c r="B255" s="78"/>
      <c r="C255" s="80"/>
      <c r="D255" s="80"/>
      <c r="E255" s="80"/>
      <c r="F255" s="80"/>
      <c r="G255" s="80"/>
      <c r="H255" s="80"/>
      <c r="I255" s="80"/>
      <c r="J255" s="80"/>
      <c r="K255" s="80"/>
      <c r="L255" s="80"/>
      <c r="M255" s="84"/>
    </row>
    <row r="256" spans="1:13" ht="15.75" x14ac:dyDescent="0.25">
      <c r="A256" s="77"/>
      <c r="B256" s="78"/>
      <c r="C256" s="80"/>
      <c r="D256" s="80"/>
      <c r="E256" s="80"/>
      <c r="F256" s="80"/>
      <c r="G256" s="80"/>
      <c r="H256" s="80"/>
      <c r="I256" s="80"/>
      <c r="J256" s="80"/>
      <c r="K256" s="80"/>
      <c r="L256" s="80"/>
      <c r="M256" s="84"/>
    </row>
    <row r="257" spans="1:13" ht="15.75" x14ac:dyDescent="0.25">
      <c r="A257" s="77"/>
      <c r="B257" s="78"/>
      <c r="C257" s="80"/>
      <c r="D257" s="80"/>
      <c r="E257" s="80"/>
      <c r="F257" s="80"/>
      <c r="G257" s="80"/>
      <c r="H257" s="80"/>
      <c r="I257" s="80"/>
      <c r="J257" s="80"/>
      <c r="K257" s="80"/>
      <c r="L257" s="80"/>
      <c r="M257" s="84"/>
    </row>
    <row r="258" spans="1:13" ht="15.75" x14ac:dyDescent="0.25">
      <c r="A258" s="77"/>
      <c r="B258" s="78"/>
      <c r="C258" s="80"/>
      <c r="D258" s="80"/>
      <c r="E258" s="80"/>
      <c r="F258" s="80"/>
      <c r="G258" s="80"/>
      <c r="H258" s="80"/>
      <c r="I258" s="80"/>
      <c r="J258" s="80"/>
      <c r="K258" s="80"/>
      <c r="L258" s="80"/>
      <c r="M258" s="84"/>
    </row>
    <row r="259" spans="1:13" ht="15.75" x14ac:dyDescent="0.25">
      <c r="A259" s="77"/>
      <c r="B259" s="78"/>
      <c r="C259" s="80"/>
      <c r="D259" s="80"/>
      <c r="E259" s="80"/>
      <c r="F259" s="80"/>
      <c r="G259" s="80"/>
      <c r="H259" s="80"/>
      <c r="I259" s="80"/>
      <c r="J259" s="80"/>
      <c r="K259" s="80"/>
      <c r="L259" s="80"/>
      <c r="M259" s="84"/>
    </row>
    <row r="260" spans="1:13" ht="15.75" x14ac:dyDescent="0.25">
      <c r="A260" s="77"/>
      <c r="B260" s="78"/>
      <c r="C260" s="80"/>
      <c r="D260" s="80"/>
      <c r="E260" s="80"/>
      <c r="F260" s="80"/>
      <c r="G260" s="80"/>
      <c r="H260" s="80"/>
      <c r="I260" s="80"/>
      <c r="J260" s="80"/>
      <c r="K260" s="80"/>
      <c r="L260" s="80"/>
      <c r="M260" s="84"/>
    </row>
    <row r="261" spans="1:13" ht="15.75" x14ac:dyDescent="0.25">
      <c r="A261" s="77"/>
      <c r="B261" s="78"/>
      <c r="C261" s="80"/>
      <c r="D261" s="80"/>
      <c r="E261" s="80"/>
      <c r="F261" s="80"/>
      <c r="G261" s="80"/>
      <c r="H261" s="80"/>
      <c r="I261" s="80"/>
      <c r="J261" s="80"/>
      <c r="K261" s="80"/>
      <c r="L261" s="80"/>
      <c r="M261" s="84"/>
    </row>
    <row r="262" spans="1:13" ht="15.75" x14ac:dyDescent="0.25">
      <c r="A262" s="77"/>
      <c r="B262" s="78"/>
      <c r="C262" s="80"/>
      <c r="D262" s="80"/>
      <c r="E262" s="80"/>
      <c r="F262" s="80"/>
      <c r="G262" s="80"/>
      <c r="H262" s="80"/>
      <c r="I262" s="80"/>
      <c r="J262" s="80"/>
      <c r="K262" s="80"/>
      <c r="L262" s="80"/>
      <c r="M262" s="84"/>
    </row>
    <row r="263" spans="1:13" ht="15.75" x14ac:dyDescent="0.25">
      <c r="A263" s="77"/>
      <c r="B263" s="78"/>
      <c r="C263" s="80"/>
      <c r="D263" s="80"/>
      <c r="E263" s="80"/>
      <c r="F263" s="80"/>
      <c r="G263" s="80"/>
      <c r="H263" s="80"/>
      <c r="I263" s="80"/>
      <c r="J263" s="80"/>
      <c r="K263" s="80"/>
      <c r="L263" s="80"/>
      <c r="M263" s="84"/>
    </row>
    <row r="264" spans="1:13" ht="15.75" x14ac:dyDescent="0.25">
      <c r="A264" s="77"/>
      <c r="B264" s="78"/>
      <c r="C264" s="80"/>
      <c r="D264" s="80"/>
      <c r="E264" s="80"/>
      <c r="F264" s="80"/>
      <c r="G264" s="80"/>
      <c r="H264" s="80"/>
      <c r="I264" s="80"/>
      <c r="J264" s="80"/>
      <c r="K264" s="80"/>
      <c r="L264" s="80"/>
      <c r="M264" s="84"/>
    </row>
    <row r="265" spans="1:13" ht="15.75" x14ac:dyDescent="0.25">
      <c r="A265" s="77"/>
      <c r="B265" s="78"/>
      <c r="C265" s="80"/>
      <c r="D265" s="80"/>
      <c r="E265" s="80"/>
      <c r="F265" s="80"/>
      <c r="G265" s="80"/>
      <c r="H265" s="80"/>
      <c r="I265" s="80"/>
      <c r="J265" s="80"/>
      <c r="K265" s="80"/>
      <c r="L265" s="80"/>
      <c r="M265" s="84"/>
    </row>
    <row r="266" spans="1:13" ht="15.75" x14ac:dyDescent="0.25">
      <c r="A266" s="77"/>
      <c r="B266" s="78"/>
      <c r="C266" s="80"/>
      <c r="D266" s="80"/>
      <c r="E266" s="80"/>
      <c r="F266" s="80"/>
      <c r="G266" s="80"/>
      <c r="H266" s="80"/>
      <c r="I266" s="80"/>
      <c r="J266" s="80"/>
      <c r="K266" s="80"/>
      <c r="L266" s="80"/>
      <c r="M266" s="84"/>
    </row>
    <row r="267" spans="1:13" ht="15.75" x14ac:dyDescent="0.25">
      <c r="A267" s="77"/>
      <c r="B267" s="78"/>
      <c r="C267" s="80"/>
      <c r="D267" s="80"/>
      <c r="E267" s="80"/>
      <c r="F267" s="80"/>
      <c r="G267" s="80"/>
      <c r="H267" s="80"/>
      <c r="I267" s="80"/>
      <c r="J267" s="80"/>
      <c r="K267" s="80"/>
      <c r="L267" s="80"/>
      <c r="M267" s="84"/>
    </row>
    <row r="268" spans="1:13" ht="15.75" x14ac:dyDescent="0.25">
      <c r="A268" s="77"/>
      <c r="B268" s="78"/>
      <c r="C268" s="80"/>
      <c r="D268" s="80"/>
      <c r="E268" s="80"/>
      <c r="F268" s="80"/>
      <c r="G268" s="80"/>
      <c r="H268" s="80"/>
      <c r="I268" s="80"/>
      <c r="J268" s="80"/>
      <c r="K268" s="80"/>
      <c r="L268" s="80"/>
      <c r="M268" s="84"/>
    </row>
    <row r="269" spans="1:13" ht="15.75" x14ac:dyDescent="0.25">
      <c r="A269" s="77"/>
      <c r="B269" s="78"/>
      <c r="C269" s="80"/>
      <c r="D269" s="80"/>
      <c r="E269" s="80"/>
      <c r="F269" s="80"/>
      <c r="G269" s="80"/>
      <c r="H269" s="80"/>
      <c r="I269" s="80"/>
      <c r="J269" s="80"/>
      <c r="K269" s="80"/>
      <c r="L269" s="80"/>
      <c r="M269" s="84"/>
    </row>
    <row r="270" spans="1:13" ht="15.75" x14ac:dyDescent="0.25">
      <c r="A270" s="77"/>
      <c r="B270" s="78"/>
      <c r="C270" s="80"/>
      <c r="D270" s="80"/>
      <c r="E270" s="80"/>
      <c r="F270" s="80"/>
      <c r="G270" s="80"/>
      <c r="H270" s="80"/>
      <c r="I270" s="80"/>
      <c r="J270" s="80"/>
      <c r="K270" s="80"/>
      <c r="L270" s="80"/>
      <c r="M270" s="84"/>
    </row>
    <row r="271" spans="1:13" ht="15.75" x14ac:dyDescent="0.25">
      <c r="A271" s="77"/>
      <c r="B271" s="78"/>
      <c r="C271" s="80"/>
      <c r="D271" s="80"/>
      <c r="E271" s="80"/>
      <c r="F271" s="80"/>
      <c r="G271" s="80"/>
      <c r="H271" s="80"/>
      <c r="I271" s="80"/>
      <c r="J271" s="80"/>
      <c r="K271" s="80"/>
      <c r="L271" s="80"/>
      <c r="M271" s="84"/>
    </row>
    <row r="272" spans="1:13" ht="15.75" x14ac:dyDescent="0.25">
      <c r="A272" s="77"/>
      <c r="B272" s="78"/>
      <c r="C272" s="80"/>
      <c r="D272" s="80"/>
      <c r="E272" s="80"/>
      <c r="F272" s="80"/>
      <c r="G272" s="80"/>
      <c r="H272" s="80"/>
      <c r="I272" s="80"/>
      <c r="J272" s="80"/>
      <c r="K272" s="80"/>
      <c r="L272" s="80"/>
      <c r="M272" s="84"/>
    </row>
    <row r="273" spans="1:13" ht="15.75" x14ac:dyDescent="0.25">
      <c r="A273" s="77"/>
      <c r="B273" s="78"/>
      <c r="C273" s="80"/>
      <c r="D273" s="80"/>
      <c r="E273" s="80"/>
      <c r="F273" s="80"/>
      <c r="G273" s="80"/>
      <c r="H273" s="80"/>
      <c r="I273" s="80"/>
      <c r="J273" s="80"/>
      <c r="K273" s="80"/>
      <c r="L273" s="80"/>
      <c r="M273" s="84"/>
    </row>
    <row r="274" spans="1:13" ht="15.75" x14ac:dyDescent="0.25">
      <c r="A274" s="77"/>
      <c r="B274" s="78"/>
      <c r="C274" s="80"/>
      <c r="D274" s="80"/>
      <c r="E274" s="80"/>
      <c r="F274" s="80"/>
      <c r="G274" s="80"/>
      <c r="H274" s="80"/>
      <c r="I274" s="80"/>
      <c r="J274" s="80"/>
      <c r="K274" s="80"/>
      <c r="L274" s="80"/>
      <c r="M274" s="84"/>
    </row>
    <row r="275" spans="1:13" ht="15.75" x14ac:dyDescent="0.25">
      <c r="A275" s="77"/>
      <c r="B275" s="78"/>
      <c r="C275" s="80"/>
      <c r="D275" s="80"/>
      <c r="E275" s="80"/>
      <c r="F275" s="80"/>
      <c r="G275" s="80"/>
      <c r="H275" s="80"/>
      <c r="I275" s="80"/>
      <c r="J275" s="80"/>
      <c r="K275" s="80"/>
      <c r="L275" s="80"/>
      <c r="M275" s="84"/>
    </row>
    <row r="276" spans="1:13" ht="15.75" x14ac:dyDescent="0.25">
      <c r="A276" s="77"/>
      <c r="B276" s="78"/>
      <c r="C276" s="80"/>
      <c r="D276" s="80"/>
      <c r="E276" s="80"/>
      <c r="F276" s="80"/>
      <c r="G276" s="80"/>
      <c r="H276" s="80"/>
      <c r="I276" s="80"/>
      <c r="J276" s="80"/>
      <c r="K276" s="80"/>
      <c r="L276" s="80"/>
      <c r="M276" s="84"/>
    </row>
    <row r="277" spans="1:13" ht="15.75" x14ac:dyDescent="0.25">
      <c r="A277" s="77"/>
      <c r="B277" s="78"/>
      <c r="C277" s="80"/>
      <c r="D277" s="80"/>
      <c r="E277" s="80"/>
      <c r="F277" s="80"/>
      <c r="G277" s="80"/>
      <c r="H277" s="80"/>
      <c r="I277" s="80"/>
      <c r="J277" s="80"/>
      <c r="K277" s="80"/>
      <c r="L277" s="80"/>
      <c r="M277" s="84"/>
    </row>
    <row r="278" spans="1:13" ht="15.75" x14ac:dyDescent="0.25">
      <c r="A278" s="77"/>
      <c r="B278" s="78"/>
      <c r="C278" s="80"/>
      <c r="D278" s="80"/>
      <c r="E278" s="80"/>
      <c r="F278" s="80"/>
      <c r="G278" s="80"/>
      <c r="H278" s="80"/>
      <c r="I278" s="80"/>
      <c r="J278" s="80"/>
      <c r="K278" s="80"/>
      <c r="L278" s="80"/>
      <c r="M278" s="84"/>
    </row>
    <row r="279" spans="1:13" ht="15.75" x14ac:dyDescent="0.25">
      <c r="A279" s="77"/>
      <c r="B279" s="78"/>
      <c r="C279" s="80"/>
      <c r="D279" s="80"/>
      <c r="E279" s="80"/>
      <c r="F279" s="80"/>
      <c r="G279" s="80"/>
      <c r="H279" s="80"/>
      <c r="I279" s="80"/>
      <c r="J279" s="80"/>
      <c r="K279" s="80"/>
      <c r="L279" s="80"/>
      <c r="M279" s="84"/>
    </row>
    <row r="280" spans="1:13" ht="15.75" x14ac:dyDescent="0.25">
      <c r="A280" s="77"/>
      <c r="B280" s="78"/>
      <c r="C280" s="80"/>
      <c r="D280" s="80"/>
      <c r="E280" s="80"/>
      <c r="F280" s="80"/>
      <c r="G280" s="80"/>
      <c r="H280" s="80"/>
      <c r="I280" s="80"/>
      <c r="J280" s="80"/>
      <c r="K280" s="80"/>
      <c r="L280" s="80"/>
      <c r="M280" s="84"/>
    </row>
    <row r="281" spans="1:13" ht="15.75" x14ac:dyDescent="0.25">
      <c r="A281" s="77"/>
      <c r="B281" s="78"/>
      <c r="C281" s="80"/>
      <c r="D281" s="80"/>
      <c r="E281" s="80"/>
      <c r="F281" s="80"/>
      <c r="G281" s="80"/>
      <c r="H281" s="80"/>
      <c r="I281" s="80"/>
      <c r="J281" s="80"/>
      <c r="K281" s="80"/>
      <c r="L281" s="80"/>
      <c r="M281" s="84"/>
    </row>
    <row r="282" spans="1:13" ht="15.75" x14ac:dyDescent="0.25">
      <c r="A282" s="77"/>
      <c r="B282" s="78"/>
      <c r="C282" s="80"/>
      <c r="D282" s="80"/>
      <c r="E282" s="80"/>
      <c r="F282" s="80"/>
      <c r="G282" s="80"/>
      <c r="H282" s="80"/>
      <c r="I282" s="80"/>
      <c r="J282" s="80"/>
      <c r="K282" s="80"/>
      <c r="L282" s="80"/>
      <c r="M282" s="84"/>
    </row>
    <row r="283" spans="1:13" ht="15.75" x14ac:dyDescent="0.25">
      <c r="A283" s="77"/>
      <c r="B283" s="78"/>
      <c r="C283" s="80"/>
      <c r="D283" s="80"/>
      <c r="E283" s="80"/>
      <c r="F283" s="80"/>
      <c r="G283" s="80"/>
      <c r="H283" s="80"/>
      <c r="I283" s="80"/>
      <c r="J283" s="80"/>
      <c r="K283" s="80"/>
      <c r="L283" s="80"/>
      <c r="M283" s="84"/>
    </row>
    <row r="284" spans="1:13" ht="15.75" x14ac:dyDescent="0.25">
      <c r="A284" s="77"/>
      <c r="B284" s="78"/>
      <c r="C284" s="80"/>
      <c r="D284" s="80"/>
      <c r="E284" s="80"/>
      <c r="F284" s="80"/>
      <c r="G284" s="80"/>
      <c r="H284" s="80"/>
      <c r="I284" s="80"/>
      <c r="J284" s="80"/>
      <c r="K284" s="80"/>
      <c r="L284" s="80"/>
      <c r="M284" s="84"/>
    </row>
    <row r="285" spans="1:13" ht="15.75" x14ac:dyDescent="0.25">
      <c r="A285" s="77"/>
      <c r="B285" s="78"/>
      <c r="C285" s="80"/>
      <c r="D285" s="80"/>
      <c r="E285" s="80"/>
      <c r="F285" s="80"/>
      <c r="G285" s="80"/>
      <c r="H285" s="80"/>
      <c r="I285" s="80"/>
      <c r="J285" s="80"/>
      <c r="K285" s="80"/>
      <c r="L285" s="80"/>
      <c r="M285" s="84"/>
    </row>
    <row r="286" spans="1:13" ht="15.75" x14ac:dyDescent="0.25">
      <c r="A286" s="77"/>
      <c r="B286" s="78"/>
      <c r="C286" s="80"/>
      <c r="D286" s="80"/>
      <c r="E286" s="80"/>
      <c r="F286" s="80"/>
      <c r="G286" s="80"/>
      <c r="H286" s="80"/>
      <c r="I286" s="80"/>
      <c r="J286" s="80"/>
      <c r="K286" s="80"/>
      <c r="L286" s="80"/>
      <c r="M286" s="84"/>
    </row>
    <row r="287" spans="1:13" ht="15.75" x14ac:dyDescent="0.25">
      <c r="A287" s="77"/>
      <c r="B287" s="78"/>
      <c r="C287" s="80"/>
      <c r="D287" s="80"/>
      <c r="E287" s="80"/>
      <c r="F287" s="80"/>
      <c r="G287" s="80"/>
      <c r="H287" s="80"/>
      <c r="I287" s="80"/>
      <c r="J287" s="80"/>
      <c r="K287" s="80"/>
      <c r="L287" s="80"/>
      <c r="M287" s="84"/>
    </row>
    <row r="288" spans="1:13" ht="15.75" x14ac:dyDescent="0.25">
      <c r="A288" s="77"/>
      <c r="B288" s="78"/>
      <c r="C288" s="80"/>
      <c r="D288" s="80"/>
      <c r="E288" s="80"/>
      <c r="F288" s="80"/>
      <c r="G288" s="80"/>
      <c r="H288" s="80"/>
      <c r="I288" s="80"/>
      <c r="J288" s="80"/>
      <c r="K288" s="80"/>
      <c r="L288" s="80"/>
      <c r="M288" s="84"/>
    </row>
    <row r="289" spans="1:13" ht="15.75" x14ac:dyDescent="0.25">
      <c r="A289" s="77"/>
      <c r="B289" s="78"/>
      <c r="C289" s="80"/>
      <c r="D289" s="80"/>
      <c r="E289" s="80"/>
      <c r="F289" s="80"/>
      <c r="G289" s="80"/>
      <c r="H289" s="80"/>
      <c r="I289" s="80"/>
      <c r="J289" s="80"/>
      <c r="K289" s="80"/>
      <c r="L289" s="80"/>
      <c r="M289" s="84"/>
    </row>
    <row r="290" spans="1:13" ht="15.75" x14ac:dyDescent="0.25">
      <c r="A290" s="77"/>
      <c r="B290" s="78"/>
      <c r="C290" s="80"/>
      <c r="D290" s="80"/>
      <c r="E290" s="80"/>
      <c r="F290" s="80"/>
      <c r="G290" s="80"/>
      <c r="H290" s="80"/>
      <c r="I290" s="80"/>
      <c r="J290" s="80"/>
      <c r="K290" s="80"/>
      <c r="L290" s="80"/>
      <c r="M290" s="84"/>
    </row>
    <row r="291" spans="1:13" ht="15.75" x14ac:dyDescent="0.25">
      <c r="A291" s="77"/>
      <c r="B291" s="78"/>
      <c r="C291" s="80"/>
      <c r="D291" s="80"/>
      <c r="E291" s="80"/>
      <c r="F291" s="80"/>
      <c r="G291" s="80"/>
      <c r="H291" s="80"/>
      <c r="I291" s="80"/>
      <c r="J291" s="80"/>
      <c r="K291" s="80"/>
      <c r="L291" s="80"/>
      <c r="M291" s="84"/>
    </row>
    <row r="292" spans="1:13" ht="15.75" x14ac:dyDescent="0.25">
      <c r="A292" s="77"/>
      <c r="B292" s="78"/>
      <c r="C292" s="80"/>
      <c r="D292" s="80"/>
      <c r="E292" s="80"/>
      <c r="F292" s="80"/>
      <c r="G292" s="80"/>
      <c r="H292" s="80"/>
      <c r="I292" s="80"/>
      <c r="J292" s="80"/>
      <c r="K292" s="80"/>
      <c r="L292" s="80"/>
      <c r="M292" s="84"/>
    </row>
    <row r="293" spans="1:13" ht="15.75" x14ac:dyDescent="0.25">
      <c r="A293" s="77"/>
      <c r="B293" s="78"/>
      <c r="C293" s="80"/>
      <c r="D293" s="80"/>
      <c r="E293" s="80"/>
      <c r="F293" s="80"/>
      <c r="G293" s="80"/>
      <c r="H293" s="80"/>
      <c r="I293" s="80"/>
      <c r="J293" s="80"/>
      <c r="K293" s="80"/>
      <c r="L293" s="80"/>
      <c r="M293" s="84"/>
    </row>
    <row r="294" spans="1:13" ht="15.75" x14ac:dyDescent="0.25">
      <c r="A294" s="77"/>
      <c r="B294" s="78"/>
      <c r="C294" s="80"/>
      <c r="D294" s="80"/>
      <c r="E294" s="80"/>
      <c r="F294" s="80"/>
      <c r="G294" s="80"/>
      <c r="H294" s="80"/>
      <c r="I294" s="80"/>
      <c r="J294" s="80"/>
      <c r="K294" s="80"/>
      <c r="L294" s="80"/>
      <c r="M294" s="84"/>
    </row>
    <row r="295" spans="1:13" ht="15.75" x14ac:dyDescent="0.25">
      <c r="A295" s="77"/>
      <c r="B295" s="78"/>
      <c r="C295" s="80"/>
      <c r="D295" s="80"/>
      <c r="E295" s="80"/>
      <c r="F295" s="80"/>
      <c r="G295" s="80"/>
      <c r="H295" s="80"/>
      <c r="I295" s="80"/>
      <c r="J295" s="80"/>
      <c r="K295" s="80"/>
      <c r="L295" s="80"/>
      <c r="M295" s="84"/>
    </row>
    <row r="296" spans="1:13" ht="15.75" x14ac:dyDescent="0.25">
      <c r="A296" s="77"/>
      <c r="B296" s="78"/>
      <c r="C296" s="80"/>
      <c r="D296" s="80"/>
      <c r="E296" s="80"/>
      <c r="F296" s="80"/>
      <c r="G296" s="80"/>
      <c r="H296" s="80"/>
      <c r="I296" s="80"/>
      <c r="J296" s="80"/>
      <c r="K296" s="80"/>
      <c r="L296" s="80"/>
      <c r="M296" s="84"/>
    </row>
    <row r="297" spans="1:13" ht="15.75" x14ac:dyDescent="0.25">
      <c r="A297" s="77"/>
      <c r="B297" s="78"/>
      <c r="C297" s="80"/>
      <c r="D297" s="80"/>
      <c r="E297" s="80"/>
      <c r="F297" s="80"/>
      <c r="G297" s="80"/>
      <c r="H297" s="80"/>
      <c r="I297" s="80"/>
      <c r="J297" s="80"/>
      <c r="K297" s="80"/>
      <c r="L297" s="80"/>
      <c r="M297" s="84"/>
    </row>
    <row r="298" spans="1:13" ht="15.75" x14ac:dyDescent="0.25">
      <c r="A298" s="77"/>
      <c r="B298" s="78"/>
      <c r="C298" s="80"/>
      <c r="D298" s="80"/>
      <c r="E298" s="80"/>
      <c r="F298" s="80"/>
      <c r="G298" s="80"/>
      <c r="H298" s="80"/>
      <c r="I298" s="80"/>
      <c r="J298" s="80"/>
      <c r="K298" s="80"/>
      <c r="L298" s="80"/>
      <c r="M298" s="84"/>
    </row>
    <row r="299" spans="1:13" ht="15.75" x14ac:dyDescent="0.25">
      <c r="A299" s="77"/>
      <c r="B299" s="78"/>
      <c r="C299" s="80"/>
      <c r="D299" s="80"/>
      <c r="E299" s="80"/>
      <c r="F299" s="80"/>
      <c r="G299" s="80"/>
      <c r="H299" s="80"/>
      <c r="I299" s="80"/>
      <c r="J299" s="80"/>
      <c r="K299" s="80"/>
      <c r="L299" s="80"/>
      <c r="M299" s="84"/>
    </row>
    <row r="300" spans="1:13" ht="15.75" x14ac:dyDescent="0.25">
      <c r="A300" s="77"/>
      <c r="B300" s="78"/>
      <c r="C300" s="80"/>
      <c r="D300" s="80"/>
      <c r="E300" s="80"/>
      <c r="F300" s="80"/>
      <c r="G300" s="80"/>
      <c r="H300" s="80"/>
      <c r="I300" s="80"/>
      <c r="J300" s="80"/>
      <c r="K300" s="80"/>
      <c r="L300" s="80"/>
      <c r="M300" s="84"/>
    </row>
    <row r="301" spans="1:13" ht="15.75" x14ac:dyDescent="0.25">
      <c r="A301" s="77"/>
      <c r="B301" s="78"/>
      <c r="C301" s="80"/>
      <c r="D301" s="80"/>
      <c r="E301" s="80"/>
      <c r="F301" s="80"/>
      <c r="G301" s="80"/>
      <c r="H301" s="80"/>
      <c r="I301" s="80"/>
      <c r="J301" s="80"/>
      <c r="K301" s="80"/>
      <c r="L301" s="80"/>
      <c r="M301" s="84"/>
    </row>
    <row r="302" spans="1:13" ht="15.75" x14ac:dyDescent="0.25">
      <c r="A302" s="77"/>
      <c r="B302" s="78"/>
      <c r="C302" s="80"/>
      <c r="D302" s="80"/>
      <c r="E302" s="80"/>
      <c r="F302" s="80"/>
      <c r="G302" s="80"/>
      <c r="H302" s="80"/>
      <c r="I302" s="80"/>
      <c r="J302" s="80"/>
      <c r="K302" s="80"/>
      <c r="L302" s="80"/>
      <c r="M302" s="84"/>
    </row>
    <row r="303" spans="1:13" ht="15.75" x14ac:dyDescent="0.25">
      <c r="A303" s="77"/>
      <c r="B303" s="78"/>
      <c r="C303" s="80"/>
      <c r="D303" s="80"/>
      <c r="E303" s="80"/>
      <c r="F303" s="80"/>
      <c r="G303" s="80"/>
      <c r="H303" s="80"/>
      <c r="I303" s="80"/>
      <c r="J303" s="80"/>
      <c r="K303" s="80"/>
      <c r="L303" s="80"/>
      <c r="M303" s="84"/>
    </row>
    <row r="304" spans="1:13" ht="15.75" x14ac:dyDescent="0.25">
      <c r="A304" s="77"/>
      <c r="B304" s="78"/>
      <c r="C304" s="80"/>
      <c r="D304" s="80"/>
      <c r="E304" s="80"/>
      <c r="F304" s="80"/>
      <c r="G304" s="80"/>
      <c r="H304" s="80"/>
      <c r="I304" s="80"/>
      <c r="J304" s="80"/>
      <c r="K304" s="80"/>
      <c r="L304" s="80"/>
      <c r="M304" s="84"/>
    </row>
    <row r="305" spans="1:13" ht="15.75" x14ac:dyDescent="0.25">
      <c r="A305" s="77"/>
      <c r="B305" s="78"/>
      <c r="C305" s="80"/>
      <c r="D305" s="80"/>
      <c r="E305" s="80"/>
      <c r="F305" s="80"/>
      <c r="G305" s="80"/>
      <c r="H305" s="80"/>
      <c r="I305" s="80"/>
      <c r="J305" s="80"/>
      <c r="K305" s="80"/>
      <c r="L305" s="80"/>
      <c r="M305" s="84"/>
    </row>
    <row r="306" spans="1:13" ht="15.75" x14ac:dyDescent="0.25">
      <c r="A306" s="77"/>
      <c r="B306" s="78"/>
      <c r="C306" s="80"/>
      <c r="D306" s="80"/>
      <c r="E306" s="80"/>
      <c r="F306" s="80"/>
      <c r="G306" s="80"/>
      <c r="H306" s="80"/>
      <c r="I306" s="80"/>
      <c r="J306" s="80"/>
      <c r="K306" s="80"/>
      <c r="L306" s="80"/>
      <c r="M306" s="84"/>
    </row>
    <row r="307" spans="1:13" ht="15.75" x14ac:dyDescent="0.25">
      <c r="A307" s="77"/>
      <c r="B307" s="78"/>
      <c r="C307" s="80"/>
      <c r="D307" s="80"/>
      <c r="E307" s="80"/>
      <c r="F307" s="80"/>
      <c r="G307" s="80"/>
      <c r="H307" s="80"/>
      <c r="I307" s="80"/>
      <c r="J307" s="80"/>
      <c r="K307" s="80"/>
      <c r="L307" s="80"/>
      <c r="M307" s="84"/>
    </row>
    <row r="308" spans="1:13" ht="15.75" x14ac:dyDescent="0.25">
      <c r="A308" s="77"/>
      <c r="B308" s="78"/>
      <c r="C308" s="80"/>
      <c r="D308" s="80"/>
      <c r="E308" s="80"/>
      <c r="F308" s="80"/>
      <c r="G308" s="80"/>
      <c r="H308" s="80"/>
      <c r="I308" s="80"/>
      <c r="J308" s="80"/>
      <c r="K308" s="80"/>
      <c r="L308" s="80"/>
      <c r="M308" s="84"/>
    </row>
    <row r="309" spans="1:13" ht="15.75" x14ac:dyDescent="0.25">
      <c r="A309" s="77"/>
      <c r="B309" s="78"/>
      <c r="C309" s="80"/>
      <c r="D309" s="80"/>
      <c r="E309" s="80"/>
      <c r="F309" s="80"/>
      <c r="G309" s="80"/>
      <c r="H309" s="80"/>
      <c r="I309" s="80"/>
      <c r="J309" s="80"/>
      <c r="K309" s="80"/>
      <c r="L309" s="80"/>
      <c r="M309" s="84"/>
    </row>
    <row r="310" spans="1:13" ht="15.75" x14ac:dyDescent="0.25">
      <c r="A310" s="77"/>
      <c r="B310" s="78"/>
      <c r="C310" s="80"/>
      <c r="D310" s="80"/>
      <c r="E310" s="80"/>
      <c r="F310" s="80"/>
      <c r="G310" s="80"/>
      <c r="H310" s="80"/>
      <c r="I310" s="80"/>
      <c r="J310" s="80"/>
      <c r="K310" s="80"/>
      <c r="L310" s="80"/>
      <c r="M310" s="84"/>
    </row>
    <row r="311" spans="1:13" ht="15.75" x14ac:dyDescent="0.25">
      <c r="A311" s="77"/>
      <c r="B311" s="78"/>
      <c r="C311" s="80"/>
      <c r="D311" s="80"/>
      <c r="E311" s="80"/>
      <c r="F311" s="80"/>
      <c r="G311" s="80"/>
      <c r="H311" s="80"/>
      <c r="I311" s="80"/>
      <c r="J311" s="80"/>
      <c r="K311" s="80"/>
      <c r="L311" s="80"/>
      <c r="M311" s="84"/>
    </row>
    <row r="312" spans="1:13" ht="15.75" x14ac:dyDescent="0.25">
      <c r="A312" s="77"/>
      <c r="B312" s="78"/>
      <c r="C312" s="80"/>
      <c r="D312" s="80"/>
      <c r="E312" s="80"/>
      <c r="F312" s="80"/>
      <c r="G312" s="80"/>
      <c r="H312" s="80"/>
      <c r="I312" s="80"/>
      <c r="J312" s="80"/>
      <c r="K312" s="80"/>
      <c r="L312" s="80"/>
      <c r="M312" s="84"/>
    </row>
    <row r="313" spans="1:13" ht="15.75" x14ac:dyDescent="0.25">
      <c r="A313" s="77"/>
      <c r="B313" s="78"/>
      <c r="C313" s="80"/>
      <c r="D313" s="80"/>
      <c r="E313" s="80"/>
      <c r="F313" s="80"/>
      <c r="G313" s="80"/>
      <c r="H313" s="80"/>
      <c r="I313" s="80"/>
      <c r="J313" s="80"/>
      <c r="K313" s="80"/>
      <c r="L313" s="80"/>
      <c r="M313" s="84"/>
    </row>
    <row r="314" spans="1:13" ht="15.75" x14ac:dyDescent="0.25">
      <c r="A314" s="77"/>
      <c r="B314" s="78"/>
      <c r="C314" s="80"/>
      <c r="D314" s="80"/>
      <c r="E314" s="80"/>
      <c r="F314" s="80"/>
      <c r="G314" s="80"/>
      <c r="H314" s="80"/>
      <c r="I314" s="80"/>
      <c r="J314" s="80"/>
      <c r="K314" s="80"/>
      <c r="L314" s="80"/>
      <c r="M314" s="84"/>
    </row>
    <row r="315" spans="1:13" ht="15.75" x14ac:dyDescent="0.25">
      <c r="A315" s="77"/>
      <c r="B315" s="78"/>
      <c r="C315" s="80"/>
      <c r="D315" s="80"/>
      <c r="E315" s="80"/>
      <c r="F315" s="80"/>
      <c r="G315" s="80"/>
      <c r="H315" s="80"/>
      <c r="I315" s="80"/>
      <c r="J315" s="80"/>
      <c r="K315" s="80"/>
      <c r="L315" s="80"/>
      <c r="M315" s="84"/>
    </row>
    <row r="316" spans="1:13" ht="15.75" x14ac:dyDescent="0.25">
      <c r="A316" s="77"/>
      <c r="B316" s="78"/>
      <c r="C316" s="80"/>
      <c r="D316" s="80"/>
      <c r="E316" s="80"/>
      <c r="F316" s="80"/>
      <c r="G316" s="80"/>
      <c r="H316" s="80"/>
      <c r="I316" s="80"/>
      <c r="J316" s="80"/>
      <c r="K316" s="80"/>
      <c r="L316" s="80"/>
      <c r="M316" s="84"/>
    </row>
    <row r="317" spans="1:13" ht="15.75" x14ac:dyDescent="0.25">
      <c r="A317" s="77"/>
      <c r="B317" s="78"/>
      <c r="C317" s="80"/>
      <c r="D317" s="80"/>
      <c r="E317" s="80"/>
      <c r="F317" s="80"/>
      <c r="G317" s="80"/>
      <c r="H317" s="80"/>
      <c r="I317" s="80"/>
      <c r="J317" s="80"/>
      <c r="K317" s="80"/>
      <c r="L317" s="80"/>
      <c r="M317" s="84"/>
    </row>
    <row r="318" spans="1:13" ht="15.75" x14ac:dyDescent="0.25">
      <c r="A318" s="77"/>
      <c r="B318" s="78"/>
      <c r="C318" s="80"/>
      <c r="D318" s="80"/>
      <c r="E318" s="80"/>
      <c r="F318" s="80"/>
      <c r="G318" s="80"/>
      <c r="H318" s="80"/>
      <c r="I318" s="80"/>
      <c r="J318" s="80"/>
      <c r="K318" s="80"/>
      <c r="L318" s="80"/>
      <c r="M318" s="84"/>
    </row>
    <row r="319" spans="1:13" ht="15.75" x14ac:dyDescent="0.25">
      <c r="A319" s="77"/>
      <c r="B319" s="78"/>
      <c r="C319" s="80"/>
      <c r="D319" s="80"/>
      <c r="E319" s="80"/>
      <c r="F319" s="80"/>
      <c r="G319" s="80"/>
      <c r="H319" s="80"/>
      <c r="I319" s="80"/>
      <c r="J319" s="80"/>
      <c r="K319" s="80"/>
      <c r="L319" s="80"/>
      <c r="M319" s="84"/>
    </row>
    <row r="320" spans="1:13" ht="15.75" x14ac:dyDescent="0.25">
      <c r="A320" s="77"/>
      <c r="B320" s="78"/>
      <c r="C320" s="80"/>
      <c r="D320" s="80"/>
      <c r="E320" s="80"/>
      <c r="F320" s="80"/>
      <c r="G320" s="80"/>
      <c r="H320" s="80"/>
      <c r="I320" s="80"/>
      <c r="J320" s="80"/>
      <c r="K320" s="80"/>
      <c r="L320" s="80"/>
      <c r="M320" s="84"/>
    </row>
    <row r="321" spans="1:13" ht="15.75" x14ac:dyDescent="0.25">
      <c r="A321" s="77"/>
      <c r="B321" s="78"/>
      <c r="C321" s="80"/>
      <c r="D321" s="80"/>
      <c r="E321" s="80"/>
      <c r="F321" s="80"/>
      <c r="G321" s="80"/>
      <c r="H321" s="80"/>
      <c r="I321" s="80"/>
      <c r="J321" s="80"/>
      <c r="K321" s="80"/>
      <c r="L321" s="80"/>
      <c r="M321" s="84"/>
    </row>
    <row r="322" spans="1:13" ht="15.75" x14ac:dyDescent="0.25">
      <c r="A322" s="77"/>
      <c r="B322" s="78"/>
      <c r="C322" s="80"/>
      <c r="D322" s="80"/>
      <c r="E322" s="80"/>
      <c r="F322" s="80"/>
      <c r="G322" s="80"/>
      <c r="H322" s="80"/>
      <c r="I322" s="80"/>
      <c r="J322" s="80"/>
      <c r="K322" s="80"/>
      <c r="L322" s="80"/>
      <c r="M322" s="84"/>
    </row>
    <row r="323" spans="1:13" ht="15.75" x14ac:dyDescent="0.25">
      <c r="A323" s="77"/>
      <c r="B323" s="78"/>
      <c r="C323" s="80"/>
      <c r="D323" s="80"/>
      <c r="E323" s="80"/>
      <c r="F323" s="80"/>
      <c r="G323" s="80"/>
      <c r="H323" s="80"/>
      <c r="I323" s="80"/>
      <c r="J323" s="80"/>
      <c r="K323" s="80"/>
      <c r="L323" s="80"/>
      <c r="M323" s="84"/>
    </row>
    <row r="324" spans="1:13" ht="15.75" x14ac:dyDescent="0.25">
      <c r="A324" s="77"/>
      <c r="B324" s="78"/>
      <c r="C324" s="80"/>
      <c r="D324" s="80"/>
      <c r="E324" s="80"/>
      <c r="F324" s="80"/>
      <c r="G324" s="80"/>
      <c r="H324" s="80"/>
      <c r="I324" s="80"/>
      <c r="J324" s="80"/>
      <c r="K324" s="80"/>
      <c r="L324" s="80"/>
      <c r="M324" s="84"/>
    </row>
    <row r="325" spans="1:13" ht="15.75" x14ac:dyDescent="0.25">
      <c r="A325" s="77"/>
      <c r="B325" s="78"/>
      <c r="C325" s="80"/>
      <c r="D325" s="80"/>
      <c r="E325" s="80"/>
      <c r="F325" s="80"/>
      <c r="G325" s="80"/>
      <c r="H325" s="80"/>
      <c r="I325" s="80"/>
      <c r="J325" s="80"/>
      <c r="K325" s="80"/>
      <c r="L325" s="80"/>
      <c r="M325" s="84"/>
    </row>
    <row r="326" spans="1:13" ht="15.75" x14ac:dyDescent="0.25">
      <c r="A326" s="77"/>
      <c r="B326" s="78"/>
      <c r="C326" s="80"/>
      <c r="D326" s="80"/>
      <c r="E326" s="80"/>
      <c r="F326" s="80"/>
      <c r="G326" s="80"/>
      <c r="H326" s="80"/>
      <c r="I326" s="80"/>
      <c r="J326" s="80"/>
      <c r="K326" s="80"/>
      <c r="L326" s="80"/>
      <c r="M326" s="84"/>
    </row>
    <row r="327" spans="1:13" ht="15.75" x14ac:dyDescent="0.25">
      <c r="A327" s="77"/>
      <c r="B327" s="78"/>
      <c r="C327" s="80"/>
      <c r="D327" s="80"/>
      <c r="E327" s="80"/>
      <c r="F327" s="80"/>
      <c r="G327" s="80"/>
      <c r="H327" s="80"/>
      <c r="I327" s="80"/>
      <c r="J327" s="80"/>
      <c r="K327" s="80"/>
      <c r="L327" s="80"/>
      <c r="M327" s="84"/>
    </row>
    <row r="328" spans="1:13" ht="15.75" x14ac:dyDescent="0.25">
      <c r="A328" s="77"/>
      <c r="B328" s="78"/>
      <c r="C328" s="80"/>
      <c r="D328" s="80"/>
      <c r="E328" s="80"/>
      <c r="F328" s="80"/>
      <c r="G328" s="80"/>
      <c r="H328" s="80"/>
      <c r="I328" s="80"/>
      <c r="J328" s="80"/>
      <c r="K328" s="80"/>
      <c r="L328" s="80"/>
      <c r="M328" s="84"/>
    </row>
    <row r="329" spans="1:13" ht="15.75" x14ac:dyDescent="0.25">
      <c r="A329" s="77"/>
      <c r="B329" s="78"/>
      <c r="C329" s="80"/>
      <c r="D329" s="80"/>
      <c r="E329" s="80"/>
      <c r="F329" s="80"/>
      <c r="G329" s="80"/>
      <c r="H329" s="80"/>
      <c r="I329" s="80"/>
      <c r="J329" s="80"/>
      <c r="K329" s="80"/>
      <c r="L329" s="80"/>
      <c r="M329" s="84"/>
    </row>
    <row r="330" spans="1:13" ht="15.75" x14ac:dyDescent="0.25">
      <c r="A330" s="77"/>
      <c r="B330" s="78"/>
      <c r="C330" s="80"/>
      <c r="D330" s="80"/>
      <c r="E330" s="80"/>
      <c r="F330" s="80"/>
      <c r="G330" s="80"/>
      <c r="H330" s="80"/>
      <c r="I330" s="80"/>
      <c r="J330" s="80"/>
      <c r="K330" s="80"/>
      <c r="L330" s="80"/>
      <c r="M330" s="84"/>
    </row>
    <row r="331" spans="1:13" ht="15.75" x14ac:dyDescent="0.25">
      <c r="A331" s="77"/>
      <c r="B331" s="78"/>
      <c r="C331" s="80"/>
      <c r="D331" s="80"/>
      <c r="E331" s="80"/>
      <c r="F331" s="80"/>
      <c r="G331" s="80"/>
      <c r="H331" s="80"/>
      <c r="I331" s="80"/>
      <c r="J331" s="80"/>
      <c r="K331" s="80"/>
      <c r="L331" s="80"/>
      <c r="M331" s="84"/>
    </row>
    <row r="332" spans="1:13" ht="15.75" x14ac:dyDescent="0.25">
      <c r="A332" s="77"/>
      <c r="B332" s="78"/>
      <c r="C332" s="80"/>
      <c r="D332" s="80"/>
      <c r="E332" s="80"/>
      <c r="F332" s="80"/>
      <c r="G332" s="80"/>
      <c r="H332" s="80"/>
      <c r="I332" s="80"/>
      <c r="J332" s="80"/>
      <c r="K332" s="80"/>
      <c r="L332" s="80"/>
      <c r="M332" s="84"/>
    </row>
    <row r="333" spans="1:13" ht="15.75" x14ac:dyDescent="0.25">
      <c r="A333" s="77"/>
      <c r="B333" s="78"/>
      <c r="C333" s="80"/>
      <c r="D333" s="80"/>
      <c r="E333" s="80"/>
      <c r="F333" s="80"/>
      <c r="G333" s="80"/>
      <c r="H333" s="80"/>
      <c r="I333" s="80"/>
      <c r="J333" s="80"/>
      <c r="K333" s="80"/>
      <c r="L333" s="80"/>
      <c r="M333" s="84"/>
    </row>
    <row r="334" spans="1:13" ht="15.75" x14ac:dyDescent="0.25">
      <c r="A334" s="77"/>
      <c r="B334" s="78"/>
      <c r="C334" s="80"/>
      <c r="D334" s="80"/>
      <c r="E334" s="80"/>
      <c r="F334" s="80"/>
      <c r="G334" s="80"/>
      <c r="H334" s="80"/>
      <c r="I334" s="80"/>
      <c r="J334" s="80"/>
      <c r="K334" s="80"/>
      <c r="L334" s="80"/>
      <c r="M334" s="84"/>
    </row>
    <row r="335" spans="1:13" ht="15.75" x14ac:dyDescent="0.25">
      <c r="A335" s="77"/>
      <c r="B335" s="78"/>
      <c r="C335" s="80"/>
      <c r="D335" s="80"/>
      <c r="E335" s="80"/>
      <c r="F335" s="80"/>
      <c r="G335" s="80"/>
      <c r="H335" s="80"/>
      <c r="I335" s="80"/>
      <c r="J335" s="80"/>
      <c r="K335" s="80"/>
      <c r="L335" s="80"/>
      <c r="M335" s="84"/>
    </row>
    <row r="336" spans="1:13" ht="15.75" x14ac:dyDescent="0.25">
      <c r="A336" s="77"/>
      <c r="B336" s="78"/>
      <c r="C336" s="80"/>
      <c r="D336" s="80"/>
      <c r="E336" s="80"/>
      <c r="F336" s="80"/>
      <c r="G336" s="80"/>
      <c r="H336" s="80"/>
      <c r="I336" s="80"/>
      <c r="J336" s="80"/>
      <c r="K336" s="80"/>
      <c r="L336" s="80"/>
      <c r="M336" s="84"/>
    </row>
    <row r="337" spans="1:13" ht="15.75" x14ac:dyDescent="0.25">
      <c r="A337" s="77"/>
      <c r="B337" s="78"/>
      <c r="C337" s="80"/>
      <c r="D337" s="80"/>
      <c r="E337" s="80"/>
      <c r="F337" s="80"/>
      <c r="G337" s="80"/>
      <c r="H337" s="80"/>
      <c r="I337" s="80"/>
      <c r="J337" s="80"/>
      <c r="K337" s="80"/>
      <c r="L337" s="80"/>
      <c r="M337" s="84"/>
    </row>
    <row r="338" spans="1:13" ht="15.75" x14ac:dyDescent="0.25">
      <c r="A338" s="77"/>
      <c r="B338" s="78"/>
      <c r="C338" s="80"/>
      <c r="D338" s="80"/>
      <c r="E338" s="80"/>
      <c r="F338" s="80"/>
      <c r="G338" s="80"/>
      <c r="H338" s="80"/>
      <c r="I338" s="80"/>
      <c r="J338" s="80"/>
      <c r="K338" s="80"/>
      <c r="L338" s="80"/>
      <c r="M338" s="84"/>
    </row>
    <row r="339" spans="1:13" ht="15.75" x14ac:dyDescent="0.25">
      <c r="A339" s="77"/>
      <c r="B339" s="78"/>
      <c r="C339" s="80"/>
      <c r="D339" s="80"/>
      <c r="E339" s="80"/>
      <c r="F339" s="80"/>
      <c r="G339" s="80"/>
      <c r="H339" s="80"/>
      <c r="I339" s="80"/>
      <c r="J339" s="80"/>
      <c r="K339" s="80"/>
      <c r="L339" s="80"/>
      <c r="M339" s="84"/>
    </row>
    <row r="340" spans="1:13" ht="15.75" x14ac:dyDescent="0.25">
      <c r="A340" s="77"/>
      <c r="B340" s="78"/>
      <c r="C340" s="80"/>
      <c r="D340" s="80"/>
      <c r="E340" s="80"/>
      <c r="F340" s="80"/>
      <c r="G340" s="80"/>
      <c r="H340" s="80"/>
      <c r="I340" s="80"/>
      <c r="J340" s="80"/>
      <c r="K340" s="80"/>
      <c r="L340" s="80"/>
      <c r="M340" s="84"/>
    </row>
    <row r="341" spans="1:13" ht="15.75" x14ac:dyDescent="0.25">
      <c r="A341" s="77"/>
      <c r="B341" s="78"/>
      <c r="C341" s="80"/>
      <c r="D341" s="80"/>
      <c r="E341" s="80"/>
      <c r="F341" s="80"/>
      <c r="G341" s="80"/>
      <c r="H341" s="80"/>
      <c r="I341" s="80"/>
      <c r="J341" s="80"/>
      <c r="K341" s="80"/>
      <c r="L341" s="80"/>
      <c r="M341" s="84"/>
    </row>
    <row r="342" spans="1:13" ht="15.75" x14ac:dyDescent="0.25">
      <c r="A342" s="77"/>
      <c r="B342" s="78"/>
      <c r="C342" s="80"/>
      <c r="D342" s="80"/>
      <c r="E342" s="80"/>
      <c r="F342" s="80"/>
      <c r="G342" s="80"/>
      <c r="H342" s="80"/>
      <c r="I342" s="80"/>
      <c r="J342" s="80"/>
      <c r="K342" s="80"/>
      <c r="L342" s="80"/>
      <c r="M342" s="84"/>
    </row>
    <row r="343" spans="1:13" ht="15.75" x14ac:dyDescent="0.25">
      <c r="A343" s="77"/>
      <c r="B343" s="78"/>
      <c r="C343" s="80"/>
      <c r="D343" s="80"/>
      <c r="E343" s="80"/>
      <c r="F343" s="80"/>
      <c r="G343" s="80"/>
      <c r="H343" s="80"/>
      <c r="I343" s="80"/>
      <c r="J343" s="80"/>
      <c r="K343" s="80"/>
      <c r="L343" s="80"/>
      <c r="M343" s="84"/>
    </row>
    <row r="344" spans="1:13" ht="15.75" x14ac:dyDescent="0.25">
      <c r="A344" s="77"/>
      <c r="B344" s="78"/>
      <c r="C344" s="80"/>
      <c r="D344" s="80"/>
      <c r="E344" s="80"/>
      <c r="F344" s="80"/>
      <c r="G344" s="80"/>
      <c r="H344" s="80"/>
      <c r="I344" s="80"/>
      <c r="J344" s="80"/>
      <c r="K344" s="80"/>
      <c r="L344" s="80"/>
      <c r="M344" s="84"/>
    </row>
    <row r="345" spans="1:13" ht="15.75" x14ac:dyDescent="0.25">
      <c r="A345" s="77"/>
      <c r="B345" s="78"/>
      <c r="C345" s="80"/>
      <c r="D345" s="80"/>
      <c r="E345" s="80"/>
      <c r="F345" s="80"/>
      <c r="G345" s="80"/>
      <c r="H345" s="80"/>
      <c r="I345" s="80"/>
      <c r="J345" s="80"/>
      <c r="K345" s="80"/>
      <c r="L345" s="80"/>
      <c r="M345" s="84"/>
    </row>
    <row r="346" spans="1:13" ht="15.75" x14ac:dyDescent="0.25">
      <c r="A346" s="77"/>
      <c r="B346" s="78"/>
      <c r="C346" s="80"/>
      <c r="D346" s="80"/>
      <c r="E346" s="80"/>
      <c r="F346" s="80"/>
      <c r="G346" s="80"/>
      <c r="H346" s="80"/>
      <c r="I346" s="80"/>
      <c r="J346" s="80"/>
      <c r="K346" s="80"/>
      <c r="L346" s="80"/>
      <c r="M346" s="84"/>
    </row>
    <row r="347" spans="1:13" ht="15.75" x14ac:dyDescent="0.25">
      <c r="A347" s="77"/>
      <c r="B347" s="78"/>
      <c r="C347" s="80"/>
      <c r="D347" s="80"/>
      <c r="E347" s="80"/>
      <c r="F347" s="80"/>
      <c r="G347" s="80"/>
      <c r="H347" s="80"/>
      <c r="I347" s="80"/>
      <c r="J347" s="80"/>
      <c r="K347" s="80"/>
      <c r="L347" s="80"/>
      <c r="M347" s="84"/>
    </row>
    <row r="348" spans="1:13" ht="15.75" x14ac:dyDescent="0.25">
      <c r="A348" s="77"/>
      <c r="B348" s="78"/>
      <c r="C348" s="80"/>
      <c r="D348" s="80"/>
      <c r="E348" s="80"/>
      <c r="F348" s="80"/>
      <c r="G348" s="80"/>
      <c r="H348" s="80"/>
      <c r="I348" s="80"/>
      <c r="J348" s="80"/>
      <c r="K348" s="80"/>
      <c r="L348" s="80"/>
      <c r="M348" s="84"/>
    </row>
    <row r="349" spans="1:13" ht="15.75" x14ac:dyDescent="0.25">
      <c r="A349" s="77"/>
      <c r="B349" s="78"/>
      <c r="C349" s="80"/>
      <c r="D349" s="80"/>
      <c r="E349" s="80"/>
      <c r="F349" s="80"/>
      <c r="G349" s="80"/>
      <c r="H349" s="80"/>
      <c r="I349" s="80"/>
      <c r="J349" s="80"/>
      <c r="K349" s="80"/>
      <c r="L349" s="80"/>
      <c r="M349" s="84"/>
    </row>
    <row r="350" spans="1:13" ht="15.75" x14ac:dyDescent="0.25">
      <c r="A350" s="77"/>
      <c r="B350" s="78"/>
      <c r="C350" s="80"/>
      <c r="D350" s="80"/>
      <c r="E350" s="80"/>
      <c r="F350" s="80"/>
      <c r="G350" s="80"/>
      <c r="H350" s="80"/>
      <c r="I350" s="80"/>
      <c r="J350" s="80"/>
      <c r="K350" s="80"/>
      <c r="L350" s="80"/>
      <c r="M350" s="84"/>
    </row>
    <row r="351" spans="1:13" ht="15.75" x14ac:dyDescent="0.25">
      <c r="A351" s="77"/>
      <c r="B351" s="78"/>
      <c r="C351" s="80"/>
      <c r="D351" s="80"/>
      <c r="E351" s="80"/>
      <c r="F351" s="80"/>
      <c r="G351" s="80"/>
      <c r="H351" s="80"/>
      <c r="I351" s="80"/>
      <c r="J351" s="80"/>
      <c r="K351" s="80"/>
      <c r="L351" s="80"/>
      <c r="M351" s="84"/>
    </row>
    <row r="352" spans="1:13" ht="15.75" x14ac:dyDescent="0.25">
      <c r="A352" s="77"/>
      <c r="B352" s="78"/>
      <c r="C352" s="80"/>
      <c r="D352" s="80"/>
      <c r="E352" s="80"/>
      <c r="F352" s="80"/>
      <c r="G352" s="80"/>
      <c r="H352" s="80"/>
      <c r="I352" s="80"/>
      <c r="J352" s="80"/>
      <c r="K352" s="80"/>
      <c r="L352" s="80"/>
      <c r="M352" s="84"/>
    </row>
    <row r="353" spans="1:13" ht="15.75" x14ac:dyDescent="0.25">
      <c r="A353" s="77"/>
      <c r="B353" s="78"/>
      <c r="C353" s="80"/>
      <c r="D353" s="80"/>
      <c r="E353" s="80"/>
      <c r="F353" s="80"/>
      <c r="G353" s="80"/>
      <c r="H353" s="80"/>
      <c r="I353" s="80"/>
      <c r="J353" s="80"/>
      <c r="K353" s="80"/>
      <c r="L353" s="80"/>
      <c r="M353" s="84"/>
    </row>
    <row r="354" spans="1:13" ht="15.75" x14ac:dyDescent="0.25">
      <c r="A354" s="77"/>
      <c r="B354" s="78"/>
      <c r="C354" s="80"/>
      <c r="D354" s="80"/>
      <c r="E354" s="80"/>
      <c r="F354" s="80"/>
      <c r="G354" s="80"/>
      <c r="H354" s="80"/>
      <c r="I354" s="80"/>
      <c r="J354" s="80"/>
      <c r="K354" s="80"/>
      <c r="L354" s="80"/>
      <c r="M354" s="84"/>
    </row>
    <row r="355" spans="1:13" ht="15.75" x14ac:dyDescent="0.25">
      <c r="A355" s="77"/>
      <c r="B355" s="78"/>
      <c r="C355" s="80"/>
      <c r="D355" s="80"/>
      <c r="E355" s="80"/>
      <c r="F355" s="80"/>
      <c r="G355" s="80"/>
      <c r="H355" s="80"/>
      <c r="I355" s="80"/>
      <c r="J355" s="80"/>
      <c r="K355" s="80"/>
      <c r="L355" s="80"/>
      <c r="M355" s="84"/>
    </row>
    <row r="356" spans="1:13" ht="15.75" x14ac:dyDescent="0.25">
      <c r="A356" s="77"/>
      <c r="B356" s="78"/>
      <c r="C356" s="80"/>
      <c r="D356" s="80"/>
      <c r="E356" s="80"/>
      <c r="F356" s="80"/>
      <c r="G356" s="80"/>
      <c r="H356" s="80"/>
      <c r="I356" s="80"/>
      <c r="J356" s="80"/>
      <c r="K356" s="80"/>
      <c r="L356" s="80"/>
      <c r="M356" s="84"/>
    </row>
    <row r="357" spans="1:13" ht="15.75" x14ac:dyDescent="0.25">
      <c r="A357" s="77"/>
      <c r="B357" s="78"/>
      <c r="C357" s="80"/>
      <c r="D357" s="80"/>
      <c r="E357" s="80"/>
      <c r="F357" s="80"/>
      <c r="G357" s="80"/>
      <c r="H357" s="80"/>
      <c r="I357" s="80"/>
      <c r="J357" s="80"/>
      <c r="K357" s="80"/>
      <c r="L357" s="80"/>
      <c r="M357" s="84"/>
    </row>
    <row r="358" spans="1:13" ht="15.75" x14ac:dyDescent="0.25">
      <c r="A358" s="77"/>
      <c r="B358" s="78"/>
      <c r="C358" s="80"/>
      <c r="D358" s="80"/>
      <c r="E358" s="80"/>
      <c r="F358" s="80"/>
      <c r="G358" s="80"/>
      <c r="H358" s="80"/>
      <c r="I358" s="80"/>
      <c r="J358" s="80"/>
      <c r="K358" s="80"/>
      <c r="L358" s="80"/>
      <c r="M358" s="84"/>
    </row>
    <row r="359" spans="1:13" ht="15.75" x14ac:dyDescent="0.25">
      <c r="A359" s="77"/>
      <c r="B359" s="78"/>
      <c r="C359" s="80"/>
      <c r="D359" s="80"/>
      <c r="E359" s="80"/>
      <c r="F359" s="80"/>
      <c r="G359" s="80"/>
      <c r="H359" s="80"/>
      <c r="I359" s="80"/>
      <c r="J359" s="80"/>
      <c r="K359" s="80"/>
      <c r="L359" s="80"/>
      <c r="M359" s="84"/>
    </row>
    <row r="360" spans="1:13" ht="15.75" x14ac:dyDescent="0.25">
      <c r="A360" s="77"/>
      <c r="B360" s="78"/>
      <c r="C360" s="80"/>
      <c r="D360" s="80"/>
      <c r="E360" s="80"/>
      <c r="F360" s="80"/>
      <c r="G360" s="80"/>
      <c r="H360" s="80"/>
      <c r="I360" s="80"/>
      <c r="J360" s="80"/>
      <c r="K360" s="80"/>
      <c r="L360" s="80"/>
      <c r="M360" s="84"/>
    </row>
    <row r="361" spans="1:13" ht="15.75" x14ac:dyDescent="0.25">
      <c r="A361" s="77"/>
      <c r="B361" s="78"/>
      <c r="C361" s="80"/>
      <c r="D361" s="80"/>
      <c r="E361" s="80"/>
      <c r="F361" s="80"/>
      <c r="G361" s="80"/>
      <c r="H361" s="80"/>
      <c r="I361" s="80"/>
      <c r="J361" s="80"/>
      <c r="K361" s="80"/>
      <c r="L361" s="80"/>
      <c r="M361" s="84"/>
    </row>
    <row r="362" spans="1:13" ht="15.75" x14ac:dyDescent="0.25">
      <c r="A362" s="77"/>
      <c r="B362" s="78"/>
      <c r="C362" s="80"/>
      <c r="D362" s="80"/>
      <c r="E362" s="80"/>
      <c r="F362" s="80"/>
      <c r="G362" s="80"/>
      <c r="H362" s="80"/>
      <c r="I362" s="80"/>
      <c r="J362" s="80"/>
      <c r="K362" s="80"/>
      <c r="L362" s="80"/>
      <c r="M362" s="84"/>
    </row>
    <row r="363" spans="1:13" ht="15.75" x14ac:dyDescent="0.25">
      <c r="A363" s="77"/>
      <c r="B363" s="78"/>
      <c r="C363" s="80"/>
      <c r="D363" s="80"/>
      <c r="E363" s="80"/>
      <c r="F363" s="80"/>
      <c r="G363" s="80"/>
      <c r="H363" s="80"/>
      <c r="I363" s="80"/>
      <c r="J363" s="80"/>
      <c r="K363" s="80"/>
      <c r="L363" s="80"/>
      <c r="M363" s="84"/>
    </row>
    <row r="364" spans="1:13" ht="15.75" x14ac:dyDescent="0.25">
      <c r="A364" s="77"/>
      <c r="B364" s="78"/>
      <c r="C364" s="80"/>
      <c r="D364" s="80"/>
      <c r="E364" s="80"/>
      <c r="F364" s="80"/>
      <c r="G364" s="80"/>
      <c r="H364" s="80"/>
      <c r="I364" s="80"/>
      <c r="J364" s="80"/>
      <c r="K364" s="80"/>
      <c r="L364" s="80"/>
      <c r="M364" s="84"/>
    </row>
    <row r="365" spans="1:13" ht="15.75" x14ac:dyDescent="0.25">
      <c r="A365" s="77"/>
      <c r="B365" s="78"/>
      <c r="C365" s="80"/>
      <c r="D365" s="80"/>
      <c r="E365" s="80"/>
      <c r="F365" s="80"/>
      <c r="G365" s="80"/>
      <c r="H365" s="80"/>
      <c r="I365" s="80"/>
      <c r="J365" s="80"/>
      <c r="K365" s="80"/>
      <c r="L365" s="80"/>
      <c r="M365" s="84"/>
    </row>
    <row r="366" spans="1:13" ht="15.75" x14ac:dyDescent="0.25">
      <c r="A366" s="77"/>
      <c r="B366" s="78"/>
      <c r="C366" s="80"/>
      <c r="D366" s="80"/>
      <c r="E366" s="80"/>
      <c r="F366" s="80"/>
      <c r="G366" s="80"/>
      <c r="H366" s="80"/>
      <c r="I366" s="80"/>
      <c r="J366" s="80"/>
      <c r="K366" s="80"/>
      <c r="L366" s="80"/>
      <c r="M366" s="84"/>
    </row>
    <row r="367" spans="1:13" ht="15.75" x14ac:dyDescent="0.25">
      <c r="A367" s="77"/>
      <c r="B367" s="78"/>
      <c r="C367" s="80"/>
      <c r="D367" s="80"/>
      <c r="E367" s="80"/>
      <c r="F367" s="80"/>
      <c r="G367" s="80"/>
      <c r="H367" s="80"/>
      <c r="I367" s="80"/>
      <c r="J367" s="80"/>
      <c r="K367" s="80"/>
      <c r="L367" s="80"/>
      <c r="M367" s="84"/>
    </row>
    <row r="368" spans="1:13" ht="15.75" x14ac:dyDescent="0.25">
      <c r="A368" s="77"/>
      <c r="B368" s="78"/>
      <c r="C368" s="80"/>
      <c r="D368" s="80"/>
      <c r="E368" s="80"/>
      <c r="F368" s="80"/>
      <c r="G368" s="80"/>
      <c r="H368" s="80"/>
      <c r="I368" s="80"/>
      <c r="J368" s="80"/>
      <c r="K368" s="80"/>
      <c r="L368" s="80"/>
      <c r="M368" s="84"/>
    </row>
    <row r="369" spans="1:13" ht="15.75" x14ac:dyDescent="0.25">
      <c r="A369" s="77"/>
      <c r="B369" s="78"/>
      <c r="C369" s="80"/>
      <c r="D369" s="80"/>
      <c r="E369" s="80"/>
      <c r="F369" s="80"/>
      <c r="G369" s="80"/>
      <c r="H369" s="80"/>
      <c r="I369" s="80"/>
      <c r="J369" s="80"/>
      <c r="K369" s="80"/>
      <c r="L369" s="80"/>
      <c r="M369" s="84"/>
    </row>
    <row r="370" spans="1:13" ht="15.75" x14ac:dyDescent="0.25">
      <c r="A370" s="77"/>
      <c r="B370" s="78"/>
      <c r="C370" s="80"/>
      <c r="D370" s="80"/>
      <c r="E370" s="80"/>
      <c r="F370" s="80"/>
      <c r="G370" s="80"/>
      <c r="H370" s="80"/>
      <c r="I370" s="80"/>
      <c r="J370" s="80"/>
      <c r="K370" s="80"/>
      <c r="L370" s="80"/>
      <c r="M370" s="84"/>
    </row>
    <row r="371" spans="1:13" ht="15.75" x14ac:dyDescent="0.25">
      <c r="A371" s="77"/>
      <c r="B371" s="78"/>
      <c r="C371" s="80"/>
      <c r="D371" s="80"/>
      <c r="E371" s="80"/>
      <c r="F371" s="80"/>
      <c r="G371" s="80"/>
      <c r="H371" s="80"/>
      <c r="I371" s="80"/>
      <c r="J371" s="80"/>
      <c r="K371" s="80"/>
      <c r="L371" s="80"/>
      <c r="M371" s="84"/>
    </row>
    <row r="372" spans="1:13" ht="15.75" x14ac:dyDescent="0.25">
      <c r="A372" s="77"/>
      <c r="B372" s="78"/>
      <c r="C372" s="80"/>
      <c r="D372" s="80"/>
      <c r="E372" s="80"/>
      <c r="F372" s="80"/>
      <c r="G372" s="80"/>
      <c r="H372" s="80"/>
      <c r="I372" s="80"/>
      <c r="J372" s="80"/>
      <c r="K372" s="80"/>
      <c r="L372" s="80"/>
      <c r="M372" s="84"/>
    </row>
    <row r="373" spans="1:13" ht="15.75" x14ac:dyDescent="0.25">
      <c r="A373" s="77"/>
      <c r="B373" s="78"/>
      <c r="C373" s="80"/>
      <c r="D373" s="80"/>
      <c r="E373" s="80"/>
      <c r="F373" s="80"/>
      <c r="G373" s="80"/>
      <c r="H373" s="80"/>
      <c r="I373" s="80"/>
      <c r="J373" s="80"/>
      <c r="K373" s="80"/>
      <c r="L373" s="80"/>
      <c r="M373" s="84"/>
    </row>
    <row r="374" spans="1:13" ht="15.75" x14ac:dyDescent="0.25">
      <c r="A374" s="77"/>
      <c r="B374" s="78"/>
      <c r="C374" s="80"/>
      <c r="D374" s="80"/>
      <c r="E374" s="80"/>
      <c r="F374" s="80"/>
      <c r="G374" s="80"/>
      <c r="H374" s="80"/>
      <c r="I374" s="80"/>
      <c r="J374" s="80"/>
      <c r="K374" s="80"/>
      <c r="L374" s="80"/>
      <c r="M374" s="84"/>
    </row>
    <row r="375" spans="1:13" ht="15.75" x14ac:dyDescent="0.25">
      <c r="A375" s="77"/>
      <c r="B375" s="78"/>
      <c r="C375" s="80"/>
      <c r="D375" s="80"/>
      <c r="E375" s="80"/>
      <c r="F375" s="80"/>
      <c r="G375" s="80"/>
      <c r="H375" s="80"/>
      <c r="I375" s="80"/>
      <c r="J375" s="80"/>
      <c r="K375" s="80"/>
      <c r="L375" s="80"/>
      <c r="M375" s="84"/>
    </row>
    <row r="376" spans="1:13" ht="15.75" x14ac:dyDescent="0.25">
      <c r="A376" s="77"/>
      <c r="B376" s="78"/>
      <c r="C376" s="80"/>
      <c r="D376" s="80"/>
      <c r="E376" s="80"/>
      <c r="F376" s="80"/>
      <c r="G376" s="80"/>
      <c r="H376" s="80"/>
      <c r="I376" s="80"/>
      <c r="J376" s="80"/>
      <c r="K376" s="80"/>
      <c r="L376" s="80"/>
      <c r="M376" s="84"/>
    </row>
    <row r="377" spans="1:13" ht="15.75" x14ac:dyDescent="0.25">
      <c r="A377" s="77"/>
      <c r="B377" s="78"/>
      <c r="C377" s="80"/>
      <c r="D377" s="80"/>
      <c r="E377" s="80"/>
      <c r="F377" s="80"/>
      <c r="G377" s="80"/>
      <c r="H377" s="80"/>
      <c r="I377" s="80"/>
      <c r="J377" s="80"/>
      <c r="K377" s="80"/>
      <c r="L377" s="80"/>
      <c r="M377" s="84"/>
    </row>
    <row r="378" spans="1:13" ht="15.75" x14ac:dyDescent="0.25">
      <c r="A378" s="77"/>
      <c r="B378" s="78"/>
      <c r="C378" s="80"/>
      <c r="D378" s="80"/>
      <c r="E378" s="80"/>
      <c r="F378" s="80"/>
      <c r="G378" s="80"/>
      <c r="H378" s="80"/>
      <c r="I378" s="80"/>
      <c r="J378" s="80"/>
      <c r="K378" s="80"/>
      <c r="L378" s="80"/>
      <c r="M378" s="84"/>
    </row>
    <row r="379" spans="1:13" ht="15.75" x14ac:dyDescent="0.25">
      <c r="A379" s="77"/>
      <c r="B379" s="78"/>
      <c r="C379" s="80"/>
      <c r="D379" s="80"/>
      <c r="E379" s="80"/>
      <c r="F379" s="80"/>
      <c r="G379" s="80"/>
      <c r="H379" s="80"/>
      <c r="I379" s="80"/>
      <c r="J379" s="80"/>
      <c r="K379" s="80"/>
      <c r="L379" s="80"/>
      <c r="M379" s="84"/>
    </row>
    <row r="380" spans="1:13" ht="15.75" x14ac:dyDescent="0.25">
      <c r="A380" s="77"/>
      <c r="B380" s="78"/>
      <c r="C380" s="80"/>
      <c r="D380" s="80"/>
      <c r="E380" s="80"/>
      <c r="F380" s="80"/>
      <c r="G380" s="80"/>
      <c r="H380" s="80"/>
      <c r="I380" s="80"/>
      <c r="J380" s="80"/>
      <c r="K380" s="80"/>
      <c r="L380" s="80"/>
      <c r="M380" s="84"/>
    </row>
    <row r="381" spans="1:13" ht="15.75" x14ac:dyDescent="0.25">
      <c r="A381" s="77"/>
      <c r="B381" s="78"/>
      <c r="C381" s="80"/>
      <c r="D381" s="80"/>
      <c r="E381" s="80"/>
      <c r="F381" s="80"/>
      <c r="G381" s="80"/>
      <c r="H381" s="80"/>
      <c r="I381" s="80"/>
      <c r="J381" s="80"/>
      <c r="K381" s="80"/>
      <c r="L381" s="80"/>
      <c r="M381" s="84"/>
    </row>
    <row r="382" spans="1:13" ht="15.75" x14ac:dyDescent="0.25">
      <c r="A382" s="77"/>
      <c r="B382" s="78"/>
      <c r="C382" s="80"/>
      <c r="D382" s="80"/>
      <c r="E382" s="80"/>
      <c r="F382" s="80"/>
      <c r="G382" s="80"/>
      <c r="H382" s="80"/>
      <c r="I382" s="80"/>
      <c r="J382" s="80"/>
      <c r="K382" s="80"/>
      <c r="L382" s="80"/>
      <c r="M382" s="84"/>
    </row>
    <row r="383" spans="1:13" ht="15.75" x14ac:dyDescent="0.25">
      <c r="A383" s="77"/>
      <c r="B383" s="78"/>
      <c r="C383" s="80"/>
      <c r="D383" s="80"/>
      <c r="E383" s="80"/>
      <c r="F383" s="80"/>
      <c r="G383" s="80"/>
      <c r="H383" s="80"/>
      <c r="I383" s="80"/>
      <c r="J383" s="80"/>
      <c r="K383" s="80"/>
      <c r="L383" s="80"/>
      <c r="M383" s="84"/>
    </row>
    <row r="384" spans="1:13" ht="15.75" x14ac:dyDescent="0.25">
      <c r="A384" s="77"/>
      <c r="B384" s="78"/>
      <c r="C384" s="80"/>
      <c r="D384" s="80"/>
      <c r="E384" s="80"/>
      <c r="F384" s="80"/>
      <c r="G384" s="80"/>
      <c r="H384" s="80"/>
      <c r="I384" s="80"/>
      <c r="J384" s="80"/>
      <c r="K384" s="80"/>
      <c r="L384" s="80"/>
      <c r="M384" s="84"/>
    </row>
    <row r="385" spans="1:13" ht="15.75" x14ac:dyDescent="0.25">
      <c r="A385" s="77"/>
      <c r="B385" s="78"/>
      <c r="C385" s="80"/>
      <c r="D385" s="80"/>
      <c r="E385" s="80"/>
      <c r="F385" s="80"/>
      <c r="G385" s="80"/>
      <c r="H385" s="80"/>
      <c r="I385" s="80"/>
      <c r="J385" s="80"/>
      <c r="K385" s="80"/>
      <c r="L385" s="80"/>
      <c r="M385" s="84"/>
    </row>
    <row r="386" spans="1:13" ht="15.75" x14ac:dyDescent="0.25">
      <c r="A386" s="77"/>
      <c r="B386" s="78"/>
      <c r="C386" s="80"/>
      <c r="D386" s="80"/>
      <c r="E386" s="80"/>
      <c r="F386" s="80"/>
      <c r="G386" s="80"/>
      <c r="H386" s="80"/>
      <c r="I386" s="80"/>
      <c r="J386" s="80"/>
      <c r="K386" s="80"/>
      <c r="L386" s="80"/>
      <c r="M386" s="84"/>
    </row>
    <row r="387" spans="1:13" ht="15.75" x14ac:dyDescent="0.25">
      <c r="A387" s="77"/>
      <c r="B387" s="78"/>
      <c r="C387" s="80"/>
      <c r="D387" s="80"/>
      <c r="E387" s="80"/>
      <c r="F387" s="80"/>
      <c r="G387" s="80"/>
      <c r="H387" s="80"/>
      <c r="I387" s="80"/>
      <c r="J387" s="80"/>
      <c r="K387" s="80"/>
      <c r="L387" s="80"/>
      <c r="M387" s="84"/>
    </row>
    <row r="388" spans="1:13" ht="15.75" x14ac:dyDescent="0.25">
      <c r="A388" s="77"/>
      <c r="B388" s="78"/>
      <c r="C388" s="80"/>
      <c r="D388" s="80"/>
      <c r="E388" s="80"/>
      <c r="F388" s="80"/>
      <c r="G388" s="80"/>
      <c r="H388" s="80"/>
      <c r="I388" s="80"/>
      <c r="J388" s="80"/>
      <c r="K388" s="80"/>
      <c r="L388" s="80"/>
      <c r="M388" s="84"/>
    </row>
    <row r="389" spans="1:13" ht="15.75" x14ac:dyDescent="0.25">
      <c r="A389" s="77"/>
      <c r="B389" s="78"/>
      <c r="C389" s="80"/>
      <c r="D389" s="80"/>
      <c r="E389" s="80"/>
      <c r="F389" s="80"/>
      <c r="G389" s="80"/>
      <c r="H389" s="80"/>
      <c r="I389" s="80"/>
      <c r="J389" s="80"/>
      <c r="K389" s="80"/>
      <c r="L389" s="80"/>
      <c r="M389" s="84"/>
    </row>
    <row r="390" spans="1:13" ht="15.75" x14ac:dyDescent="0.25">
      <c r="A390" s="77"/>
      <c r="B390" s="78"/>
      <c r="C390" s="80"/>
      <c r="D390" s="80"/>
      <c r="E390" s="80"/>
      <c r="F390" s="80"/>
      <c r="G390" s="80"/>
      <c r="H390" s="80"/>
      <c r="I390" s="80"/>
      <c r="J390" s="80"/>
      <c r="K390" s="80"/>
      <c r="L390" s="80"/>
      <c r="M390" s="84"/>
    </row>
    <row r="391" spans="1:13" ht="15.75" x14ac:dyDescent="0.25">
      <c r="A391" s="77"/>
      <c r="B391" s="78"/>
      <c r="C391" s="80"/>
      <c r="D391" s="80"/>
      <c r="E391" s="80"/>
      <c r="F391" s="80"/>
      <c r="G391" s="80"/>
      <c r="H391" s="80"/>
      <c r="I391" s="80"/>
      <c r="J391" s="80"/>
      <c r="K391" s="80"/>
      <c r="L391" s="80"/>
      <c r="M391" s="84"/>
    </row>
    <row r="392" spans="1:13" ht="15.75" x14ac:dyDescent="0.25">
      <c r="A392" s="77"/>
      <c r="B392" s="78"/>
      <c r="C392" s="80"/>
      <c r="D392" s="80"/>
      <c r="E392" s="80"/>
      <c r="F392" s="80"/>
      <c r="G392" s="80"/>
      <c r="H392" s="80"/>
      <c r="I392" s="80"/>
      <c r="J392" s="80"/>
      <c r="K392" s="80"/>
      <c r="L392" s="80"/>
      <c r="M392" s="84"/>
    </row>
    <row r="393" spans="1:13" ht="15.75" x14ac:dyDescent="0.25">
      <c r="A393" s="77"/>
      <c r="B393" s="78"/>
      <c r="C393" s="80"/>
      <c r="D393" s="80"/>
      <c r="E393" s="80"/>
      <c r="F393" s="80"/>
      <c r="G393" s="80"/>
      <c r="H393" s="80"/>
      <c r="I393" s="80"/>
      <c r="J393" s="80"/>
      <c r="K393" s="80"/>
      <c r="L393" s="80"/>
      <c r="M393" s="84"/>
    </row>
    <row r="394" spans="1:13" ht="15.75" x14ac:dyDescent="0.25">
      <c r="A394" s="77"/>
      <c r="B394" s="78"/>
      <c r="C394" s="80"/>
      <c r="D394" s="80"/>
      <c r="E394" s="80"/>
      <c r="F394" s="80"/>
      <c r="G394" s="80"/>
      <c r="H394" s="80"/>
      <c r="I394" s="80"/>
      <c r="J394" s="80"/>
      <c r="K394" s="80"/>
      <c r="L394" s="80"/>
      <c r="M394" s="84"/>
    </row>
    <row r="395" spans="1:13" ht="15.75" x14ac:dyDescent="0.25">
      <c r="A395" s="77"/>
      <c r="B395" s="78"/>
      <c r="C395" s="80"/>
      <c r="D395" s="80"/>
      <c r="E395" s="80"/>
      <c r="F395" s="80"/>
      <c r="G395" s="80"/>
      <c r="H395" s="80"/>
      <c r="I395" s="80"/>
      <c r="J395" s="80"/>
      <c r="K395" s="80"/>
      <c r="L395" s="80"/>
      <c r="M395" s="84"/>
    </row>
    <row r="396" spans="1:13" ht="15.75" x14ac:dyDescent="0.25">
      <c r="A396" s="77"/>
      <c r="B396" s="78"/>
      <c r="C396" s="80"/>
      <c r="D396" s="80"/>
      <c r="E396" s="80"/>
      <c r="F396" s="80"/>
      <c r="G396" s="80"/>
      <c r="H396" s="80"/>
      <c r="I396" s="80"/>
      <c r="J396" s="80"/>
      <c r="K396" s="80"/>
      <c r="L396" s="80"/>
      <c r="M396" s="84"/>
    </row>
    <row r="397" spans="1:13" ht="15.75" x14ac:dyDescent="0.25">
      <c r="A397" s="77"/>
      <c r="B397" s="78"/>
      <c r="C397" s="80"/>
      <c r="D397" s="80"/>
      <c r="E397" s="80"/>
      <c r="F397" s="80"/>
      <c r="G397" s="80"/>
      <c r="H397" s="80"/>
      <c r="I397" s="80"/>
      <c r="J397" s="80"/>
      <c r="K397" s="80"/>
      <c r="L397" s="80"/>
      <c r="M397" s="84"/>
    </row>
    <row r="398" spans="1:13" ht="15.75" x14ac:dyDescent="0.25">
      <c r="A398" s="77"/>
      <c r="B398" s="78"/>
      <c r="C398" s="80"/>
      <c r="D398" s="80"/>
      <c r="E398" s="80"/>
      <c r="F398" s="80"/>
      <c r="G398" s="80"/>
      <c r="H398" s="80"/>
      <c r="I398" s="80"/>
      <c r="J398" s="80"/>
      <c r="K398" s="80"/>
      <c r="L398" s="80"/>
      <c r="M398" s="84"/>
    </row>
    <row r="399" spans="1:13" ht="15.75" x14ac:dyDescent="0.25">
      <c r="A399" s="77"/>
      <c r="B399" s="78"/>
      <c r="C399" s="80"/>
      <c r="D399" s="80"/>
      <c r="E399" s="80"/>
      <c r="F399" s="80"/>
      <c r="G399" s="80"/>
      <c r="H399" s="80"/>
      <c r="I399" s="80"/>
      <c r="J399" s="80"/>
      <c r="K399" s="80"/>
      <c r="L399" s="80"/>
      <c r="M399" s="84"/>
    </row>
    <row r="400" spans="1:13" ht="15.75" x14ac:dyDescent="0.25">
      <c r="A400" s="77"/>
      <c r="B400" s="78"/>
      <c r="C400" s="80"/>
      <c r="D400" s="80"/>
      <c r="E400" s="80"/>
      <c r="F400" s="80"/>
      <c r="G400" s="80"/>
      <c r="H400" s="80"/>
      <c r="I400" s="80"/>
      <c r="J400" s="80"/>
      <c r="K400" s="80"/>
      <c r="L400" s="80"/>
      <c r="M400" s="84"/>
    </row>
    <row r="401" spans="1:13" ht="15.75" x14ac:dyDescent="0.25">
      <c r="A401" s="77"/>
      <c r="B401" s="78"/>
      <c r="C401" s="80"/>
      <c r="D401" s="80"/>
      <c r="E401" s="80"/>
      <c r="F401" s="80"/>
      <c r="G401" s="80"/>
      <c r="H401" s="80"/>
      <c r="I401" s="80"/>
      <c r="J401" s="80"/>
      <c r="K401" s="80"/>
      <c r="L401" s="80"/>
      <c r="M401" s="84"/>
    </row>
    <row r="402" spans="1:13" ht="15.75" x14ac:dyDescent="0.25">
      <c r="A402" s="77"/>
      <c r="B402" s="78"/>
      <c r="C402" s="80"/>
      <c r="D402" s="80"/>
      <c r="E402" s="80"/>
      <c r="F402" s="80"/>
      <c r="G402" s="80"/>
      <c r="H402" s="80"/>
      <c r="I402" s="80"/>
      <c r="J402" s="80"/>
      <c r="K402" s="80"/>
      <c r="L402" s="80"/>
      <c r="M402" s="84"/>
    </row>
    <row r="403" spans="1:13" ht="15.75" x14ac:dyDescent="0.25">
      <c r="A403" s="77"/>
      <c r="B403" s="78"/>
      <c r="C403" s="80"/>
      <c r="D403" s="80"/>
      <c r="E403" s="80"/>
      <c r="F403" s="80"/>
      <c r="G403" s="80"/>
      <c r="H403" s="80"/>
      <c r="I403" s="80"/>
      <c r="J403" s="80"/>
      <c r="K403" s="80"/>
      <c r="L403" s="80"/>
      <c r="M403" s="84"/>
    </row>
    <row r="404" spans="1:13" ht="15.75" x14ac:dyDescent="0.25">
      <c r="A404" s="77"/>
      <c r="B404" s="78"/>
      <c r="C404" s="80"/>
      <c r="D404" s="80"/>
      <c r="E404" s="80"/>
      <c r="F404" s="80"/>
      <c r="G404" s="80"/>
      <c r="H404" s="80"/>
      <c r="I404" s="80"/>
      <c r="J404" s="80"/>
      <c r="K404" s="80"/>
      <c r="L404" s="80"/>
      <c r="M404" s="84"/>
    </row>
    <row r="405" spans="1:13" ht="15.75" x14ac:dyDescent="0.25">
      <c r="A405" s="77"/>
      <c r="B405" s="78"/>
      <c r="C405" s="80"/>
      <c r="D405" s="80"/>
      <c r="E405" s="80"/>
      <c r="F405" s="80"/>
      <c r="G405" s="80"/>
      <c r="H405" s="80"/>
      <c r="I405" s="80"/>
      <c r="J405" s="80"/>
      <c r="K405" s="80"/>
      <c r="L405" s="80"/>
      <c r="M405" s="84"/>
    </row>
    <row r="406" spans="1:13" ht="15.75" x14ac:dyDescent="0.25">
      <c r="A406" s="77"/>
      <c r="B406" s="78"/>
      <c r="C406" s="80"/>
      <c r="D406" s="80"/>
      <c r="E406" s="80"/>
      <c r="F406" s="80"/>
      <c r="G406" s="80"/>
      <c r="H406" s="80"/>
      <c r="I406" s="80"/>
      <c r="J406" s="80"/>
      <c r="K406" s="80"/>
      <c r="L406" s="80"/>
      <c r="M406" s="84"/>
    </row>
    <row r="407" spans="1:13" ht="15.75" x14ac:dyDescent="0.25">
      <c r="A407" s="77"/>
      <c r="B407" s="78"/>
      <c r="C407" s="80"/>
      <c r="D407" s="80"/>
      <c r="E407" s="80"/>
      <c r="F407" s="80"/>
      <c r="G407" s="80"/>
      <c r="H407" s="80"/>
      <c r="I407" s="80"/>
      <c r="J407" s="80"/>
      <c r="K407" s="80"/>
      <c r="L407" s="80"/>
      <c r="M407" s="84"/>
    </row>
    <row r="408" spans="1:13" ht="15.75" x14ac:dyDescent="0.25">
      <c r="A408" s="77"/>
      <c r="B408" s="78"/>
      <c r="C408" s="80"/>
      <c r="D408" s="80"/>
      <c r="E408" s="80"/>
      <c r="F408" s="80"/>
      <c r="G408" s="80"/>
      <c r="H408" s="80"/>
      <c r="I408" s="80"/>
      <c r="J408" s="80"/>
      <c r="K408" s="80"/>
      <c r="L408" s="80"/>
      <c r="M408" s="84"/>
    </row>
    <row r="409" spans="1:13" ht="15.75" x14ac:dyDescent="0.25">
      <c r="A409" s="77"/>
      <c r="B409" s="78"/>
      <c r="C409" s="80"/>
      <c r="D409" s="80"/>
      <c r="E409" s="80"/>
      <c r="F409" s="80"/>
      <c r="G409" s="80"/>
      <c r="H409" s="80"/>
      <c r="I409" s="80"/>
      <c r="J409" s="80"/>
      <c r="K409" s="80"/>
      <c r="L409" s="80"/>
      <c r="M409" s="84"/>
    </row>
    <row r="410" spans="1:13" ht="15.75" x14ac:dyDescent="0.25">
      <c r="A410" s="77"/>
      <c r="B410" s="78"/>
      <c r="C410" s="80"/>
      <c r="D410" s="80"/>
      <c r="E410" s="80"/>
      <c r="F410" s="80"/>
      <c r="G410" s="80"/>
      <c r="H410" s="80"/>
      <c r="I410" s="80"/>
      <c r="J410" s="80"/>
      <c r="K410" s="80"/>
      <c r="L410" s="80"/>
      <c r="M410" s="84"/>
    </row>
    <row r="411" spans="1:13" ht="15.75" x14ac:dyDescent="0.25">
      <c r="A411" s="77"/>
      <c r="B411" s="78"/>
      <c r="C411" s="80"/>
      <c r="D411" s="80"/>
      <c r="E411" s="80"/>
      <c r="F411" s="80"/>
      <c r="G411" s="80"/>
      <c r="H411" s="80"/>
      <c r="I411" s="80"/>
      <c r="J411" s="80"/>
      <c r="K411" s="80"/>
      <c r="L411" s="80"/>
      <c r="M411" s="84"/>
    </row>
    <row r="412" spans="1:13" ht="15.75" x14ac:dyDescent="0.25">
      <c r="A412" s="77"/>
      <c r="B412" s="78"/>
      <c r="C412" s="80"/>
      <c r="D412" s="80"/>
      <c r="E412" s="80"/>
      <c r="F412" s="80"/>
      <c r="G412" s="80"/>
      <c r="H412" s="80"/>
      <c r="I412" s="80"/>
      <c r="J412" s="80"/>
      <c r="K412" s="80"/>
      <c r="L412" s="80"/>
      <c r="M412" s="84"/>
    </row>
    <row r="413" spans="1:13" ht="15.75" x14ac:dyDescent="0.25">
      <c r="A413" s="77"/>
      <c r="B413" s="78"/>
      <c r="C413" s="80"/>
      <c r="D413" s="80"/>
      <c r="E413" s="80"/>
      <c r="F413" s="80"/>
      <c r="G413" s="80"/>
      <c r="H413" s="80"/>
      <c r="I413" s="80"/>
      <c r="J413" s="80"/>
      <c r="K413" s="80"/>
      <c r="L413" s="80"/>
      <c r="M413" s="84"/>
    </row>
    <row r="414" spans="1:13" ht="15.75" x14ac:dyDescent="0.25">
      <c r="A414" s="77"/>
      <c r="B414" s="78"/>
      <c r="C414" s="80"/>
      <c r="D414" s="80"/>
      <c r="E414" s="80"/>
      <c r="F414" s="80"/>
      <c r="G414" s="80"/>
      <c r="H414" s="80"/>
      <c r="I414" s="80"/>
      <c r="J414" s="80"/>
      <c r="K414" s="80"/>
      <c r="L414" s="80"/>
      <c r="M414" s="84"/>
    </row>
    <row r="415" spans="1:13" ht="15.75" x14ac:dyDescent="0.25">
      <c r="A415" s="77"/>
      <c r="B415" s="78"/>
      <c r="C415" s="80"/>
      <c r="D415" s="80"/>
      <c r="E415" s="80"/>
      <c r="F415" s="80"/>
      <c r="G415" s="80"/>
      <c r="H415" s="80"/>
      <c r="I415" s="80"/>
      <c r="J415" s="80"/>
      <c r="K415" s="80"/>
      <c r="L415" s="80"/>
      <c r="M415" s="84"/>
    </row>
    <row r="416" spans="1:13" ht="15.75" x14ac:dyDescent="0.25">
      <c r="A416" s="77"/>
      <c r="B416" s="78"/>
      <c r="C416" s="80"/>
      <c r="D416" s="80"/>
      <c r="E416" s="80"/>
      <c r="F416" s="80"/>
      <c r="G416" s="80"/>
      <c r="H416" s="80"/>
      <c r="I416" s="80"/>
      <c r="J416" s="80"/>
      <c r="K416" s="80"/>
      <c r="L416" s="80"/>
      <c r="M416" s="84"/>
    </row>
    <row r="417" spans="1:13" ht="15.75" x14ac:dyDescent="0.25">
      <c r="A417" s="77"/>
      <c r="B417" s="78"/>
      <c r="C417" s="80"/>
      <c r="D417" s="80"/>
      <c r="E417" s="80"/>
      <c r="F417" s="80"/>
      <c r="G417" s="80"/>
      <c r="H417" s="80"/>
      <c r="I417" s="80"/>
      <c r="J417" s="80"/>
      <c r="K417" s="80"/>
      <c r="L417" s="80"/>
      <c r="M417" s="84"/>
    </row>
    <row r="418" spans="1:13" ht="15.75" x14ac:dyDescent="0.25">
      <c r="A418" s="77"/>
      <c r="B418" s="78"/>
      <c r="C418" s="80"/>
      <c r="D418" s="80"/>
      <c r="E418" s="80"/>
      <c r="F418" s="80"/>
      <c r="G418" s="80"/>
      <c r="H418" s="80"/>
      <c r="I418" s="80"/>
      <c r="J418" s="80"/>
      <c r="K418" s="80"/>
      <c r="L418" s="80"/>
      <c r="M418" s="84"/>
    </row>
    <row r="419" spans="1:13" ht="15.75" x14ac:dyDescent="0.25">
      <c r="A419" s="77"/>
      <c r="B419" s="78"/>
      <c r="C419" s="80"/>
      <c r="D419" s="80"/>
      <c r="E419" s="80"/>
      <c r="F419" s="80"/>
      <c r="G419" s="80"/>
      <c r="H419" s="80"/>
      <c r="I419" s="80"/>
      <c r="J419" s="80"/>
      <c r="K419" s="80"/>
      <c r="L419" s="80"/>
      <c r="M419" s="84"/>
    </row>
    <row r="420" spans="1:13" ht="15.75" x14ac:dyDescent="0.25">
      <c r="A420" s="77"/>
      <c r="B420" s="78"/>
      <c r="C420" s="80"/>
      <c r="D420" s="80"/>
      <c r="E420" s="80"/>
      <c r="F420" s="80"/>
      <c r="G420" s="80"/>
      <c r="H420" s="80"/>
      <c r="I420" s="80"/>
      <c r="J420" s="80"/>
      <c r="K420" s="80"/>
      <c r="L420" s="80"/>
      <c r="M420" s="84"/>
    </row>
    <row r="421" spans="1:13" ht="15.75" x14ac:dyDescent="0.25">
      <c r="A421" s="77"/>
      <c r="B421" s="78"/>
      <c r="C421" s="80"/>
      <c r="D421" s="80"/>
      <c r="E421" s="80"/>
      <c r="F421" s="80"/>
      <c r="G421" s="80"/>
      <c r="H421" s="80"/>
      <c r="I421" s="80"/>
      <c r="J421" s="80"/>
      <c r="K421" s="80"/>
      <c r="L421" s="80"/>
      <c r="M421" s="84"/>
    </row>
    <row r="422" spans="1:13" ht="15.75" x14ac:dyDescent="0.25">
      <c r="A422" s="77"/>
      <c r="B422" s="78"/>
      <c r="C422" s="80"/>
      <c r="D422" s="80"/>
      <c r="E422" s="80"/>
      <c r="F422" s="80"/>
      <c r="G422" s="80"/>
      <c r="H422" s="80"/>
      <c r="I422" s="80"/>
      <c r="J422" s="80"/>
      <c r="K422" s="80"/>
      <c r="L422" s="80"/>
      <c r="M422" s="84"/>
    </row>
    <row r="423" spans="1:13" ht="15.75" x14ac:dyDescent="0.25">
      <c r="A423" s="77"/>
      <c r="B423" s="78"/>
      <c r="C423" s="80"/>
      <c r="D423" s="80"/>
      <c r="E423" s="80"/>
      <c r="F423" s="80"/>
      <c r="G423" s="80"/>
      <c r="H423" s="80"/>
      <c r="I423" s="80"/>
      <c r="J423" s="80"/>
      <c r="K423" s="80"/>
      <c r="L423" s="80"/>
      <c r="M423" s="84"/>
    </row>
    <row r="424" spans="1:13" ht="15.75" x14ac:dyDescent="0.25">
      <c r="A424" s="77"/>
      <c r="B424" s="78"/>
      <c r="C424" s="80"/>
      <c r="D424" s="80"/>
      <c r="E424" s="80"/>
      <c r="F424" s="80"/>
      <c r="G424" s="80"/>
      <c r="H424" s="80"/>
      <c r="I424" s="80"/>
      <c r="J424" s="80"/>
      <c r="K424" s="80"/>
      <c r="L424" s="80"/>
      <c r="M424" s="84"/>
    </row>
    <row r="425" spans="1:13" ht="15.75" x14ac:dyDescent="0.25">
      <c r="A425" s="77"/>
      <c r="B425" s="78"/>
      <c r="C425" s="80"/>
      <c r="D425" s="80"/>
      <c r="E425" s="80"/>
      <c r="F425" s="80"/>
      <c r="G425" s="80"/>
      <c r="H425" s="80"/>
      <c r="I425" s="80"/>
      <c r="J425" s="80"/>
      <c r="K425" s="80"/>
      <c r="L425" s="80"/>
      <c r="M425" s="84"/>
    </row>
    <row r="426" spans="1:13" ht="15.75" x14ac:dyDescent="0.25">
      <c r="A426" s="77"/>
      <c r="B426" s="78"/>
      <c r="C426" s="80"/>
      <c r="D426" s="80"/>
      <c r="E426" s="80"/>
      <c r="F426" s="80"/>
      <c r="G426" s="80"/>
      <c r="H426" s="80"/>
      <c r="I426" s="80"/>
      <c r="J426" s="80"/>
      <c r="K426" s="80"/>
      <c r="L426" s="80"/>
      <c r="M426" s="84"/>
    </row>
    <row r="427" spans="1:13" ht="15.75" x14ac:dyDescent="0.25">
      <c r="A427" s="77"/>
      <c r="B427" s="78"/>
      <c r="C427" s="80"/>
      <c r="D427" s="80"/>
      <c r="E427" s="80"/>
      <c r="F427" s="80"/>
      <c r="G427" s="80"/>
      <c r="H427" s="80"/>
      <c r="I427" s="80"/>
      <c r="J427" s="80"/>
      <c r="K427" s="80"/>
      <c r="L427" s="80"/>
      <c r="M427" s="84"/>
    </row>
    <row r="428" spans="1:13" ht="15.75" x14ac:dyDescent="0.25">
      <c r="A428" s="77"/>
      <c r="B428" s="78"/>
      <c r="C428" s="80"/>
      <c r="D428" s="80"/>
      <c r="E428" s="80"/>
      <c r="F428" s="80"/>
      <c r="G428" s="80"/>
      <c r="H428" s="80"/>
      <c r="I428" s="80"/>
      <c r="J428" s="80"/>
      <c r="K428" s="80"/>
      <c r="L428" s="80"/>
      <c r="M428" s="84"/>
    </row>
    <row r="429" spans="1:13" ht="15.75" x14ac:dyDescent="0.25">
      <c r="A429" s="77"/>
      <c r="B429" s="78"/>
      <c r="C429" s="80"/>
      <c r="D429" s="80"/>
      <c r="E429" s="80"/>
      <c r="F429" s="80"/>
      <c r="G429" s="80"/>
      <c r="H429" s="80"/>
      <c r="I429" s="80"/>
      <c r="J429" s="80"/>
      <c r="K429" s="80"/>
      <c r="L429" s="80"/>
      <c r="M429" s="84"/>
    </row>
    <row r="430" spans="1:13" ht="15.75" x14ac:dyDescent="0.25">
      <c r="A430" s="77"/>
      <c r="B430" s="78"/>
      <c r="C430" s="80"/>
      <c r="D430" s="80"/>
      <c r="E430" s="80"/>
      <c r="F430" s="80"/>
      <c r="G430" s="80"/>
      <c r="H430" s="80"/>
      <c r="I430" s="80"/>
      <c r="J430" s="80"/>
      <c r="K430" s="80"/>
      <c r="L430" s="80"/>
      <c r="M430" s="84"/>
    </row>
    <row r="431" spans="1:13" ht="15.75" x14ac:dyDescent="0.25">
      <c r="A431" s="77"/>
      <c r="B431" s="78"/>
      <c r="C431" s="80"/>
      <c r="D431" s="80"/>
      <c r="E431" s="80"/>
      <c r="F431" s="80"/>
      <c r="G431" s="80"/>
      <c r="H431" s="80"/>
      <c r="I431" s="80"/>
      <c r="J431" s="80"/>
      <c r="K431" s="80"/>
      <c r="L431" s="80"/>
      <c r="M431" s="84"/>
    </row>
    <row r="432" spans="1:13" ht="15.75" x14ac:dyDescent="0.25">
      <c r="A432" s="77"/>
      <c r="B432" s="78"/>
      <c r="C432" s="80"/>
      <c r="D432" s="80"/>
      <c r="E432" s="80"/>
      <c r="F432" s="80"/>
      <c r="G432" s="80"/>
      <c r="H432" s="80"/>
      <c r="I432" s="80"/>
      <c r="J432" s="80"/>
      <c r="K432" s="80"/>
      <c r="L432" s="80"/>
      <c r="M432" s="84"/>
    </row>
    <row r="433" spans="1:13" ht="15.75" x14ac:dyDescent="0.25">
      <c r="A433" s="77"/>
      <c r="B433" s="78"/>
      <c r="C433" s="80"/>
      <c r="D433" s="80"/>
      <c r="E433" s="80"/>
      <c r="F433" s="80"/>
      <c r="G433" s="80"/>
      <c r="H433" s="80"/>
      <c r="I433" s="80"/>
      <c r="J433" s="80"/>
      <c r="K433" s="80"/>
      <c r="L433" s="80"/>
      <c r="M433" s="84"/>
    </row>
    <row r="434" spans="1:13" ht="15.75" x14ac:dyDescent="0.25">
      <c r="A434" s="77"/>
      <c r="B434" s="78"/>
      <c r="C434" s="80"/>
      <c r="D434" s="80"/>
      <c r="E434" s="80"/>
      <c r="F434" s="80"/>
      <c r="G434" s="80"/>
      <c r="H434" s="80"/>
      <c r="I434" s="80"/>
      <c r="J434" s="80"/>
      <c r="K434" s="80"/>
      <c r="L434" s="80"/>
      <c r="M434" s="84"/>
    </row>
    <row r="435" spans="1:13" ht="15.75" x14ac:dyDescent="0.25">
      <c r="A435" s="77"/>
      <c r="B435" s="78"/>
      <c r="C435" s="80"/>
      <c r="D435" s="80"/>
      <c r="E435" s="80"/>
      <c r="F435" s="80"/>
      <c r="G435" s="80"/>
      <c r="H435" s="80"/>
      <c r="I435" s="80"/>
      <c r="J435" s="80"/>
      <c r="K435" s="80"/>
      <c r="L435" s="80"/>
      <c r="M435" s="84"/>
    </row>
    <row r="436" spans="1:13" ht="15.75" x14ac:dyDescent="0.25">
      <c r="A436" s="77"/>
      <c r="B436" s="78"/>
      <c r="C436" s="80"/>
      <c r="D436" s="80"/>
      <c r="E436" s="80"/>
      <c r="F436" s="80"/>
      <c r="G436" s="80"/>
      <c r="H436" s="80"/>
      <c r="I436" s="80"/>
      <c r="J436" s="80"/>
      <c r="K436" s="80"/>
      <c r="L436" s="80"/>
      <c r="M436" s="84"/>
    </row>
    <row r="437" spans="1:13" ht="15.75" x14ac:dyDescent="0.25">
      <c r="A437" s="77"/>
      <c r="B437" s="78"/>
      <c r="C437" s="80"/>
      <c r="D437" s="80"/>
      <c r="E437" s="80"/>
      <c r="F437" s="80"/>
      <c r="G437" s="80"/>
      <c r="H437" s="80"/>
      <c r="I437" s="80"/>
      <c r="J437" s="80"/>
      <c r="K437" s="80"/>
      <c r="L437" s="80"/>
      <c r="M437" s="84"/>
    </row>
    <row r="438" spans="1:13" ht="15.75" x14ac:dyDescent="0.25">
      <c r="A438" s="77"/>
      <c r="B438" s="78"/>
      <c r="C438" s="80"/>
      <c r="D438" s="80"/>
      <c r="E438" s="80"/>
      <c r="F438" s="80"/>
      <c r="G438" s="80"/>
      <c r="H438" s="80"/>
      <c r="I438" s="80"/>
      <c r="J438" s="80"/>
      <c r="K438" s="80"/>
      <c r="L438" s="80"/>
      <c r="M438" s="84"/>
    </row>
    <row r="439" spans="1:13" ht="15.75" x14ac:dyDescent="0.25">
      <c r="A439" s="77"/>
      <c r="B439" s="78"/>
      <c r="C439" s="80"/>
      <c r="D439" s="80"/>
      <c r="E439" s="80"/>
      <c r="F439" s="80"/>
      <c r="G439" s="80"/>
      <c r="H439" s="80"/>
      <c r="I439" s="80"/>
      <c r="J439" s="80"/>
      <c r="K439" s="80"/>
      <c r="L439" s="80"/>
      <c r="M439" s="84"/>
    </row>
    <row r="440" spans="1:13" ht="15.75" x14ac:dyDescent="0.25">
      <c r="A440" s="77"/>
      <c r="B440" s="78"/>
      <c r="C440" s="80"/>
      <c r="D440" s="80"/>
      <c r="E440" s="80"/>
      <c r="F440" s="80"/>
      <c r="G440" s="80"/>
      <c r="H440" s="80"/>
      <c r="I440" s="80"/>
      <c r="J440" s="80"/>
      <c r="K440" s="80"/>
      <c r="L440" s="80"/>
      <c r="M440" s="84"/>
    </row>
    <row r="441" spans="1:13" ht="15.75" x14ac:dyDescent="0.25">
      <c r="A441" s="77"/>
      <c r="B441" s="78"/>
      <c r="C441" s="80"/>
      <c r="D441" s="80"/>
      <c r="E441" s="80"/>
      <c r="F441" s="80"/>
      <c r="G441" s="80"/>
      <c r="H441" s="80"/>
      <c r="I441" s="80"/>
      <c r="J441" s="80"/>
      <c r="K441" s="80"/>
      <c r="L441" s="80"/>
      <c r="M441" s="84"/>
    </row>
    <row r="442" spans="1:13" ht="15.75" x14ac:dyDescent="0.25">
      <c r="A442" s="77"/>
      <c r="B442" s="78"/>
      <c r="C442" s="80"/>
      <c r="D442" s="80"/>
      <c r="E442" s="80"/>
      <c r="F442" s="80"/>
      <c r="G442" s="80"/>
      <c r="H442" s="80"/>
      <c r="I442" s="80"/>
      <c r="J442" s="80"/>
      <c r="K442" s="80"/>
      <c r="L442" s="80"/>
      <c r="M442" s="84"/>
    </row>
    <row r="443" spans="1:13" ht="15.75" x14ac:dyDescent="0.25">
      <c r="A443" s="77"/>
      <c r="B443" s="78"/>
      <c r="C443" s="80"/>
      <c r="D443" s="80"/>
      <c r="E443" s="80"/>
      <c r="F443" s="80"/>
      <c r="G443" s="80"/>
      <c r="H443" s="80"/>
      <c r="I443" s="80"/>
      <c r="J443" s="80"/>
      <c r="K443" s="80"/>
      <c r="L443" s="80"/>
      <c r="M443" s="84"/>
    </row>
    <row r="444" spans="1:13" ht="15.75" x14ac:dyDescent="0.25">
      <c r="A444" s="77"/>
      <c r="B444" s="78"/>
      <c r="C444" s="80"/>
      <c r="D444" s="80"/>
      <c r="E444" s="80"/>
      <c r="F444" s="80"/>
      <c r="G444" s="80"/>
      <c r="H444" s="80"/>
      <c r="I444" s="80"/>
      <c r="J444" s="80"/>
      <c r="K444" s="80"/>
      <c r="L444" s="80"/>
      <c r="M444" s="84"/>
    </row>
    <row r="445" spans="1:13" ht="15.75" x14ac:dyDescent="0.25">
      <c r="A445" s="77"/>
      <c r="B445" s="78"/>
      <c r="C445" s="80"/>
      <c r="D445" s="80"/>
      <c r="E445" s="80"/>
      <c r="F445" s="80"/>
      <c r="G445" s="80"/>
      <c r="H445" s="80"/>
      <c r="I445" s="80"/>
      <c r="J445" s="80"/>
      <c r="K445" s="80"/>
      <c r="L445" s="80"/>
      <c r="M445" s="84"/>
    </row>
    <row r="446" spans="1:13" ht="15.75" x14ac:dyDescent="0.25">
      <c r="A446" s="77"/>
      <c r="B446" s="78"/>
      <c r="C446" s="80"/>
      <c r="D446" s="80"/>
      <c r="E446" s="80"/>
      <c r="F446" s="80"/>
      <c r="G446" s="80"/>
      <c r="H446" s="80"/>
      <c r="I446" s="80"/>
      <c r="J446" s="80"/>
      <c r="K446" s="80"/>
      <c r="L446" s="80"/>
      <c r="M446" s="84"/>
    </row>
    <row r="447" spans="1:13" ht="15.75" x14ac:dyDescent="0.25">
      <c r="A447" s="77"/>
      <c r="B447" s="78"/>
      <c r="C447" s="80"/>
      <c r="D447" s="80"/>
      <c r="E447" s="80"/>
      <c r="F447" s="80"/>
      <c r="G447" s="80"/>
      <c r="H447" s="80"/>
      <c r="I447" s="80"/>
      <c r="J447" s="80"/>
      <c r="K447" s="80"/>
      <c r="L447" s="80"/>
      <c r="M447" s="84"/>
    </row>
    <row r="448" spans="1:13" ht="15.75" x14ac:dyDescent="0.25">
      <c r="A448" s="77"/>
      <c r="B448" s="78"/>
      <c r="C448" s="80"/>
      <c r="D448" s="80"/>
      <c r="E448" s="80"/>
      <c r="F448" s="80"/>
      <c r="G448" s="80"/>
      <c r="H448" s="80"/>
      <c r="I448" s="80"/>
      <c r="J448" s="80"/>
      <c r="K448" s="80"/>
      <c r="L448" s="80"/>
      <c r="M448" s="84"/>
    </row>
    <row r="449" spans="1:13" ht="15.75" x14ac:dyDescent="0.25">
      <c r="A449" s="77"/>
      <c r="B449" s="78"/>
      <c r="C449" s="80"/>
      <c r="D449" s="80"/>
      <c r="E449" s="80"/>
      <c r="F449" s="80"/>
      <c r="G449" s="80"/>
      <c r="H449" s="80"/>
      <c r="I449" s="80"/>
      <c r="J449" s="80"/>
      <c r="K449" s="80"/>
      <c r="L449" s="80"/>
      <c r="M449" s="84"/>
    </row>
    <row r="450" spans="1:13" ht="15.75" x14ac:dyDescent="0.25">
      <c r="A450" s="77"/>
      <c r="B450" s="78"/>
      <c r="C450" s="80"/>
      <c r="D450" s="80"/>
      <c r="E450" s="80"/>
      <c r="F450" s="80"/>
      <c r="G450" s="80"/>
      <c r="H450" s="80"/>
      <c r="I450" s="80"/>
      <c r="J450" s="80"/>
      <c r="K450" s="80"/>
      <c r="L450" s="80"/>
      <c r="M450" s="84"/>
    </row>
    <row r="451" spans="1:13" ht="15.75" x14ac:dyDescent="0.25">
      <c r="A451" s="77"/>
      <c r="B451" s="78"/>
      <c r="C451" s="80"/>
      <c r="D451" s="80"/>
      <c r="E451" s="80"/>
      <c r="F451" s="80"/>
      <c r="G451" s="80"/>
      <c r="H451" s="80"/>
      <c r="I451" s="80"/>
      <c r="J451" s="80"/>
      <c r="K451" s="80"/>
      <c r="L451" s="80"/>
      <c r="M451" s="84"/>
    </row>
    <row r="452" spans="1:13" ht="15.75" x14ac:dyDescent="0.25">
      <c r="A452" s="77"/>
      <c r="B452" s="78"/>
      <c r="C452" s="80"/>
      <c r="D452" s="80"/>
      <c r="E452" s="80"/>
      <c r="F452" s="80"/>
      <c r="G452" s="80"/>
      <c r="H452" s="80"/>
      <c r="I452" s="80"/>
      <c r="J452" s="80"/>
      <c r="K452" s="80"/>
      <c r="L452" s="80"/>
      <c r="M452" s="84"/>
    </row>
    <row r="453" spans="1:13" ht="15.75" x14ac:dyDescent="0.25">
      <c r="A453" s="77"/>
      <c r="B453" s="78"/>
      <c r="C453" s="80"/>
      <c r="D453" s="80"/>
      <c r="E453" s="80"/>
      <c r="F453" s="80"/>
      <c r="G453" s="80"/>
      <c r="H453" s="80"/>
      <c r="I453" s="80"/>
      <c r="J453" s="80"/>
      <c r="K453" s="80"/>
      <c r="L453" s="80"/>
      <c r="M453" s="84"/>
    </row>
    <row r="454" spans="1:13" ht="15.75" x14ac:dyDescent="0.25">
      <c r="A454" s="77"/>
      <c r="B454" s="78"/>
      <c r="C454" s="80"/>
      <c r="D454" s="80"/>
      <c r="E454" s="80"/>
      <c r="F454" s="80"/>
      <c r="G454" s="80"/>
      <c r="H454" s="80"/>
      <c r="I454" s="80"/>
      <c r="J454" s="80"/>
      <c r="K454" s="80"/>
      <c r="L454" s="80"/>
      <c r="M454" s="84"/>
    </row>
    <row r="455" spans="1:13" ht="15.75" x14ac:dyDescent="0.25">
      <c r="A455" s="77"/>
      <c r="B455" s="78"/>
      <c r="C455" s="80"/>
      <c r="D455" s="80"/>
      <c r="E455" s="80"/>
      <c r="F455" s="80"/>
      <c r="G455" s="80"/>
      <c r="H455" s="80"/>
      <c r="I455" s="80"/>
      <c r="J455" s="80"/>
      <c r="K455" s="80"/>
      <c r="L455" s="80"/>
      <c r="M455" s="84"/>
    </row>
    <row r="456" spans="1:13" ht="15.75" x14ac:dyDescent="0.25">
      <c r="A456" s="77"/>
      <c r="B456" s="78"/>
      <c r="C456" s="80"/>
      <c r="D456" s="80"/>
      <c r="E456" s="80"/>
      <c r="F456" s="80"/>
      <c r="G456" s="80"/>
      <c r="H456" s="80"/>
      <c r="I456" s="80"/>
      <c r="J456" s="80"/>
      <c r="K456" s="80"/>
      <c r="L456" s="80"/>
      <c r="M456" s="84"/>
    </row>
    <row r="457" spans="1:13" ht="15.75" x14ac:dyDescent="0.25">
      <c r="A457" s="77"/>
      <c r="B457" s="78"/>
      <c r="C457" s="80"/>
      <c r="D457" s="80"/>
      <c r="E457" s="80"/>
      <c r="F457" s="80"/>
      <c r="G457" s="80"/>
      <c r="H457" s="80"/>
      <c r="I457" s="80"/>
      <c r="J457" s="80"/>
      <c r="K457" s="80"/>
      <c r="L457" s="80"/>
      <c r="M457" s="84"/>
    </row>
    <row r="458" spans="1:13" ht="15.75" x14ac:dyDescent="0.25">
      <c r="A458" s="77"/>
      <c r="B458" s="78"/>
      <c r="C458" s="80"/>
      <c r="D458" s="80"/>
      <c r="E458" s="80"/>
      <c r="F458" s="80"/>
      <c r="G458" s="80"/>
      <c r="H458" s="80"/>
      <c r="I458" s="80"/>
      <c r="J458" s="80"/>
      <c r="K458" s="80"/>
      <c r="L458" s="80"/>
      <c r="M458" s="84"/>
    </row>
    <row r="459" spans="1:13" ht="15.75" x14ac:dyDescent="0.25">
      <c r="A459" s="77"/>
      <c r="B459" s="78"/>
      <c r="C459" s="80"/>
      <c r="D459" s="80"/>
      <c r="E459" s="80"/>
      <c r="F459" s="80"/>
      <c r="G459" s="80"/>
      <c r="H459" s="80"/>
      <c r="I459" s="80"/>
      <c r="J459" s="80"/>
      <c r="K459" s="80"/>
      <c r="L459" s="80"/>
      <c r="M459" s="84"/>
    </row>
    <row r="460" spans="1:13" ht="15.75" x14ac:dyDescent="0.25">
      <c r="A460" s="77"/>
      <c r="B460" s="78"/>
      <c r="C460" s="80"/>
      <c r="D460" s="80"/>
      <c r="E460" s="80"/>
      <c r="F460" s="80"/>
      <c r="G460" s="80"/>
      <c r="H460" s="80"/>
      <c r="I460" s="80"/>
      <c r="J460" s="80"/>
      <c r="K460" s="80"/>
      <c r="L460" s="80"/>
      <c r="M460" s="84"/>
    </row>
    <row r="461" spans="1:13" ht="15.75" x14ac:dyDescent="0.25">
      <c r="A461" s="77"/>
      <c r="B461" s="78"/>
      <c r="C461" s="80"/>
      <c r="D461" s="80"/>
      <c r="E461" s="80"/>
      <c r="F461" s="80"/>
      <c r="G461" s="80"/>
      <c r="H461" s="80"/>
      <c r="I461" s="80"/>
      <c r="J461" s="80"/>
      <c r="K461" s="80"/>
      <c r="L461" s="80"/>
      <c r="M461" s="84"/>
    </row>
    <row r="462" spans="1:13" ht="15.75" x14ac:dyDescent="0.25">
      <c r="A462" s="77"/>
      <c r="B462" s="78"/>
      <c r="C462" s="80"/>
      <c r="D462" s="80"/>
      <c r="E462" s="80"/>
      <c r="F462" s="80"/>
      <c r="G462" s="80"/>
      <c r="H462" s="80"/>
      <c r="I462" s="80"/>
      <c r="J462" s="80"/>
      <c r="K462" s="80"/>
      <c r="L462" s="80"/>
      <c r="M462" s="84"/>
    </row>
    <row r="463" spans="1:13" ht="15.75" x14ac:dyDescent="0.25">
      <c r="A463" s="77"/>
      <c r="B463" s="78"/>
      <c r="C463" s="80"/>
      <c r="D463" s="80"/>
      <c r="E463" s="80"/>
      <c r="F463" s="80"/>
      <c r="G463" s="80"/>
      <c r="H463" s="80"/>
      <c r="I463" s="80"/>
      <c r="J463" s="80"/>
      <c r="K463" s="80"/>
      <c r="L463" s="80"/>
      <c r="M463" s="84"/>
    </row>
    <row r="464" spans="1:13" ht="15.75" x14ac:dyDescent="0.25">
      <c r="A464" s="77"/>
      <c r="B464" s="78"/>
      <c r="C464" s="80"/>
      <c r="D464" s="80"/>
      <c r="E464" s="80"/>
      <c r="F464" s="80"/>
      <c r="G464" s="80"/>
      <c r="H464" s="80"/>
      <c r="I464" s="80"/>
      <c r="J464" s="80"/>
      <c r="K464" s="80"/>
      <c r="L464" s="80"/>
      <c r="M464" s="84"/>
    </row>
    <row r="465" spans="1:13" ht="15.75" x14ac:dyDescent="0.25">
      <c r="A465" s="77"/>
      <c r="B465" s="78"/>
      <c r="C465" s="80"/>
      <c r="D465" s="80"/>
      <c r="E465" s="80"/>
      <c r="F465" s="80"/>
      <c r="G465" s="80"/>
      <c r="H465" s="80"/>
      <c r="I465" s="80"/>
      <c r="J465" s="80"/>
      <c r="K465" s="80"/>
      <c r="L465" s="80"/>
      <c r="M465" s="84"/>
    </row>
    <row r="466" spans="1:13" ht="15.75" x14ac:dyDescent="0.25">
      <c r="A466" s="77"/>
      <c r="B466" s="78"/>
      <c r="C466" s="80"/>
      <c r="D466" s="80"/>
      <c r="E466" s="80"/>
      <c r="F466" s="80"/>
      <c r="G466" s="80"/>
      <c r="H466" s="80"/>
      <c r="I466" s="80"/>
      <c r="J466" s="80"/>
      <c r="K466" s="80"/>
      <c r="L466" s="80"/>
      <c r="M466" s="84"/>
    </row>
    <row r="467" spans="1:13" ht="15.75" x14ac:dyDescent="0.25">
      <c r="A467" s="77"/>
      <c r="B467" s="78"/>
      <c r="C467" s="80"/>
      <c r="D467" s="80"/>
      <c r="E467" s="80"/>
      <c r="F467" s="80"/>
      <c r="G467" s="80"/>
      <c r="H467" s="80"/>
      <c r="I467" s="80"/>
      <c r="J467" s="80"/>
      <c r="K467" s="80"/>
      <c r="L467" s="80"/>
      <c r="M467" s="84"/>
    </row>
    <row r="468" spans="1:13" ht="15.75" x14ac:dyDescent="0.25">
      <c r="A468" s="77"/>
      <c r="B468" s="78"/>
      <c r="C468" s="80"/>
      <c r="D468" s="80"/>
      <c r="E468" s="80"/>
      <c r="F468" s="80"/>
      <c r="G468" s="80"/>
      <c r="H468" s="80"/>
      <c r="I468" s="80"/>
      <c r="J468" s="80"/>
      <c r="K468" s="80"/>
      <c r="L468" s="80"/>
      <c r="M468" s="84"/>
    </row>
    <row r="469" spans="1:13" ht="15.75" x14ac:dyDescent="0.25">
      <c r="A469" s="77"/>
      <c r="B469" s="78"/>
      <c r="C469" s="80"/>
      <c r="D469" s="80"/>
      <c r="E469" s="80"/>
      <c r="F469" s="80"/>
      <c r="G469" s="80"/>
      <c r="H469" s="80"/>
      <c r="I469" s="80"/>
      <c r="J469" s="80"/>
      <c r="K469" s="80"/>
      <c r="L469" s="80"/>
      <c r="M469" s="84"/>
    </row>
    <row r="470" spans="1:13" ht="15.75" x14ac:dyDescent="0.25">
      <c r="A470" s="77"/>
      <c r="B470" s="78"/>
      <c r="C470" s="80"/>
      <c r="D470" s="80"/>
      <c r="E470" s="80"/>
      <c r="F470" s="80"/>
      <c r="G470" s="80"/>
      <c r="H470" s="80"/>
      <c r="I470" s="80"/>
      <c r="J470" s="80"/>
      <c r="K470" s="80"/>
      <c r="L470" s="80"/>
      <c r="M470" s="84"/>
    </row>
    <row r="471" spans="1:13" ht="15.75" x14ac:dyDescent="0.25">
      <c r="A471" s="77"/>
      <c r="B471" s="78"/>
      <c r="C471" s="80"/>
      <c r="D471" s="80"/>
      <c r="E471" s="80"/>
      <c r="F471" s="80"/>
      <c r="G471" s="80"/>
      <c r="H471" s="80"/>
      <c r="I471" s="80"/>
      <c r="J471" s="80"/>
      <c r="K471" s="80"/>
      <c r="L471" s="80"/>
      <c r="M471" s="84"/>
    </row>
    <row r="472" spans="1:13" ht="15.75" x14ac:dyDescent="0.25">
      <c r="A472" s="77"/>
      <c r="B472" s="78"/>
      <c r="C472" s="80"/>
      <c r="D472" s="80"/>
      <c r="E472" s="80"/>
      <c r="F472" s="80"/>
      <c r="G472" s="80"/>
      <c r="H472" s="80"/>
      <c r="I472" s="80"/>
      <c r="J472" s="80"/>
      <c r="K472" s="80"/>
      <c r="L472" s="80"/>
      <c r="M472" s="84"/>
    </row>
    <row r="473" spans="1:13" ht="15.75" x14ac:dyDescent="0.25">
      <c r="A473" s="77"/>
      <c r="B473" s="78"/>
      <c r="C473" s="80"/>
      <c r="D473" s="80"/>
      <c r="E473" s="80"/>
      <c r="F473" s="80"/>
      <c r="G473" s="80"/>
      <c r="H473" s="80"/>
      <c r="I473" s="80"/>
      <c r="J473" s="80"/>
      <c r="K473" s="80"/>
      <c r="L473" s="80"/>
      <c r="M473" s="84"/>
    </row>
    <row r="474" spans="1:13" ht="15.75" x14ac:dyDescent="0.25">
      <c r="A474" s="77"/>
      <c r="B474" s="78"/>
      <c r="C474" s="80"/>
      <c r="D474" s="80"/>
      <c r="E474" s="80"/>
      <c r="F474" s="80"/>
      <c r="G474" s="80"/>
      <c r="H474" s="80"/>
      <c r="I474" s="80"/>
      <c r="J474" s="80"/>
      <c r="K474" s="80"/>
      <c r="L474" s="80"/>
      <c r="M474" s="84"/>
    </row>
    <row r="475" spans="1:13" ht="15.75" x14ac:dyDescent="0.25">
      <c r="A475" s="77"/>
      <c r="B475" s="78"/>
      <c r="C475" s="80"/>
      <c r="D475" s="80"/>
      <c r="E475" s="80"/>
      <c r="F475" s="80"/>
      <c r="G475" s="80"/>
      <c r="H475" s="80"/>
      <c r="I475" s="80"/>
      <c r="J475" s="80"/>
      <c r="K475" s="80"/>
      <c r="L475" s="80"/>
      <c r="M475" s="84"/>
    </row>
    <row r="476" spans="1:13" ht="15.75" x14ac:dyDescent="0.25">
      <c r="A476" s="77"/>
      <c r="B476" s="78"/>
      <c r="C476" s="80"/>
      <c r="D476" s="80"/>
      <c r="E476" s="80"/>
      <c r="F476" s="80"/>
      <c r="G476" s="80"/>
      <c r="H476" s="80"/>
      <c r="I476" s="80"/>
      <c r="J476" s="80"/>
      <c r="K476" s="80"/>
      <c r="L476" s="80"/>
      <c r="M476" s="84"/>
    </row>
    <row r="477" spans="1:13" ht="15.75" x14ac:dyDescent="0.25">
      <c r="A477" s="77"/>
      <c r="B477" s="78"/>
      <c r="C477" s="80"/>
      <c r="D477" s="80"/>
      <c r="E477" s="80"/>
      <c r="F477" s="80"/>
      <c r="G477" s="80"/>
      <c r="H477" s="80"/>
      <c r="I477" s="80"/>
      <c r="J477" s="80"/>
      <c r="K477" s="80"/>
      <c r="L477" s="80"/>
      <c r="M477" s="84"/>
    </row>
    <row r="478" spans="1:13" ht="15.75" x14ac:dyDescent="0.25">
      <c r="A478" s="77"/>
      <c r="B478" s="78"/>
      <c r="C478" s="80"/>
      <c r="D478" s="80"/>
      <c r="E478" s="80"/>
      <c r="F478" s="80"/>
      <c r="G478" s="80"/>
      <c r="H478" s="80"/>
      <c r="I478" s="80"/>
      <c r="J478" s="80"/>
      <c r="K478" s="80"/>
      <c r="L478" s="80"/>
      <c r="M478" s="84"/>
    </row>
    <row r="479" spans="1:13" ht="15.75" x14ac:dyDescent="0.25">
      <c r="A479" s="77"/>
      <c r="B479" s="78"/>
      <c r="C479" s="80"/>
      <c r="D479" s="80"/>
      <c r="E479" s="80"/>
      <c r="F479" s="80"/>
      <c r="G479" s="80"/>
      <c r="H479" s="80"/>
      <c r="I479" s="80"/>
      <c r="J479" s="80"/>
      <c r="K479" s="80"/>
      <c r="L479" s="80"/>
      <c r="M479" s="84"/>
    </row>
    <row r="480" spans="1:13" ht="15.75" x14ac:dyDescent="0.25">
      <c r="A480" s="77"/>
      <c r="B480" s="78"/>
      <c r="C480" s="80"/>
      <c r="D480" s="80"/>
      <c r="E480" s="80"/>
      <c r="F480" s="80"/>
      <c r="G480" s="80"/>
      <c r="H480" s="80"/>
      <c r="I480" s="80"/>
      <c r="J480" s="80"/>
      <c r="K480" s="80"/>
      <c r="L480" s="80"/>
      <c r="M480" s="84"/>
    </row>
    <row r="481" spans="1:13" ht="15.75" x14ac:dyDescent="0.25">
      <c r="A481" s="77"/>
      <c r="B481" s="78"/>
      <c r="C481" s="80"/>
      <c r="D481" s="80"/>
      <c r="E481" s="80"/>
      <c r="F481" s="80"/>
      <c r="G481" s="80"/>
      <c r="H481" s="80"/>
      <c r="I481" s="80"/>
      <c r="J481" s="80"/>
      <c r="K481" s="80"/>
      <c r="L481" s="80"/>
      <c r="M481" s="84"/>
    </row>
    <row r="482" spans="1:13" ht="15.75" x14ac:dyDescent="0.25">
      <c r="A482" s="77"/>
      <c r="B482" s="78"/>
      <c r="C482" s="80"/>
      <c r="D482" s="80"/>
      <c r="E482" s="80"/>
      <c r="F482" s="80"/>
      <c r="G482" s="80"/>
      <c r="H482" s="80"/>
      <c r="I482" s="80"/>
      <c r="J482" s="80"/>
      <c r="K482" s="80"/>
      <c r="L482" s="80"/>
      <c r="M482" s="84"/>
    </row>
    <row r="483" spans="1:13" ht="15.75" x14ac:dyDescent="0.25">
      <c r="A483" s="77"/>
      <c r="B483" s="78"/>
      <c r="C483" s="80"/>
      <c r="D483" s="80"/>
      <c r="E483" s="80"/>
      <c r="F483" s="80"/>
      <c r="G483" s="80"/>
      <c r="H483" s="80"/>
      <c r="I483" s="80"/>
      <c r="J483" s="80"/>
      <c r="K483" s="80"/>
      <c r="L483" s="80"/>
      <c r="M483" s="84"/>
    </row>
    <row r="484" spans="1:13" ht="15.75" x14ac:dyDescent="0.25">
      <c r="A484" s="77"/>
      <c r="B484" s="78"/>
      <c r="C484" s="80"/>
      <c r="D484" s="80"/>
      <c r="E484" s="80"/>
      <c r="F484" s="80"/>
      <c r="G484" s="80"/>
      <c r="H484" s="80"/>
      <c r="I484" s="80"/>
      <c r="J484" s="80"/>
      <c r="K484" s="80"/>
      <c r="L484" s="80"/>
      <c r="M484" s="84"/>
    </row>
    <row r="485" spans="1:13" ht="15.75" x14ac:dyDescent="0.25">
      <c r="A485" s="77"/>
      <c r="B485" s="78"/>
      <c r="C485" s="80"/>
      <c r="D485" s="80"/>
      <c r="E485" s="80"/>
      <c r="F485" s="80"/>
      <c r="G485" s="80"/>
      <c r="H485" s="80"/>
      <c r="I485" s="80"/>
      <c r="J485" s="80"/>
      <c r="K485" s="80"/>
      <c r="L485" s="80"/>
      <c r="M485" s="84"/>
    </row>
    <row r="486" spans="1:13" ht="15.75" x14ac:dyDescent="0.25">
      <c r="A486" s="77"/>
      <c r="B486" s="78"/>
      <c r="C486" s="80"/>
      <c r="D486" s="80"/>
      <c r="E486" s="80"/>
      <c r="F486" s="80"/>
      <c r="G486" s="80"/>
      <c r="H486" s="80"/>
      <c r="I486" s="80"/>
      <c r="J486" s="80"/>
      <c r="K486" s="80"/>
      <c r="L486" s="80"/>
      <c r="M486" s="84"/>
    </row>
    <row r="487" spans="1:13" ht="15.75" x14ac:dyDescent="0.25">
      <c r="A487" s="77"/>
      <c r="B487" s="78"/>
      <c r="C487" s="80"/>
      <c r="D487" s="80"/>
      <c r="E487" s="80"/>
      <c r="F487" s="80"/>
      <c r="G487" s="80"/>
      <c r="H487" s="80"/>
      <c r="I487" s="80"/>
      <c r="J487" s="80"/>
      <c r="K487" s="80"/>
      <c r="L487" s="80"/>
      <c r="M487" s="84"/>
    </row>
    <row r="488" spans="1:13" ht="15.75" x14ac:dyDescent="0.25">
      <c r="A488" s="77"/>
      <c r="B488" s="78"/>
      <c r="C488" s="80"/>
      <c r="D488" s="80"/>
      <c r="E488" s="80"/>
      <c r="F488" s="80"/>
      <c r="G488" s="80"/>
      <c r="H488" s="80"/>
      <c r="I488" s="80"/>
      <c r="J488" s="80"/>
      <c r="K488" s="80"/>
      <c r="L488" s="80"/>
      <c r="M488" s="84"/>
    </row>
    <row r="489" spans="1:13" ht="15.75" x14ac:dyDescent="0.25">
      <c r="A489" s="77"/>
      <c r="B489" s="78"/>
      <c r="C489" s="80"/>
      <c r="D489" s="80"/>
      <c r="E489" s="80"/>
      <c r="F489" s="80"/>
      <c r="G489" s="80"/>
      <c r="H489" s="80"/>
      <c r="I489" s="80"/>
      <c r="J489" s="80"/>
      <c r="K489" s="80"/>
      <c r="L489" s="80"/>
      <c r="M489" s="84"/>
    </row>
    <row r="490" spans="1:13" ht="15.75" x14ac:dyDescent="0.25">
      <c r="A490" s="77"/>
      <c r="B490" s="78"/>
      <c r="C490" s="80"/>
      <c r="D490" s="80"/>
      <c r="E490" s="80"/>
      <c r="F490" s="80"/>
      <c r="G490" s="80"/>
      <c r="H490" s="80"/>
      <c r="I490" s="80"/>
      <c r="J490" s="80"/>
      <c r="K490" s="80"/>
      <c r="L490" s="80"/>
      <c r="M490" s="84"/>
    </row>
    <row r="491" spans="1:13" ht="15.75" x14ac:dyDescent="0.25">
      <c r="A491" s="77"/>
      <c r="B491" s="78"/>
      <c r="C491" s="80"/>
      <c r="D491" s="80"/>
      <c r="E491" s="80"/>
      <c r="F491" s="80"/>
      <c r="G491" s="80"/>
      <c r="H491" s="80"/>
      <c r="I491" s="80"/>
      <c r="J491" s="80"/>
      <c r="K491" s="80"/>
      <c r="L491" s="80"/>
      <c r="M491" s="84"/>
    </row>
    <row r="492" spans="1:13" ht="15.75" x14ac:dyDescent="0.25">
      <c r="A492" s="77"/>
      <c r="B492" s="78"/>
      <c r="C492" s="80"/>
      <c r="D492" s="80"/>
      <c r="E492" s="80"/>
      <c r="F492" s="80"/>
      <c r="G492" s="80"/>
      <c r="H492" s="80"/>
      <c r="I492" s="80"/>
      <c r="J492" s="80"/>
      <c r="K492" s="80"/>
      <c r="L492" s="80"/>
      <c r="M492" s="84"/>
    </row>
    <row r="493" spans="1:13" ht="15.75" x14ac:dyDescent="0.25">
      <c r="A493" s="77"/>
      <c r="B493" s="78"/>
      <c r="C493" s="80"/>
      <c r="D493" s="80"/>
      <c r="E493" s="80"/>
      <c r="F493" s="80"/>
      <c r="G493" s="80"/>
      <c r="H493" s="80"/>
      <c r="I493" s="80"/>
      <c r="J493" s="80"/>
      <c r="K493" s="80"/>
      <c r="L493" s="80"/>
      <c r="M493" s="84"/>
    </row>
    <row r="494" spans="1:13" ht="15.75" x14ac:dyDescent="0.25">
      <c r="A494" s="77"/>
      <c r="B494" s="78"/>
      <c r="C494" s="80"/>
      <c r="D494" s="80"/>
      <c r="E494" s="80"/>
      <c r="F494" s="80"/>
      <c r="G494" s="80"/>
      <c r="H494" s="80"/>
      <c r="I494" s="80"/>
      <c r="J494" s="80"/>
      <c r="K494" s="80"/>
      <c r="L494" s="80"/>
      <c r="M494" s="84"/>
    </row>
    <row r="495" spans="1:13" ht="15.75" x14ac:dyDescent="0.25">
      <c r="A495" s="77"/>
      <c r="B495" s="78"/>
      <c r="C495" s="80"/>
      <c r="D495" s="80"/>
      <c r="E495" s="80"/>
      <c r="F495" s="80"/>
      <c r="G495" s="80"/>
      <c r="H495" s="80"/>
      <c r="I495" s="80"/>
      <c r="J495" s="80"/>
      <c r="K495" s="80"/>
      <c r="L495" s="80"/>
      <c r="M495" s="84"/>
    </row>
    <row r="496" spans="1:13" ht="15.75" x14ac:dyDescent="0.25">
      <c r="A496" s="77"/>
      <c r="B496" s="78"/>
      <c r="C496" s="80"/>
      <c r="D496" s="80"/>
      <c r="E496" s="80"/>
      <c r="F496" s="80"/>
      <c r="G496" s="80"/>
      <c r="H496" s="80"/>
      <c r="I496" s="80"/>
      <c r="J496" s="80"/>
      <c r="K496" s="80"/>
      <c r="L496" s="80"/>
      <c r="M496" s="84"/>
    </row>
    <row r="497" spans="1:13" ht="15.75" x14ac:dyDescent="0.25">
      <c r="A497" s="77"/>
      <c r="B497" s="78"/>
      <c r="C497" s="80"/>
      <c r="D497" s="80"/>
      <c r="E497" s="80"/>
      <c r="F497" s="80"/>
      <c r="G497" s="80"/>
      <c r="H497" s="80"/>
      <c r="I497" s="80"/>
      <c r="J497" s="80"/>
      <c r="K497" s="80"/>
      <c r="L497" s="80"/>
      <c r="M497" s="84"/>
    </row>
    <row r="498" spans="1:13" ht="15.75" x14ac:dyDescent="0.25">
      <c r="A498" s="77"/>
      <c r="B498" s="78"/>
      <c r="C498" s="80"/>
      <c r="D498" s="80"/>
      <c r="E498" s="80"/>
      <c r="F498" s="80"/>
      <c r="G498" s="80"/>
      <c r="H498" s="80"/>
      <c r="I498" s="80"/>
      <c r="J498" s="80"/>
      <c r="K498" s="80"/>
      <c r="L498" s="80"/>
      <c r="M498" s="84"/>
    </row>
    <row r="499" spans="1:13" ht="15.75" x14ac:dyDescent="0.25">
      <c r="A499" s="77"/>
      <c r="B499" s="78"/>
      <c r="C499" s="80"/>
      <c r="D499" s="80"/>
      <c r="E499" s="80"/>
      <c r="F499" s="80"/>
      <c r="G499" s="80"/>
      <c r="H499" s="80"/>
      <c r="I499" s="80"/>
      <c r="J499" s="80"/>
      <c r="K499" s="80"/>
      <c r="L499" s="80"/>
      <c r="M499" s="84"/>
    </row>
    <row r="500" spans="1:13" ht="15.75" x14ac:dyDescent="0.25">
      <c r="A500" s="77"/>
      <c r="B500" s="78"/>
      <c r="C500" s="80"/>
      <c r="D500" s="80"/>
      <c r="E500" s="80"/>
      <c r="F500" s="80"/>
      <c r="G500" s="80"/>
      <c r="H500" s="80"/>
      <c r="I500" s="80"/>
      <c r="J500" s="80"/>
      <c r="K500" s="80"/>
      <c r="L500" s="80"/>
      <c r="M500" s="84"/>
    </row>
    <row r="501" spans="1:13" ht="15.75" x14ac:dyDescent="0.25">
      <c r="A501" s="77"/>
      <c r="B501" s="78"/>
      <c r="C501" s="80"/>
      <c r="D501" s="80"/>
      <c r="E501" s="80"/>
      <c r="F501" s="80"/>
      <c r="G501" s="80"/>
      <c r="H501" s="80"/>
      <c r="I501" s="80"/>
      <c r="J501" s="80"/>
      <c r="K501" s="80"/>
      <c r="L501" s="80"/>
      <c r="M501" s="84"/>
    </row>
    <row r="502" spans="1:13" ht="15.75" x14ac:dyDescent="0.25">
      <c r="A502" s="77"/>
      <c r="B502" s="78"/>
      <c r="C502" s="80"/>
      <c r="D502" s="80"/>
      <c r="E502" s="80"/>
      <c r="F502" s="80"/>
      <c r="G502" s="80"/>
      <c r="H502" s="80"/>
      <c r="I502" s="80"/>
      <c r="J502" s="80"/>
      <c r="K502" s="80"/>
      <c r="L502" s="80"/>
      <c r="M502" s="84"/>
    </row>
    <row r="503" spans="1:13" ht="15.75" x14ac:dyDescent="0.25">
      <c r="A503" s="77"/>
      <c r="B503" s="78"/>
      <c r="C503" s="80"/>
      <c r="D503" s="80"/>
      <c r="E503" s="80"/>
      <c r="F503" s="80"/>
      <c r="G503" s="80"/>
      <c r="H503" s="80"/>
      <c r="I503" s="80"/>
      <c r="J503" s="80"/>
      <c r="K503" s="80"/>
      <c r="L503" s="80"/>
      <c r="M503" s="84"/>
    </row>
    <row r="504" spans="1:13" ht="15.75" x14ac:dyDescent="0.25">
      <c r="A504" s="77"/>
      <c r="B504" s="78"/>
      <c r="C504" s="80"/>
      <c r="D504" s="80"/>
      <c r="E504" s="80"/>
      <c r="F504" s="80"/>
      <c r="G504" s="80"/>
      <c r="H504" s="80"/>
      <c r="I504" s="80"/>
      <c r="J504" s="80"/>
      <c r="K504" s="80"/>
      <c r="L504" s="80"/>
      <c r="M504" s="84"/>
    </row>
    <row r="505" spans="1:13" ht="15.75" x14ac:dyDescent="0.25">
      <c r="A505" s="77"/>
      <c r="B505" s="78"/>
      <c r="C505" s="80"/>
      <c r="D505" s="80"/>
      <c r="E505" s="80"/>
      <c r="F505" s="80"/>
      <c r="G505" s="80"/>
      <c r="H505" s="80"/>
      <c r="I505" s="80"/>
      <c r="J505" s="80"/>
      <c r="K505" s="80"/>
      <c r="L505" s="80"/>
      <c r="M505" s="84"/>
    </row>
    <row r="506" spans="1:13" ht="15.75" x14ac:dyDescent="0.25">
      <c r="A506" s="77"/>
      <c r="B506" s="78"/>
      <c r="C506" s="80"/>
      <c r="D506" s="80"/>
      <c r="E506" s="80"/>
      <c r="F506" s="80"/>
      <c r="G506" s="80"/>
      <c r="H506" s="80"/>
      <c r="I506" s="80"/>
      <c r="J506" s="80"/>
      <c r="K506" s="80"/>
      <c r="L506" s="80"/>
      <c r="M506" s="84"/>
    </row>
    <row r="507" spans="1:13" ht="15.75" x14ac:dyDescent="0.25">
      <c r="A507" s="77"/>
      <c r="B507" s="78"/>
      <c r="C507" s="80"/>
      <c r="D507" s="80"/>
      <c r="E507" s="80"/>
      <c r="F507" s="80"/>
      <c r="G507" s="80"/>
      <c r="H507" s="80"/>
      <c r="I507" s="80"/>
      <c r="J507" s="80"/>
      <c r="K507" s="80"/>
      <c r="L507" s="80"/>
      <c r="M507" s="84"/>
    </row>
    <row r="508" spans="1:13" ht="15.75" x14ac:dyDescent="0.25">
      <c r="A508" s="77"/>
      <c r="B508" s="78"/>
      <c r="C508" s="80"/>
      <c r="D508" s="80"/>
      <c r="E508" s="80"/>
      <c r="F508" s="80"/>
      <c r="G508" s="80"/>
      <c r="H508" s="80"/>
      <c r="I508" s="80"/>
      <c r="J508" s="80"/>
      <c r="K508" s="80"/>
      <c r="L508" s="80"/>
      <c r="M508" s="84"/>
    </row>
    <row r="509" spans="1:13" ht="15.75" x14ac:dyDescent="0.25">
      <c r="A509" s="77"/>
      <c r="B509" s="78"/>
      <c r="C509" s="80"/>
      <c r="D509" s="80"/>
      <c r="E509" s="80"/>
      <c r="F509" s="80"/>
      <c r="G509" s="80"/>
      <c r="H509" s="80"/>
      <c r="I509" s="80"/>
      <c r="J509" s="80"/>
      <c r="K509" s="80"/>
      <c r="L509" s="80"/>
      <c r="M509" s="84"/>
    </row>
    <row r="510" spans="1:13" ht="15.75" x14ac:dyDescent="0.25">
      <c r="A510" s="77"/>
      <c r="B510" s="78"/>
      <c r="C510" s="80"/>
      <c r="D510" s="80"/>
      <c r="E510" s="80"/>
      <c r="F510" s="80"/>
      <c r="G510" s="80"/>
      <c r="H510" s="80"/>
      <c r="I510" s="80"/>
      <c r="J510" s="80"/>
      <c r="K510" s="80"/>
      <c r="L510" s="80"/>
      <c r="M510" s="84"/>
    </row>
    <row r="511" spans="1:13" ht="15.75" x14ac:dyDescent="0.25">
      <c r="A511" s="77"/>
      <c r="B511" s="78"/>
      <c r="C511" s="80"/>
      <c r="D511" s="80"/>
      <c r="E511" s="80"/>
      <c r="F511" s="80"/>
      <c r="G511" s="80"/>
      <c r="H511" s="80"/>
      <c r="I511" s="80"/>
      <c r="J511" s="80"/>
      <c r="K511" s="80"/>
      <c r="L511" s="80"/>
      <c r="M511" s="84"/>
    </row>
    <row r="512" spans="1:13" ht="15.75" x14ac:dyDescent="0.25">
      <c r="A512" s="77"/>
      <c r="B512" s="78"/>
      <c r="C512" s="80"/>
      <c r="D512" s="80"/>
      <c r="E512" s="80"/>
      <c r="F512" s="80"/>
      <c r="G512" s="80"/>
      <c r="H512" s="80"/>
      <c r="I512" s="80"/>
      <c r="J512" s="80"/>
      <c r="K512" s="80"/>
      <c r="L512" s="80"/>
      <c r="M512" s="84"/>
    </row>
    <row r="513" spans="1:13" ht="15.75" x14ac:dyDescent="0.25">
      <c r="A513" s="77"/>
      <c r="B513" s="78"/>
      <c r="C513" s="80"/>
      <c r="D513" s="80"/>
      <c r="E513" s="80"/>
      <c r="F513" s="80"/>
      <c r="G513" s="80"/>
      <c r="H513" s="80"/>
      <c r="I513" s="80"/>
      <c r="J513" s="80"/>
      <c r="K513" s="80"/>
      <c r="L513" s="80"/>
      <c r="M513" s="84"/>
    </row>
    <row r="514" spans="1:13" ht="15.75" x14ac:dyDescent="0.25">
      <c r="A514" s="77"/>
      <c r="B514" s="78"/>
      <c r="C514" s="80"/>
      <c r="D514" s="80"/>
      <c r="E514" s="80"/>
      <c r="F514" s="80"/>
      <c r="G514" s="80"/>
      <c r="H514" s="80"/>
      <c r="I514" s="80"/>
      <c r="J514" s="80"/>
      <c r="K514" s="80"/>
      <c r="L514" s="80"/>
      <c r="M514" s="84"/>
    </row>
    <row r="515" spans="1:13" ht="15.75" x14ac:dyDescent="0.25">
      <c r="A515" s="77"/>
      <c r="B515" s="78"/>
      <c r="C515" s="80"/>
      <c r="D515" s="80"/>
      <c r="E515" s="80"/>
      <c r="F515" s="80"/>
      <c r="G515" s="80"/>
      <c r="H515" s="80"/>
      <c r="I515" s="80"/>
      <c r="J515" s="80"/>
      <c r="K515" s="80"/>
      <c r="L515" s="80"/>
      <c r="M515" s="84"/>
    </row>
    <row r="516" spans="1:13" ht="15.75" x14ac:dyDescent="0.25">
      <c r="A516" s="77"/>
      <c r="B516" s="78"/>
      <c r="C516" s="80"/>
      <c r="D516" s="80"/>
      <c r="E516" s="80"/>
      <c r="F516" s="80"/>
      <c r="G516" s="80"/>
      <c r="H516" s="80"/>
      <c r="I516" s="80"/>
      <c r="J516" s="80"/>
      <c r="K516" s="80"/>
      <c r="L516" s="80"/>
      <c r="M516" s="84"/>
    </row>
    <row r="517" spans="1:13" ht="15.75" x14ac:dyDescent="0.25">
      <c r="A517" s="77"/>
      <c r="B517" s="78"/>
      <c r="C517" s="80"/>
      <c r="D517" s="80"/>
      <c r="E517" s="80"/>
      <c r="F517" s="80"/>
      <c r="G517" s="80"/>
      <c r="H517" s="80"/>
      <c r="I517" s="80"/>
      <c r="J517" s="80"/>
      <c r="K517" s="80"/>
      <c r="L517" s="80"/>
      <c r="M517" s="84"/>
    </row>
    <row r="518" spans="1:13" ht="15.75" x14ac:dyDescent="0.25">
      <c r="A518" s="77"/>
      <c r="B518" s="78"/>
      <c r="C518" s="80"/>
      <c r="D518" s="80"/>
      <c r="E518" s="80"/>
      <c r="F518" s="80"/>
      <c r="G518" s="80"/>
      <c r="H518" s="80"/>
      <c r="I518" s="80"/>
      <c r="J518" s="80"/>
      <c r="K518" s="80"/>
      <c r="L518" s="80"/>
      <c r="M518" s="84"/>
    </row>
    <row r="519" spans="1:13" ht="15.75" x14ac:dyDescent="0.25">
      <c r="A519" s="77"/>
      <c r="B519" s="78"/>
      <c r="C519" s="80"/>
      <c r="D519" s="80"/>
      <c r="E519" s="80"/>
      <c r="F519" s="80"/>
      <c r="G519" s="80"/>
      <c r="H519" s="80"/>
      <c r="I519" s="80"/>
      <c r="J519" s="80"/>
      <c r="K519" s="80"/>
      <c r="L519" s="80"/>
      <c r="M519" s="84"/>
    </row>
    <row r="520" spans="1:13" ht="15.75" x14ac:dyDescent="0.25">
      <c r="A520" s="77"/>
      <c r="B520" s="78"/>
      <c r="C520" s="80"/>
      <c r="D520" s="80"/>
      <c r="E520" s="80"/>
      <c r="F520" s="80"/>
      <c r="G520" s="80"/>
      <c r="H520" s="80"/>
      <c r="I520" s="80"/>
      <c r="J520" s="80"/>
      <c r="K520" s="80"/>
      <c r="L520" s="80"/>
      <c r="M520" s="84"/>
    </row>
    <row r="521" spans="1:13" ht="15.75" x14ac:dyDescent="0.25">
      <c r="A521" s="77"/>
      <c r="B521" s="78"/>
      <c r="C521" s="80"/>
      <c r="D521" s="80"/>
      <c r="E521" s="80"/>
      <c r="F521" s="80"/>
      <c r="G521" s="80"/>
      <c r="H521" s="80"/>
      <c r="I521" s="80"/>
      <c r="J521" s="80"/>
      <c r="K521" s="80"/>
      <c r="L521" s="80"/>
      <c r="M521" s="84"/>
    </row>
    <row r="522" spans="1:13" ht="15.75" x14ac:dyDescent="0.25">
      <c r="A522" s="77"/>
      <c r="B522" s="78"/>
      <c r="C522" s="80"/>
      <c r="D522" s="80"/>
      <c r="E522" s="80"/>
      <c r="F522" s="80"/>
      <c r="G522" s="80"/>
      <c r="H522" s="80"/>
      <c r="I522" s="80"/>
      <c r="J522" s="80"/>
      <c r="K522" s="80"/>
      <c r="L522" s="80"/>
      <c r="M522" s="84"/>
    </row>
    <row r="523" spans="1:13" ht="15.75" x14ac:dyDescent="0.25">
      <c r="A523" s="77"/>
      <c r="B523" s="78"/>
      <c r="C523" s="80"/>
      <c r="D523" s="80"/>
      <c r="E523" s="80"/>
      <c r="F523" s="80"/>
      <c r="G523" s="80"/>
      <c r="H523" s="80"/>
      <c r="I523" s="80"/>
      <c r="J523" s="80"/>
      <c r="K523" s="80"/>
      <c r="L523" s="80"/>
      <c r="M523" s="84"/>
    </row>
    <row r="524" spans="1:13" ht="15.75" x14ac:dyDescent="0.25">
      <c r="A524" s="77"/>
      <c r="B524" s="78"/>
      <c r="C524" s="80"/>
      <c r="D524" s="80"/>
      <c r="E524" s="80"/>
      <c r="F524" s="80"/>
      <c r="G524" s="80"/>
      <c r="H524" s="80"/>
      <c r="I524" s="80"/>
      <c r="J524" s="80"/>
      <c r="K524" s="80"/>
      <c r="L524" s="80"/>
      <c r="M524" s="84"/>
    </row>
    <row r="525" spans="1:13" ht="15.75" x14ac:dyDescent="0.25">
      <c r="A525" s="77"/>
      <c r="B525" s="78"/>
      <c r="C525" s="80"/>
      <c r="D525" s="80"/>
      <c r="E525" s="80"/>
      <c r="F525" s="80"/>
      <c r="G525" s="80"/>
      <c r="H525" s="80"/>
      <c r="I525" s="80"/>
      <c r="J525" s="80"/>
      <c r="K525" s="80"/>
      <c r="L525" s="80"/>
      <c r="M525" s="84"/>
    </row>
    <row r="526" spans="1:13" ht="15.75" x14ac:dyDescent="0.25">
      <c r="A526" s="77"/>
      <c r="B526" s="78"/>
      <c r="C526" s="80"/>
      <c r="D526" s="80"/>
      <c r="E526" s="80"/>
      <c r="F526" s="80"/>
      <c r="G526" s="80"/>
      <c r="H526" s="80"/>
      <c r="I526" s="80"/>
      <c r="J526" s="80"/>
      <c r="K526" s="80"/>
      <c r="L526" s="80"/>
      <c r="M526" s="84"/>
    </row>
    <row r="527" spans="1:13" ht="15.75" x14ac:dyDescent="0.25">
      <c r="A527" s="77"/>
      <c r="B527" s="78"/>
      <c r="C527" s="80"/>
      <c r="D527" s="80"/>
      <c r="E527" s="80"/>
      <c r="F527" s="80"/>
      <c r="G527" s="80"/>
      <c r="H527" s="80"/>
      <c r="I527" s="80"/>
      <c r="J527" s="80"/>
      <c r="K527" s="80"/>
      <c r="L527" s="80"/>
      <c r="M527" s="84"/>
    </row>
    <row r="528" spans="1:13" ht="15.75" x14ac:dyDescent="0.25">
      <c r="A528" s="77"/>
      <c r="B528" s="78"/>
      <c r="C528" s="80"/>
      <c r="D528" s="80"/>
      <c r="E528" s="80"/>
      <c r="F528" s="80"/>
      <c r="G528" s="80"/>
      <c r="H528" s="80"/>
      <c r="I528" s="80"/>
      <c r="J528" s="80"/>
      <c r="K528" s="80"/>
      <c r="L528" s="80"/>
      <c r="M528" s="84"/>
    </row>
    <row r="529" spans="1:13" ht="15.75" x14ac:dyDescent="0.25">
      <c r="A529" s="77"/>
      <c r="B529" s="78"/>
      <c r="C529" s="80"/>
      <c r="D529" s="80"/>
      <c r="E529" s="80"/>
      <c r="F529" s="80"/>
      <c r="G529" s="80"/>
      <c r="H529" s="80"/>
      <c r="I529" s="80"/>
      <c r="J529" s="80"/>
      <c r="K529" s="80"/>
      <c r="L529" s="80"/>
      <c r="M529" s="84"/>
    </row>
    <row r="530" spans="1:13" ht="15.75" x14ac:dyDescent="0.25">
      <c r="A530" s="77"/>
      <c r="B530" s="78"/>
      <c r="C530" s="80"/>
      <c r="D530" s="80"/>
      <c r="E530" s="80"/>
      <c r="F530" s="80"/>
      <c r="G530" s="80"/>
      <c r="H530" s="80"/>
      <c r="I530" s="80"/>
      <c r="J530" s="80"/>
      <c r="K530" s="80"/>
      <c r="L530" s="80"/>
      <c r="M530" s="84"/>
    </row>
    <row r="531" spans="1:13" ht="15.75" x14ac:dyDescent="0.25">
      <c r="A531" s="77"/>
      <c r="B531" s="78"/>
      <c r="C531" s="80"/>
      <c r="D531" s="80"/>
      <c r="E531" s="80"/>
      <c r="F531" s="80"/>
      <c r="G531" s="80"/>
      <c r="H531" s="80"/>
      <c r="I531" s="80"/>
      <c r="J531" s="80"/>
      <c r="K531" s="80"/>
      <c r="L531" s="80"/>
      <c r="M531" s="84"/>
    </row>
    <row r="532" spans="1:13" ht="15.75" x14ac:dyDescent="0.25">
      <c r="A532" s="77"/>
      <c r="B532" s="78"/>
      <c r="C532" s="80"/>
      <c r="D532" s="80"/>
      <c r="E532" s="80"/>
      <c r="F532" s="80"/>
      <c r="G532" s="80"/>
      <c r="H532" s="80"/>
      <c r="I532" s="80"/>
      <c r="J532" s="80"/>
      <c r="K532" s="80"/>
      <c r="L532" s="80"/>
      <c r="M532" s="84"/>
    </row>
    <row r="533" spans="1:13" ht="15.75" x14ac:dyDescent="0.25">
      <c r="A533" s="77"/>
      <c r="B533" s="78"/>
      <c r="C533" s="80"/>
      <c r="D533" s="80"/>
      <c r="E533" s="80"/>
      <c r="F533" s="80"/>
      <c r="G533" s="80"/>
      <c r="H533" s="80"/>
      <c r="I533" s="80"/>
      <c r="J533" s="80"/>
      <c r="K533" s="80"/>
      <c r="L533" s="80"/>
      <c r="M533" s="84"/>
    </row>
    <row r="534" spans="1:13" ht="15.75" x14ac:dyDescent="0.25">
      <c r="A534" s="77"/>
      <c r="B534" s="78"/>
      <c r="C534" s="80"/>
      <c r="D534" s="80"/>
      <c r="E534" s="80"/>
      <c r="F534" s="80"/>
      <c r="G534" s="80"/>
      <c r="H534" s="80"/>
      <c r="I534" s="80"/>
      <c r="J534" s="80"/>
      <c r="K534" s="80"/>
      <c r="L534" s="80"/>
      <c r="M534" s="84"/>
    </row>
    <row r="535" spans="1:13" ht="15.75" x14ac:dyDescent="0.25">
      <c r="A535" s="77"/>
      <c r="B535" s="78"/>
      <c r="C535" s="80"/>
      <c r="D535" s="80"/>
      <c r="E535" s="80"/>
      <c r="F535" s="80"/>
      <c r="G535" s="80"/>
      <c r="H535" s="80"/>
      <c r="I535" s="80"/>
      <c r="J535" s="80"/>
      <c r="K535" s="80"/>
      <c r="L535" s="80"/>
      <c r="M535" s="84"/>
    </row>
    <row r="536" spans="1:13" ht="15.75" x14ac:dyDescent="0.25">
      <c r="A536" s="77"/>
      <c r="B536" s="78"/>
      <c r="C536" s="80"/>
      <c r="D536" s="80"/>
      <c r="E536" s="80"/>
      <c r="F536" s="80"/>
      <c r="G536" s="80"/>
      <c r="H536" s="80"/>
      <c r="I536" s="80"/>
      <c r="J536" s="80"/>
      <c r="K536" s="80"/>
      <c r="L536" s="80"/>
      <c r="M536" s="84"/>
    </row>
    <row r="537" spans="1:13" ht="15.75" x14ac:dyDescent="0.25">
      <c r="A537" s="77"/>
      <c r="B537" s="78"/>
      <c r="C537" s="80"/>
      <c r="D537" s="80"/>
      <c r="E537" s="80"/>
      <c r="F537" s="80"/>
      <c r="G537" s="80"/>
      <c r="H537" s="80"/>
      <c r="I537" s="80"/>
      <c r="J537" s="80"/>
      <c r="K537" s="80"/>
      <c r="L537" s="80"/>
      <c r="M537" s="84"/>
    </row>
    <row r="538" spans="1:13" ht="15.75" x14ac:dyDescent="0.25">
      <c r="A538" s="77"/>
      <c r="B538" s="78"/>
      <c r="C538" s="80"/>
      <c r="D538" s="80"/>
      <c r="E538" s="80"/>
      <c r="F538" s="80"/>
      <c r="G538" s="80"/>
      <c r="H538" s="80"/>
      <c r="I538" s="80"/>
      <c r="J538" s="80"/>
      <c r="K538" s="80"/>
      <c r="L538" s="80"/>
      <c r="M538" s="84"/>
    </row>
    <row r="539" spans="1:13" ht="15.75" x14ac:dyDescent="0.25">
      <c r="A539" s="77"/>
      <c r="B539" s="78"/>
      <c r="C539" s="80"/>
      <c r="D539" s="80"/>
      <c r="E539" s="80"/>
      <c r="F539" s="80"/>
      <c r="G539" s="80"/>
      <c r="H539" s="80"/>
      <c r="I539" s="80"/>
      <c r="J539" s="80"/>
      <c r="K539" s="80"/>
      <c r="L539" s="80"/>
      <c r="M539" s="84"/>
    </row>
    <row r="540" spans="1:13" ht="15.75" x14ac:dyDescent="0.25">
      <c r="A540" s="77"/>
      <c r="B540" s="78"/>
      <c r="C540" s="80"/>
      <c r="D540" s="80"/>
      <c r="E540" s="80"/>
      <c r="F540" s="80"/>
      <c r="G540" s="80"/>
      <c r="H540" s="80"/>
      <c r="I540" s="80"/>
      <c r="J540" s="80"/>
      <c r="K540" s="80"/>
      <c r="L540" s="80"/>
      <c r="M540" s="84"/>
    </row>
    <row r="541" spans="1:13" ht="15.75" x14ac:dyDescent="0.25">
      <c r="A541" s="77"/>
      <c r="B541" s="78"/>
      <c r="C541" s="80"/>
      <c r="D541" s="80"/>
      <c r="E541" s="80"/>
      <c r="F541" s="80"/>
      <c r="G541" s="80"/>
      <c r="H541" s="80"/>
      <c r="I541" s="80"/>
      <c r="J541" s="80"/>
      <c r="K541" s="80"/>
      <c r="L541" s="80"/>
      <c r="M541" s="84"/>
    </row>
    <row r="542" spans="1:13" ht="15.75" x14ac:dyDescent="0.25">
      <c r="A542" s="77"/>
      <c r="B542" s="78"/>
      <c r="C542" s="80"/>
      <c r="D542" s="80"/>
      <c r="E542" s="80"/>
      <c r="F542" s="80"/>
      <c r="G542" s="80"/>
      <c r="H542" s="80"/>
      <c r="I542" s="80"/>
      <c r="J542" s="80"/>
      <c r="K542" s="80"/>
      <c r="L542" s="80"/>
      <c r="M542" s="84"/>
    </row>
    <row r="543" spans="1:13" ht="15.75" x14ac:dyDescent="0.25">
      <c r="A543" s="77"/>
      <c r="B543" s="78"/>
      <c r="C543" s="80"/>
      <c r="D543" s="80"/>
      <c r="E543" s="80"/>
      <c r="F543" s="80"/>
      <c r="G543" s="80"/>
      <c r="H543" s="80"/>
      <c r="I543" s="80"/>
      <c r="J543" s="80"/>
      <c r="K543" s="80"/>
      <c r="L543" s="80"/>
      <c r="M543" s="84"/>
    </row>
    <row r="544" spans="1:13" ht="15.75" x14ac:dyDescent="0.25">
      <c r="A544" s="77"/>
      <c r="B544" s="78"/>
      <c r="C544" s="80"/>
      <c r="D544" s="80"/>
      <c r="E544" s="80"/>
      <c r="F544" s="80"/>
      <c r="G544" s="80"/>
      <c r="H544" s="80"/>
      <c r="I544" s="80"/>
      <c r="J544" s="80"/>
      <c r="K544" s="80"/>
      <c r="L544" s="80"/>
      <c r="M544" s="84"/>
    </row>
    <row r="545" spans="1:13" ht="15.75" x14ac:dyDescent="0.25">
      <c r="A545" s="77"/>
      <c r="B545" s="78"/>
      <c r="C545" s="80"/>
      <c r="D545" s="80"/>
      <c r="E545" s="80"/>
      <c r="F545" s="80"/>
      <c r="G545" s="80"/>
      <c r="H545" s="80"/>
      <c r="I545" s="80"/>
      <c r="J545" s="80"/>
      <c r="K545" s="80"/>
      <c r="L545" s="80"/>
      <c r="M545" s="84"/>
    </row>
    <row r="546" spans="1:13" ht="15.75" x14ac:dyDescent="0.25">
      <c r="A546" s="77"/>
      <c r="B546" s="78"/>
      <c r="C546" s="80"/>
      <c r="D546" s="80"/>
      <c r="E546" s="80"/>
      <c r="F546" s="80"/>
      <c r="G546" s="80"/>
      <c r="H546" s="80"/>
      <c r="I546" s="80"/>
      <c r="J546" s="80"/>
      <c r="K546" s="80"/>
      <c r="L546" s="80"/>
      <c r="M546" s="84"/>
    </row>
    <row r="547" spans="1:13" ht="15.75" x14ac:dyDescent="0.25">
      <c r="A547" s="77"/>
      <c r="B547" s="78"/>
      <c r="C547" s="80"/>
      <c r="D547" s="80"/>
      <c r="E547" s="80"/>
      <c r="F547" s="80"/>
      <c r="G547" s="80"/>
      <c r="H547" s="80"/>
      <c r="I547" s="80"/>
      <c r="J547" s="80"/>
      <c r="K547" s="80"/>
      <c r="L547" s="80"/>
      <c r="M547" s="84"/>
    </row>
    <row r="548" spans="1:13" ht="15.75" x14ac:dyDescent="0.25">
      <c r="A548" s="77"/>
      <c r="B548" s="78"/>
      <c r="C548" s="80"/>
      <c r="D548" s="80"/>
      <c r="E548" s="80"/>
      <c r="F548" s="80"/>
      <c r="G548" s="80"/>
      <c r="H548" s="80"/>
      <c r="I548" s="80"/>
      <c r="J548" s="80"/>
      <c r="K548" s="80"/>
      <c r="L548" s="80"/>
      <c r="M548" s="84"/>
    </row>
    <row r="549" spans="1:13" ht="15.75" x14ac:dyDescent="0.25">
      <c r="A549" s="77"/>
      <c r="B549" s="78"/>
      <c r="C549" s="80"/>
      <c r="D549" s="80"/>
      <c r="E549" s="80"/>
      <c r="F549" s="80"/>
      <c r="G549" s="80"/>
      <c r="H549" s="80"/>
      <c r="I549" s="80"/>
      <c r="J549" s="80"/>
      <c r="K549" s="80"/>
      <c r="L549" s="80"/>
      <c r="M549" s="84"/>
    </row>
    <row r="550" spans="1:13" ht="15.75" x14ac:dyDescent="0.25">
      <c r="A550" s="77"/>
      <c r="B550" s="78"/>
      <c r="C550" s="80"/>
      <c r="D550" s="80"/>
      <c r="E550" s="80"/>
      <c r="F550" s="80"/>
      <c r="G550" s="80"/>
      <c r="H550" s="80"/>
      <c r="I550" s="80"/>
      <c r="J550" s="80"/>
      <c r="K550" s="80"/>
      <c r="L550" s="80"/>
      <c r="M550" s="84"/>
    </row>
    <row r="551" spans="1:13" ht="15.75" x14ac:dyDescent="0.25">
      <c r="A551" s="77"/>
      <c r="B551" s="78"/>
      <c r="C551" s="80"/>
      <c r="D551" s="80"/>
      <c r="E551" s="80"/>
      <c r="F551" s="80"/>
      <c r="G551" s="80"/>
      <c r="H551" s="80"/>
      <c r="I551" s="80"/>
      <c r="J551" s="80"/>
      <c r="K551" s="80"/>
      <c r="L551" s="80"/>
      <c r="M551" s="84"/>
    </row>
    <row r="552" spans="1:13" ht="15.75" x14ac:dyDescent="0.25">
      <c r="A552" s="77"/>
      <c r="B552" s="78"/>
      <c r="C552" s="80"/>
      <c r="D552" s="80"/>
      <c r="E552" s="80"/>
      <c r="F552" s="80"/>
      <c r="G552" s="80"/>
      <c r="H552" s="80"/>
      <c r="I552" s="80"/>
      <c r="J552" s="80"/>
      <c r="K552" s="80"/>
      <c r="L552" s="80"/>
      <c r="M552" s="84"/>
    </row>
    <row r="553" spans="1:13" ht="15.75" x14ac:dyDescent="0.25">
      <c r="A553" s="77"/>
      <c r="B553" s="78"/>
      <c r="C553" s="80"/>
      <c r="D553" s="80"/>
      <c r="E553" s="80"/>
      <c r="F553" s="80"/>
      <c r="G553" s="80"/>
      <c r="H553" s="80"/>
      <c r="I553" s="80"/>
      <c r="J553" s="80"/>
      <c r="K553" s="80"/>
      <c r="L553" s="80"/>
      <c r="M553" s="84"/>
    </row>
    <row r="554" spans="1:13" ht="15.75" x14ac:dyDescent="0.25">
      <c r="A554" s="77"/>
      <c r="B554" s="78"/>
      <c r="C554" s="80"/>
      <c r="D554" s="80"/>
      <c r="E554" s="80"/>
      <c r="F554" s="80"/>
      <c r="G554" s="80"/>
      <c r="H554" s="80"/>
      <c r="I554" s="80"/>
      <c r="J554" s="80"/>
      <c r="K554" s="80"/>
      <c r="L554" s="80"/>
      <c r="M554" s="84"/>
    </row>
    <row r="555" spans="1:13" ht="15.75" x14ac:dyDescent="0.25">
      <c r="A555" s="77"/>
      <c r="B555" s="78"/>
      <c r="C555" s="80"/>
      <c r="D555" s="80"/>
      <c r="E555" s="80"/>
      <c r="F555" s="80"/>
      <c r="G555" s="80"/>
      <c r="H555" s="80"/>
      <c r="I555" s="80"/>
      <c r="J555" s="80"/>
      <c r="K555" s="80"/>
      <c r="L555" s="80"/>
      <c r="M555" s="84"/>
    </row>
    <row r="556" spans="1:13" ht="15.75" x14ac:dyDescent="0.25">
      <c r="A556" s="77"/>
      <c r="B556" s="78"/>
      <c r="C556" s="80"/>
      <c r="D556" s="80"/>
      <c r="E556" s="80"/>
      <c r="F556" s="80"/>
      <c r="G556" s="80"/>
      <c r="H556" s="80"/>
      <c r="I556" s="80"/>
      <c r="J556" s="80"/>
      <c r="K556" s="80"/>
      <c r="L556" s="80"/>
      <c r="M556" s="84"/>
    </row>
    <row r="557" spans="1:13" ht="15.75" x14ac:dyDescent="0.25">
      <c r="A557" s="77"/>
      <c r="B557" s="78"/>
      <c r="C557" s="80"/>
      <c r="D557" s="80"/>
      <c r="E557" s="80"/>
      <c r="F557" s="80"/>
      <c r="G557" s="80"/>
      <c r="H557" s="80"/>
      <c r="I557" s="80"/>
      <c r="J557" s="80"/>
      <c r="K557" s="80"/>
      <c r="L557" s="80"/>
      <c r="M557" s="84"/>
    </row>
    <row r="558" spans="1:13" ht="15.75" x14ac:dyDescent="0.25">
      <c r="A558" s="77"/>
      <c r="B558" s="78"/>
      <c r="C558" s="80"/>
      <c r="D558" s="80"/>
      <c r="E558" s="80"/>
      <c r="F558" s="80"/>
      <c r="G558" s="80"/>
      <c r="H558" s="80"/>
      <c r="I558" s="80"/>
      <c r="J558" s="80"/>
      <c r="K558" s="80"/>
      <c r="L558" s="80"/>
      <c r="M558" s="84"/>
    </row>
    <row r="559" spans="1:13" ht="15.75" x14ac:dyDescent="0.25">
      <c r="A559" s="77"/>
      <c r="B559" s="78"/>
      <c r="C559" s="80"/>
      <c r="D559" s="80"/>
      <c r="E559" s="80"/>
      <c r="F559" s="80"/>
      <c r="G559" s="80"/>
      <c r="H559" s="80"/>
      <c r="I559" s="80"/>
      <c r="J559" s="80"/>
      <c r="K559" s="80"/>
      <c r="L559" s="80"/>
      <c r="M559" s="84"/>
    </row>
    <row r="560" spans="1:13" ht="15.75" x14ac:dyDescent="0.25">
      <c r="A560" s="77"/>
      <c r="B560" s="78"/>
      <c r="C560" s="80"/>
      <c r="D560" s="80"/>
      <c r="E560" s="80"/>
      <c r="F560" s="80"/>
      <c r="G560" s="80"/>
      <c r="H560" s="80"/>
      <c r="I560" s="80"/>
      <c r="J560" s="80"/>
      <c r="K560" s="80"/>
      <c r="L560" s="80"/>
      <c r="M560" s="84"/>
    </row>
    <row r="561" spans="1:13" ht="15.75" x14ac:dyDescent="0.25">
      <c r="A561" s="77"/>
      <c r="B561" s="78"/>
      <c r="C561" s="80"/>
      <c r="D561" s="80"/>
      <c r="E561" s="80"/>
      <c r="F561" s="80"/>
      <c r="G561" s="80"/>
      <c r="H561" s="80"/>
      <c r="I561" s="80"/>
      <c r="J561" s="80"/>
      <c r="K561" s="80"/>
      <c r="L561" s="80"/>
      <c r="M561" s="84"/>
    </row>
    <row r="562" spans="1:13" ht="15.75" x14ac:dyDescent="0.25">
      <c r="A562" s="77"/>
      <c r="B562" s="78"/>
      <c r="C562" s="80"/>
      <c r="D562" s="80"/>
      <c r="E562" s="80"/>
      <c r="F562" s="80"/>
      <c r="G562" s="80"/>
      <c r="H562" s="80"/>
      <c r="I562" s="80"/>
      <c r="J562" s="80"/>
      <c r="K562" s="80"/>
      <c r="L562" s="80"/>
      <c r="M562" s="84"/>
    </row>
    <row r="563" spans="1:13" ht="15.75" x14ac:dyDescent="0.25">
      <c r="A563" s="77"/>
      <c r="B563" s="78"/>
      <c r="C563" s="80"/>
      <c r="D563" s="80"/>
      <c r="E563" s="80"/>
      <c r="F563" s="80"/>
      <c r="G563" s="80"/>
      <c r="H563" s="80"/>
      <c r="I563" s="80"/>
      <c r="J563" s="80"/>
      <c r="K563" s="80"/>
      <c r="L563" s="80"/>
      <c r="M563" s="84"/>
    </row>
    <row r="564" spans="1:13" ht="15.75" x14ac:dyDescent="0.25">
      <c r="A564" s="77"/>
      <c r="B564" s="78"/>
      <c r="C564" s="80"/>
      <c r="D564" s="80"/>
      <c r="E564" s="80"/>
      <c r="F564" s="80"/>
      <c r="G564" s="80"/>
      <c r="H564" s="80"/>
      <c r="I564" s="80"/>
      <c r="J564" s="80"/>
      <c r="K564" s="80"/>
      <c r="L564" s="80"/>
      <c r="M564" s="84"/>
    </row>
    <row r="565" spans="1:13" ht="15.75" x14ac:dyDescent="0.25">
      <c r="A565" s="77"/>
      <c r="B565" s="78"/>
      <c r="C565" s="80"/>
      <c r="D565" s="80"/>
      <c r="E565" s="80"/>
      <c r="F565" s="80"/>
      <c r="G565" s="80"/>
      <c r="H565" s="80"/>
      <c r="I565" s="80"/>
      <c r="J565" s="80"/>
      <c r="K565" s="80"/>
      <c r="L565" s="80"/>
      <c r="M565" s="84"/>
    </row>
    <row r="566" spans="1:13" ht="15.75" x14ac:dyDescent="0.25">
      <c r="A566" s="77"/>
      <c r="B566" s="78"/>
      <c r="C566" s="80"/>
      <c r="D566" s="80"/>
      <c r="E566" s="80"/>
      <c r="F566" s="80"/>
      <c r="G566" s="80"/>
      <c r="H566" s="80"/>
      <c r="I566" s="80"/>
      <c r="J566" s="80"/>
      <c r="K566" s="80"/>
      <c r="L566" s="80"/>
      <c r="M566" s="84"/>
    </row>
    <row r="567" spans="1:13" ht="15.75" x14ac:dyDescent="0.25">
      <c r="A567" s="77"/>
      <c r="B567" s="78"/>
      <c r="C567" s="80"/>
      <c r="D567" s="80"/>
      <c r="E567" s="80"/>
      <c r="F567" s="80"/>
      <c r="G567" s="80"/>
      <c r="H567" s="80"/>
      <c r="I567" s="80"/>
      <c r="J567" s="80"/>
      <c r="K567" s="80"/>
      <c r="L567" s="80"/>
      <c r="M567" s="84"/>
    </row>
    <row r="568" spans="1:13" ht="15.75" x14ac:dyDescent="0.25">
      <c r="A568" s="77"/>
      <c r="B568" s="78"/>
      <c r="C568" s="80"/>
      <c r="D568" s="80"/>
      <c r="E568" s="80"/>
      <c r="F568" s="80"/>
      <c r="G568" s="80"/>
      <c r="H568" s="80"/>
      <c r="I568" s="80"/>
      <c r="J568" s="80"/>
      <c r="K568" s="80"/>
      <c r="L568" s="80"/>
      <c r="M568" s="84"/>
    </row>
    <row r="569" spans="1:13" ht="15.75" x14ac:dyDescent="0.25">
      <c r="A569" s="77"/>
      <c r="B569" s="78"/>
      <c r="C569" s="80"/>
      <c r="D569" s="80"/>
      <c r="E569" s="80"/>
      <c r="F569" s="80"/>
      <c r="G569" s="80"/>
      <c r="H569" s="80"/>
      <c r="I569" s="80"/>
      <c r="J569" s="80"/>
      <c r="K569" s="80"/>
      <c r="L569" s="80"/>
      <c r="M569" s="84"/>
    </row>
    <row r="570" spans="1:13" ht="15.75" x14ac:dyDescent="0.25">
      <c r="A570" s="77"/>
      <c r="B570" s="78"/>
      <c r="C570" s="80"/>
      <c r="D570" s="80"/>
      <c r="E570" s="80"/>
      <c r="F570" s="80"/>
      <c r="G570" s="80"/>
      <c r="H570" s="80"/>
      <c r="I570" s="80"/>
      <c r="J570" s="80"/>
      <c r="K570" s="80"/>
      <c r="L570" s="80"/>
      <c r="M570" s="84"/>
    </row>
    <row r="571" spans="1:13" ht="15.75" x14ac:dyDescent="0.25">
      <c r="A571" s="77"/>
      <c r="B571" s="78"/>
      <c r="C571" s="80"/>
      <c r="D571" s="80"/>
      <c r="E571" s="80"/>
      <c r="F571" s="80"/>
      <c r="G571" s="80"/>
      <c r="H571" s="80"/>
      <c r="I571" s="80"/>
      <c r="J571" s="80"/>
      <c r="K571" s="80"/>
      <c r="L571" s="80"/>
      <c r="M571" s="84"/>
    </row>
    <row r="572" spans="1:13" ht="15.75" x14ac:dyDescent="0.25">
      <c r="A572" s="77"/>
      <c r="B572" s="78"/>
      <c r="C572" s="80"/>
      <c r="D572" s="80"/>
      <c r="E572" s="80"/>
      <c r="F572" s="80"/>
      <c r="G572" s="80"/>
      <c r="H572" s="80"/>
      <c r="I572" s="80"/>
      <c r="J572" s="80"/>
      <c r="K572" s="80"/>
      <c r="L572" s="80"/>
      <c r="M572" s="84"/>
    </row>
    <row r="573" spans="1:13" ht="15.75" x14ac:dyDescent="0.25">
      <c r="A573" s="77"/>
      <c r="B573" s="78"/>
      <c r="C573" s="80"/>
      <c r="D573" s="80"/>
      <c r="E573" s="80"/>
      <c r="F573" s="80"/>
      <c r="G573" s="80"/>
      <c r="H573" s="80"/>
      <c r="I573" s="80"/>
      <c r="J573" s="80"/>
      <c r="K573" s="80"/>
      <c r="L573" s="80"/>
      <c r="M573" s="84"/>
    </row>
    <row r="574" spans="1:13" ht="15.75" x14ac:dyDescent="0.25">
      <c r="A574" s="77"/>
      <c r="B574" s="78"/>
      <c r="C574" s="80"/>
      <c r="D574" s="80"/>
      <c r="E574" s="80"/>
      <c r="F574" s="80"/>
      <c r="G574" s="80"/>
      <c r="H574" s="80"/>
      <c r="I574" s="80"/>
      <c r="J574" s="80"/>
      <c r="K574" s="80"/>
      <c r="L574" s="80"/>
      <c r="M574" s="84"/>
    </row>
    <row r="575" spans="1:13" ht="15.75" x14ac:dyDescent="0.25">
      <c r="A575" s="77"/>
      <c r="B575" s="78"/>
      <c r="C575" s="80"/>
      <c r="D575" s="80"/>
      <c r="E575" s="80"/>
      <c r="F575" s="80"/>
      <c r="G575" s="80"/>
      <c r="H575" s="80"/>
      <c r="I575" s="80"/>
      <c r="J575" s="80"/>
      <c r="K575" s="80"/>
      <c r="L575" s="80"/>
      <c r="M575" s="84"/>
    </row>
    <row r="576" spans="1:13" ht="15.75" x14ac:dyDescent="0.25">
      <c r="A576" s="77"/>
      <c r="B576" s="78"/>
      <c r="C576" s="80"/>
      <c r="D576" s="80"/>
      <c r="E576" s="80"/>
      <c r="F576" s="80"/>
      <c r="G576" s="80"/>
      <c r="H576" s="80"/>
      <c r="I576" s="80"/>
      <c r="J576" s="80"/>
      <c r="K576" s="80"/>
      <c r="L576" s="80"/>
      <c r="M576" s="84"/>
    </row>
    <row r="577" spans="1:13" ht="15.75" x14ac:dyDescent="0.25">
      <c r="A577" s="77"/>
      <c r="B577" s="78"/>
      <c r="C577" s="80"/>
      <c r="D577" s="80"/>
      <c r="E577" s="80"/>
      <c r="F577" s="80"/>
      <c r="G577" s="80"/>
      <c r="H577" s="80"/>
      <c r="I577" s="80"/>
      <c r="J577" s="80"/>
      <c r="K577" s="80"/>
      <c r="L577" s="80"/>
      <c r="M577" s="84"/>
    </row>
    <row r="578" spans="1:13" ht="15.75" x14ac:dyDescent="0.25">
      <c r="A578" s="77"/>
      <c r="B578" s="78"/>
      <c r="C578" s="80"/>
      <c r="D578" s="80"/>
      <c r="E578" s="80"/>
      <c r="F578" s="80"/>
      <c r="G578" s="80"/>
      <c r="H578" s="80"/>
      <c r="I578" s="80"/>
      <c r="J578" s="80"/>
      <c r="K578" s="80"/>
      <c r="L578" s="80"/>
      <c r="M578" s="84"/>
    </row>
    <row r="579" spans="1:13" ht="15.75" x14ac:dyDescent="0.25">
      <c r="A579" s="77"/>
      <c r="B579" s="78"/>
      <c r="C579" s="80"/>
      <c r="D579" s="80"/>
      <c r="E579" s="80"/>
      <c r="F579" s="80"/>
      <c r="G579" s="80"/>
      <c r="H579" s="80"/>
      <c r="I579" s="80"/>
      <c r="J579" s="80"/>
      <c r="K579" s="80"/>
      <c r="L579" s="80"/>
      <c r="M579" s="84"/>
    </row>
    <row r="580" spans="1:13" ht="15.75" x14ac:dyDescent="0.25">
      <c r="A580" s="77"/>
      <c r="B580" s="78"/>
      <c r="C580" s="80"/>
      <c r="D580" s="80"/>
      <c r="E580" s="80"/>
      <c r="F580" s="80"/>
      <c r="G580" s="80"/>
      <c r="H580" s="80"/>
      <c r="I580" s="80"/>
      <c r="J580" s="80"/>
      <c r="K580" s="80"/>
      <c r="L580" s="80"/>
      <c r="M580" s="84"/>
    </row>
    <row r="581" spans="1:13" ht="15.75" x14ac:dyDescent="0.25">
      <c r="A581" s="77"/>
      <c r="B581" s="78"/>
      <c r="C581" s="80"/>
      <c r="D581" s="80"/>
      <c r="E581" s="80"/>
      <c r="F581" s="80"/>
      <c r="G581" s="80"/>
      <c r="H581" s="80"/>
      <c r="I581" s="80"/>
      <c r="J581" s="80"/>
      <c r="K581" s="80"/>
      <c r="L581" s="80"/>
      <c r="M581" s="84"/>
    </row>
    <row r="582" spans="1:13" ht="15.75" x14ac:dyDescent="0.25">
      <c r="A582" s="77"/>
      <c r="B582" s="78"/>
      <c r="C582" s="80"/>
      <c r="D582" s="80"/>
      <c r="E582" s="80"/>
      <c r="F582" s="80"/>
      <c r="G582" s="80"/>
      <c r="H582" s="80"/>
      <c r="I582" s="80"/>
      <c r="J582" s="80"/>
      <c r="K582" s="80"/>
      <c r="L582" s="80"/>
      <c r="M582" s="84"/>
    </row>
    <row r="583" spans="1:13" ht="15.75" x14ac:dyDescent="0.25">
      <c r="A583" s="77"/>
      <c r="B583" s="78"/>
      <c r="C583" s="80"/>
      <c r="D583" s="80"/>
      <c r="E583" s="80"/>
      <c r="F583" s="80"/>
      <c r="G583" s="80"/>
      <c r="H583" s="80"/>
      <c r="I583" s="80"/>
      <c r="J583" s="80"/>
      <c r="K583" s="80"/>
      <c r="L583" s="80"/>
      <c r="M583" s="84"/>
    </row>
    <row r="584" spans="1:13" ht="15.75" x14ac:dyDescent="0.25">
      <c r="A584" s="77"/>
      <c r="B584" s="78"/>
      <c r="C584" s="80"/>
      <c r="D584" s="80"/>
      <c r="E584" s="80"/>
      <c r="F584" s="80"/>
      <c r="G584" s="80"/>
      <c r="H584" s="80"/>
      <c r="I584" s="80"/>
      <c r="J584" s="80"/>
      <c r="K584" s="80"/>
      <c r="L584" s="80"/>
      <c r="M584" s="84"/>
    </row>
    <row r="585" spans="1:13" ht="15.75" x14ac:dyDescent="0.25">
      <c r="A585" s="77"/>
      <c r="B585" s="78"/>
      <c r="C585" s="80"/>
      <c r="D585" s="80"/>
      <c r="E585" s="80"/>
      <c r="F585" s="80"/>
      <c r="G585" s="80"/>
      <c r="H585" s="80"/>
      <c r="I585" s="80"/>
      <c r="J585" s="80"/>
      <c r="K585" s="80"/>
      <c r="L585" s="80"/>
      <c r="M585" s="84"/>
    </row>
    <row r="586" spans="1:13" ht="15.75" x14ac:dyDescent="0.25">
      <c r="A586" s="77"/>
      <c r="B586" s="78"/>
      <c r="C586" s="80"/>
      <c r="D586" s="80"/>
      <c r="E586" s="80"/>
      <c r="F586" s="80"/>
      <c r="G586" s="80"/>
      <c r="H586" s="80"/>
      <c r="I586" s="80"/>
      <c r="J586" s="80"/>
      <c r="K586" s="80"/>
      <c r="L586" s="80"/>
      <c r="M586" s="84"/>
    </row>
    <row r="587" spans="1:13" ht="15.75" x14ac:dyDescent="0.25">
      <c r="A587" s="77"/>
      <c r="B587" s="78"/>
      <c r="C587" s="80"/>
      <c r="D587" s="80"/>
      <c r="E587" s="80"/>
      <c r="F587" s="80"/>
      <c r="G587" s="80"/>
      <c r="H587" s="80"/>
      <c r="I587" s="80"/>
      <c r="J587" s="80"/>
      <c r="K587" s="80"/>
      <c r="L587" s="80"/>
      <c r="M587" s="84"/>
    </row>
    <row r="588" spans="1:13" ht="15.75" x14ac:dyDescent="0.25">
      <c r="A588" s="77"/>
      <c r="B588" s="78"/>
      <c r="C588" s="80"/>
      <c r="D588" s="80"/>
      <c r="E588" s="80"/>
      <c r="F588" s="80"/>
      <c r="G588" s="80"/>
      <c r="H588" s="80"/>
      <c r="I588" s="80"/>
      <c r="J588" s="80"/>
      <c r="K588" s="80"/>
      <c r="L588" s="80"/>
      <c r="M588" s="84"/>
    </row>
    <row r="589" spans="1:13" ht="15.75" x14ac:dyDescent="0.25">
      <c r="A589" s="77"/>
      <c r="B589" s="78"/>
      <c r="C589" s="80"/>
      <c r="D589" s="80"/>
      <c r="E589" s="80"/>
      <c r="F589" s="80"/>
      <c r="G589" s="80"/>
      <c r="H589" s="80"/>
      <c r="I589" s="80"/>
      <c r="J589" s="80"/>
      <c r="K589" s="80"/>
      <c r="L589" s="80"/>
      <c r="M589" s="84"/>
    </row>
    <row r="590" spans="1:13" ht="15.75" x14ac:dyDescent="0.25">
      <c r="A590" s="77"/>
      <c r="B590" s="78"/>
      <c r="C590" s="80"/>
      <c r="D590" s="80"/>
      <c r="E590" s="80"/>
      <c r="F590" s="80"/>
      <c r="G590" s="80"/>
      <c r="H590" s="80"/>
      <c r="I590" s="80"/>
      <c r="J590" s="80"/>
      <c r="K590" s="80"/>
      <c r="L590" s="80"/>
      <c r="M590" s="84"/>
    </row>
    <row r="591" spans="1:13" ht="15.75" x14ac:dyDescent="0.25">
      <c r="A591" s="77"/>
      <c r="B591" s="78"/>
      <c r="C591" s="80"/>
      <c r="D591" s="80"/>
      <c r="E591" s="80"/>
      <c r="F591" s="80"/>
      <c r="G591" s="80"/>
      <c r="H591" s="80"/>
      <c r="I591" s="80"/>
      <c r="J591" s="80"/>
      <c r="K591" s="80"/>
      <c r="L591" s="80"/>
      <c r="M591" s="84"/>
    </row>
    <row r="592" spans="1:13" ht="15.75" x14ac:dyDescent="0.25">
      <c r="A592" s="77"/>
      <c r="B592" s="78"/>
      <c r="C592" s="80"/>
      <c r="D592" s="80"/>
      <c r="E592" s="80"/>
      <c r="F592" s="80"/>
      <c r="G592" s="80"/>
      <c r="H592" s="80"/>
      <c r="I592" s="80"/>
      <c r="J592" s="80"/>
      <c r="K592" s="80"/>
      <c r="L592" s="80"/>
      <c r="M592" s="84"/>
    </row>
    <row r="593" spans="1:13" ht="15.75" x14ac:dyDescent="0.25">
      <c r="A593" s="77"/>
      <c r="B593" s="78"/>
      <c r="C593" s="80"/>
      <c r="D593" s="80"/>
      <c r="E593" s="80"/>
      <c r="F593" s="80"/>
      <c r="G593" s="80"/>
      <c r="H593" s="80"/>
      <c r="I593" s="80"/>
      <c r="J593" s="80"/>
      <c r="K593" s="80"/>
      <c r="L593" s="80"/>
      <c r="M593" s="84"/>
    </row>
    <row r="594" spans="1:13" ht="15.75" x14ac:dyDescent="0.25">
      <c r="A594" s="77"/>
      <c r="B594" s="78"/>
      <c r="C594" s="80"/>
      <c r="D594" s="80"/>
      <c r="E594" s="80"/>
      <c r="F594" s="80"/>
      <c r="G594" s="80"/>
      <c r="H594" s="80"/>
      <c r="I594" s="80"/>
      <c r="J594" s="80"/>
      <c r="K594" s="80"/>
      <c r="L594" s="80"/>
      <c r="M594" s="84"/>
    </row>
    <row r="595" spans="1:13" ht="15.75" x14ac:dyDescent="0.25">
      <c r="A595" s="77"/>
      <c r="B595" s="78"/>
      <c r="C595" s="80"/>
      <c r="D595" s="80"/>
      <c r="E595" s="80"/>
      <c r="F595" s="80"/>
      <c r="G595" s="80"/>
      <c r="H595" s="80"/>
      <c r="I595" s="80"/>
      <c r="J595" s="80"/>
      <c r="K595" s="80"/>
      <c r="L595" s="80"/>
      <c r="M595" s="84"/>
    </row>
    <row r="596" spans="1:13" ht="15.75" x14ac:dyDescent="0.25">
      <c r="A596" s="77"/>
      <c r="B596" s="78"/>
      <c r="C596" s="80"/>
      <c r="D596" s="80"/>
      <c r="E596" s="80"/>
      <c r="F596" s="80"/>
      <c r="G596" s="80"/>
      <c r="H596" s="80"/>
      <c r="I596" s="80"/>
      <c r="J596" s="80"/>
      <c r="K596" s="80"/>
      <c r="L596" s="80"/>
      <c r="M596" s="84"/>
    </row>
    <row r="597" spans="1:13" ht="15.75" x14ac:dyDescent="0.25">
      <c r="A597" s="77"/>
      <c r="B597" s="78"/>
      <c r="C597" s="80"/>
      <c r="D597" s="80"/>
      <c r="E597" s="80"/>
      <c r="F597" s="80"/>
      <c r="G597" s="80"/>
      <c r="H597" s="80"/>
      <c r="I597" s="80"/>
      <c r="J597" s="80"/>
      <c r="K597" s="80"/>
      <c r="L597" s="80"/>
      <c r="M597" s="84"/>
    </row>
    <row r="598" spans="1:13" ht="15.75" x14ac:dyDescent="0.25">
      <c r="A598" s="77"/>
      <c r="B598" s="78"/>
      <c r="C598" s="80"/>
      <c r="D598" s="80"/>
      <c r="E598" s="80"/>
      <c r="F598" s="80"/>
      <c r="G598" s="80"/>
      <c r="H598" s="80"/>
      <c r="I598" s="80"/>
      <c r="J598" s="80"/>
      <c r="K598" s="80"/>
      <c r="L598" s="80"/>
      <c r="M598" s="84"/>
    </row>
    <row r="599" spans="1:13" ht="15.75" x14ac:dyDescent="0.25">
      <c r="A599" s="77"/>
      <c r="B599" s="78"/>
      <c r="C599" s="80"/>
      <c r="D599" s="80"/>
      <c r="E599" s="80"/>
      <c r="F599" s="80"/>
      <c r="G599" s="80"/>
      <c r="H599" s="80"/>
      <c r="I599" s="80"/>
      <c r="J599" s="80"/>
      <c r="K599" s="80"/>
      <c r="L599" s="80"/>
      <c r="M599" s="84"/>
    </row>
    <row r="600" spans="1:13" ht="15.75" x14ac:dyDescent="0.25">
      <c r="A600" s="77"/>
      <c r="B600" s="78"/>
      <c r="C600" s="80"/>
      <c r="D600" s="80"/>
      <c r="E600" s="80"/>
      <c r="F600" s="80"/>
      <c r="G600" s="80"/>
      <c r="H600" s="80"/>
      <c r="I600" s="80"/>
      <c r="J600" s="80"/>
      <c r="K600" s="80"/>
      <c r="L600" s="80"/>
      <c r="M600" s="84"/>
    </row>
    <row r="601" spans="1:13" ht="15.75" x14ac:dyDescent="0.25">
      <c r="A601" s="77"/>
      <c r="B601" s="78"/>
      <c r="C601" s="80"/>
      <c r="D601" s="80"/>
      <c r="E601" s="80"/>
      <c r="F601" s="80"/>
      <c r="G601" s="80"/>
      <c r="H601" s="80"/>
      <c r="I601" s="80"/>
      <c r="J601" s="80"/>
      <c r="K601" s="80"/>
      <c r="L601" s="80"/>
      <c r="M601" s="84"/>
    </row>
    <row r="602" spans="1:13" ht="15.75" x14ac:dyDescent="0.25">
      <c r="A602" s="77"/>
      <c r="B602" s="78"/>
      <c r="C602" s="80"/>
      <c r="D602" s="80"/>
      <c r="E602" s="80"/>
      <c r="F602" s="80"/>
      <c r="G602" s="80"/>
      <c r="H602" s="80"/>
      <c r="I602" s="80"/>
      <c r="J602" s="80"/>
      <c r="K602" s="80"/>
      <c r="L602" s="80"/>
      <c r="M602" s="84"/>
    </row>
    <row r="603" spans="1:13" ht="15.75" x14ac:dyDescent="0.25">
      <c r="A603" s="77"/>
      <c r="B603" s="78"/>
      <c r="C603" s="80"/>
      <c r="D603" s="80"/>
      <c r="E603" s="80"/>
      <c r="F603" s="80"/>
      <c r="G603" s="80"/>
      <c r="H603" s="80"/>
      <c r="I603" s="80"/>
      <c r="J603" s="80"/>
      <c r="K603" s="80"/>
      <c r="L603" s="80"/>
      <c r="M603" s="84"/>
    </row>
    <row r="604" spans="1:13" ht="15.75" x14ac:dyDescent="0.25">
      <c r="A604" s="77"/>
      <c r="B604" s="78"/>
      <c r="C604" s="80"/>
      <c r="D604" s="80"/>
      <c r="E604" s="80"/>
      <c r="F604" s="80"/>
      <c r="G604" s="80"/>
      <c r="H604" s="80"/>
      <c r="I604" s="80"/>
      <c r="J604" s="80"/>
      <c r="K604" s="80"/>
      <c r="L604" s="80"/>
      <c r="M604" s="84"/>
    </row>
    <row r="605" spans="1:13" ht="15.75" x14ac:dyDescent="0.25">
      <c r="A605" s="77"/>
      <c r="B605" s="78"/>
      <c r="C605" s="80"/>
      <c r="D605" s="80"/>
      <c r="E605" s="80"/>
      <c r="F605" s="80"/>
      <c r="G605" s="80"/>
      <c r="H605" s="80"/>
      <c r="I605" s="80"/>
      <c r="J605" s="80"/>
      <c r="K605" s="80"/>
      <c r="L605" s="80"/>
      <c r="M605" s="84"/>
    </row>
    <row r="606" spans="1:13" ht="15.75" x14ac:dyDescent="0.25">
      <c r="A606" s="77"/>
      <c r="B606" s="78"/>
      <c r="C606" s="80"/>
      <c r="D606" s="80"/>
      <c r="E606" s="80"/>
      <c r="F606" s="80"/>
      <c r="G606" s="80"/>
      <c r="H606" s="80"/>
      <c r="I606" s="80"/>
      <c r="J606" s="80"/>
      <c r="K606" s="80"/>
      <c r="L606" s="80"/>
      <c r="M606" s="84"/>
    </row>
    <row r="607" spans="1:13" ht="15.75" x14ac:dyDescent="0.25">
      <c r="A607" s="77"/>
      <c r="B607" s="78"/>
      <c r="C607" s="80"/>
      <c r="D607" s="80"/>
      <c r="E607" s="80"/>
      <c r="F607" s="80"/>
      <c r="G607" s="80"/>
      <c r="H607" s="80"/>
      <c r="I607" s="80"/>
      <c r="J607" s="80"/>
      <c r="K607" s="80"/>
      <c r="L607" s="80"/>
      <c r="M607" s="84"/>
    </row>
    <row r="608" spans="1:13" ht="15.75" x14ac:dyDescent="0.25">
      <c r="A608" s="77"/>
      <c r="B608" s="78"/>
      <c r="C608" s="80"/>
      <c r="D608" s="80"/>
      <c r="E608" s="80"/>
      <c r="F608" s="80"/>
      <c r="G608" s="80"/>
      <c r="H608" s="80"/>
      <c r="I608" s="80"/>
      <c r="J608" s="80"/>
      <c r="K608" s="80"/>
      <c r="L608" s="80"/>
      <c r="M608" s="84"/>
    </row>
    <row r="609" spans="1:13" ht="15.75" x14ac:dyDescent="0.25">
      <c r="A609" s="77"/>
      <c r="B609" s="78"/>
      <c r="C609" s="80"/>
      <c r="D609" s="80"/>
      <c r="E609" s="80"/>
      <c r="F609" s="80"/>
      <c r="G609" s="80"/>
      <c r="H609" s="80"/>
      <c r="I609" s="80"/>
      <c r="J609" s="80"/>
      <c r="K609" s="80"/>
      <c r="L609" s="80"/>
      <c r="M609" s="84"/>
    </row>
    <row r="610" spans="1:13" ht="15.75" x14ac:dyDescent="0.25">
      <c r="A610" s="77"/>
      <c r="B610" s="78"/>
      <c r="C610" s="80"/>
      <c r="D610" s="80"/>
      <c r="E610" s="80"/>
      <c r="F610" s="80"/>
      <c r="G610" s="80"/>
      <c r="H610" s="80"/>
      <c r="I610" s="80"/>
      <c r="J610" s="80"/>
      <c r="K610" s="80"/>
      <c r="L610" s="80"/>
      <c r="M610" s="84"/>
    </row>
    <row r="611" spans="1:13" ht="15.75" x14ac:dyDescent="0.25">
      <c r="A611" s="77"/>
      <c r="B611" s="78"/>
      <c r="C611" s="80"/>
      <c r="D611" s="80"/>
      <c r="E611" s="80"/>
      <c r="F611" s="80"/>
      <c r="G611" s="80"/>
      <c r="H611" s="80"/>
      <c r="I611" s="80"/>
      <c r="J611" s="80"/>
      <c r="K611" s="80"/>
      <c r="L611" s="80"/>
      <c r="M611" s="84"/>
    </row>
    <row r="612" spans="1:13" ht="15.75" x14ac:dyDescent="0.25">
      <c r="A612" s="77"/>
      <c r="B612" s="78"/>
      <c r="C612" s="80"/>
      <c r="D612" s="80"/>
      <c r="E612" s="80"/>
      <c r="F612" s="80"/>
      <c r="G612" s="80"/>
      <c r="H612" s="80"/>
      <c r="I612" s="80"/>
      <c r="J612" s="80"/>
      <c r="K612" s="80"/>
      <c r="L612" s="80"/>
      <c r="M612" s="84"/>
    </row>
    <row r="613" spans="1:13" ht="15.75" x14ac:dyDescent="0.25">
      <c r="A613" s="77"/>
      <c r="B613" s="78"/>
      <c r="C613" s="80"/>
      <c r="D613" s="80"/>
      <c r="E613" s="80"/>
      <c r="F613" s="80"/>
      <c r="G613" s="80"/>
      <c r="H613" s="80"/>
      <c r="I613" s="80"/>
      <c r="J613" s="80"/>
      <c r="K613" s="80"/>
      <c r="L613" s="80"/>
      <c r="M613" s="84"/>
    </row>
    <row r="614" spans="1:13" ht="15.75" x14ac:dyDescent="0.25">
      <c r="A614" s="77"/>
      <c r="B614" s="78"/>
      <c r="C614" s="80"/>
      <c r="D614" s="80"/>
      <c r="E614" s="80"/>
      <c r="F614" s="80"/>
      <c r="G614" s="80"/>
      <c r="H614" s="80"/>
      <c r="I614" s="80"/>
      <c r="J614" s="80"/>
      <c r="K614" s="80"/>
      <c r="L614" s="80"/>
      <c r="M614" s="84"/>
    </row>
    <row r="615" spans="1:13" ht="15.75" x14ac:dyDescent="0.25">
      <c r="A615" s="77"/>
      <c r="B615" s="78"/>
      <c r="C615" s="80"/>
      <c r="D615" s="80"/>
      <c r="E615" s="80"/>
      <c r="F615" s="80"/>
      <c r="G615" s="80"/>
      <c r="H615" s="80"/>
      <c r="I615" s="80"/>
      <c r="J615" s="80"/>
      <c r="K615" s="80"/>
      <c r="L615" s="80"/>
      <c r="M615" s="84"/>
    </row>
    <row r="616" spans="1:13" ht="15.75" x14ac:dyDescent="0.25">
      <c r="A616" s="77"/>
      <c r="B616" s="78"/>
      <c r="C616" s="80"/>
      <c r="D616" s="80"/>
      <c r="E616" s="80"/>
      <c r="F616" s="80"/>
      <c r="G616" s="80"/>
      <c r="H616" s="80"/>
      <c r="I616" s="80"/>
      <c r="J616" s="80"/>
      <c r="K616" s="80"/>
      <c r="L616" s="80"/>
      <c r="M616" s="84"/>
    </row>
    <row r="617" spans="1:13" ht="15.75" x14ac:dyDescent="0.25">
      <c r="A617" s="77"/>
      <c r="B617" s="78"/>
      <c r="C617" s="80"/>
      <c r="D617" s="80"/>
      <c r="E617" s="80"/>
      <c r="F617" s="80"/>
      <c r="G617" s="80"/>
      <c r="H617" s="80"/>
      <c r="I617" s="80"/>
      <c r="J617" s="80"/>
      <c r="K617" s="80"/>
      <c r="L617" s="80"/>
      <c r="M617" s="84"/>
    </row>
    <row r="618" spans="1:13" ht="15.75" x14ac:dyDescent="0.25">
      <c r="A618" s="77"/>
      <c r="B618" s="78"/>
      <c r="C618" s="80"/>
      <c r="D618" s="80"/>
      <c r="E618" s="80"/>
      <c r="F618" s="80"/>
      <c r="G618" s="80"/>
      <c r="H618" s="80"/>
      <c r="I618" s="80"/>
      <c r="J618" s="80"/>
      <c r="K618" s="80"/>
      <c r="L618" s="80"/>
      <c r="M618" s="84"/>
    </row>
    <row r="619" spans="1:13" ht="15.75" x14ac:dyDescent="0.25">
      <c r="A619" s="77"/>
      <c r="B619" s="78"/>
      <c r="C619" s="80"/>
      <c r="D619" s="80"/>
      <c r="E619" s="80"/>
      <c r="F619" s="80"/>
      <c r="G619" s="80"/>
      <c r="H619" s="80"/>
      <c r="I619" s="80"/>
      <c r="J619" s="80"/>
      <c r="K619" s="80"/>
      <c r="L619" s="80"/>
      <c r="M619" s="84"/>
    </row>
    <row r="620" spans="1:13" ht="15.75" x14ac:dyDescent="0.25">
      <c r="A620" s="77"/>
      <c r="B620" s="78"/>
      <c r="C620" s="80"/>
      <c r="D620" s="80"/>
      <c r="E620" s="80"/>
      <c r="F620" s="80"/>
      <c r="G620" s="80"/>
      <c r="H620" s="80"/>
      <c r="I620" s="80"/>
      <c r="J620" s="80"/>
      <c r="K620" s="80"/>
      <c r="L620" s="80"/>
      <c r="M620" s="84"/>
    </row>
    <row r="621" spans="1:13" ht="15.75" x14ac:dyDescent="0.25">
      <c r="A621" s="77"/>
      <c r="B621" s="78"/>
      <c r="C621" s="80"/>
      <c r="D621" s="80"/>
      <c r="E621" s="80"/>
      <c r="F621" s="80"/>
      <c r="G621" s="80"/>
      <c r="H621" s="80"/>
      <c r="I621" s="80"/>
      <c r="J621" s="80"/>
      <c r="K621" s="80"/>
      <c r="L621" s="80"/>
      <c r="M621" s="84"/>
    </row>
    <row r="622" spans="1:13" ht="15.75" x14ac:dyDescent="0.25">
      <c r="A622" s="77"/>
      <c r="B622" s="78"/>
      <c r="C622" s="80"/>
      <c r="D622" s="80"/>
      <c r="E622" s="80"/>
      <c r="F622" s="80"/>
      <c r="G622" s="80"/>
      <c r="H622" s="80"/>
      <c r="I622" s="80"/>
      <c r="J622" s="80"/>
      <c r="K622" s="80"/>
      <c r="L622" s="80"/>
      <c r="M622" s="84"/>
    </row>
    <row r="623" spans="1:13" ht="15.75" x14ac:dyDescent="0.25">
      <c r="A623" s="77"/>
      <c r="B623" s="78"/>
      <c r="C623" s="80"/>
      <c r="D623" s="80"/>
      <c r="E623" s="80"/>
      <c r="F623" s="80"/>
      <c r="G623" s="80"/>
      <c r="H623" s="80"/>
      <c r="I623" s="80"/>
      <c r="J623" s="80"/>
      <c r="K623" s="80"/>
      <c r="L623" s="80"/>
      <c r="M623" s="84"/>
    </row>
    <row r="624" spans="1:13" ht="15.75" x14ac:dyDescent="0.25">
      <c r="A624" s="77"/>
      <c r="B624" s="78"/>
      <c r="C624" s="80"/>
      <c r="D624" s="80"/>
      <c r="E624" s="80"/>
      <c r="F624" s="80"/>
      <c r="G624" s="80"/>
      <c r="H624" s="80"/>
      <c r="I624" s="80"/>
      <c r="J624" s="80"/>
      <c r="K624" s="80"/>
      <c r="L624" s="80"/>
      <c r="M624" s="84"/>
    </row>
    <row r="625" spans="1:13" ht="15.75" x14ac:dyDescent="0.25">
      <c r="A625" s="77"/>
      <c r="B625" s="78"/>
      <c r="C625" s="80"/>
      <c r="D625" s="80"/>
      <c r="E625" s="80"/>
      <c r="F625" s="80"/>
      <c r="G625" s="80"/>
      <c r="H625" s="80"/>
      <c r="I625" s="80"/>
      <c r="J625" s="80"/>
      <c r="K625" s="80"/>
      <c r="L625" s="80"/>
      <c r="M625" s="84"/>
    </row>
    <row r="626" spans="1:13" ht="15.75" x14ac:dyDescent="0.25">
      <c r="A626" s="77"/>
      <c r="B626" s="78"/>
      <c r="C626" s="80"/>
      <c r="D626" s="80"/>
      <c r="E626" s="80"/>
      <c r="F626" s="80"/>
      <c r="G626" s="80"/>
      <c r="H626" s="80"/>
      <c r="I626" s="80"/>
      <c r="J626" s="80"/>
      <c r="K626" s="80"/>
      <c r="L626" s="80"/>
      <c r="M626" s="84"/>
    </row>
    <row r="627" spans="1:13" ht="15.75" x14ac:dyDescent="0.25">
      <c r="A627" s="77"/>
      <c r="B627" s="78"/>
      <c r="C627" s="80"/>
      <c r="D627" s="80"/>
      <c r="E627" s="80"/>
      <c r="F627" s="80"/>
      <c r="G627" s="80"/>
      <c r="H627" s="80"/>
      <c r="I627" s="80"/>
      <c r="J627" s="80"/>
      <c r="K627" s="80"/>
      <c r="L627" s="80"/>
      <c r="M627" s="84"/>
    </row>
    <row r="628" spans="1:13" ht="15.75" x14ac:dyDescent="0.25">
      <c r="A628" s="77"/>
      <c r="B628" s="78"/>
      <c r="C628" s="80"/>
      <c r="D628" s="80"/>
      <c r="E628" s="80"/>
      <c r="F628" s="80"/>
      <c r="G628" s="80"/>
      <c r="H628" s="80"/>
      <c r="I628" s="80"/>
      <c r="J628" s="80"/>
      <c r="K628" s="80"/>
      <c r="L628" s="80"/>
      <c r="M628" s="84"/>
    </row>
    <row r="629" spans="1:13" ht="15.75" x14ac:dyDescent="0.25">
      <c r="A629" s="77"/>
      <c r="B629" s="78"/>
      <c r="C629" s="80"/>
      <c r="D629" s="80"/>
      <c r="E629" s="80"/>
      <c r="F629" s="80"/>
      <c r="G629" s="80"/>
      <c r="H629" s="80"/>
      <c r="I629" s="80"/>
      <c r="J629" s="80"/>
      <c r="K629" s="80"/>
      <c r="L629" s="80"/>
      <c r="M629" s="84"/>
    </row>
    <row r="630" spans="1:13" ht="15.75" x14ac:dyDescent="0.25">
      <c r="A630" s="77"/>
      <c r="B630" s="78"/>
      <c r="C630" s="80"/>
      <c r="D630" s="80"/>
      <c r="E630" s="80"/>
      <c r="F630" s="80"/>
      <c r="G630" s="80"/>
      <c r="H630" s="80"/>
      <c r="I630" s="80"/>
      <c r="J630" s="80"/>
      <c r="K630" s="80"/>
      <c r="L630" s="80"/>
      <c r="M630" s="84"/>
    </row>
    <row r="631" spans="1:13" ht="15.75" x14ac:dyDescent="0.25">
      <c r="A631" s="77"/>
      <c r="B631" s="78"/>
      <c r="C631" s="80"/>
      <c r="D631" s="80"/>
      <c r="E631" s="80"/>
      <c r="F631" s="80"/>
      <c r="G631" s="80"/>
      <c r="H631" s="80"/>
      <c r="I631" s="80"/>
      <c r="J631" s="80"/>
      <c r="K631" s="80"/>
      <c r="L631" s="80"/>
      <c r="M631" s="84"/>
    </row>
    <row r="632" spans="1:13" ht="15.75" x14ac:dyDescent="0.25">
      <c r="A632" s="77"/>
      <c r="B632" s="78"/>
      <c r="C632" s="80"/>
      <c r="D632" s="80"/>
      <c r="E632" s="80"/>
      <c r="F632" s="80"/>
      <c r="G632" s="80"/>
      <c r="H632" s="80"/>
      <c r="I632" s="80"/>
      <c r="J632" s="80"/>
      <c r="K632" s="80"/>
      <c r="L632" s="80"/>
      <c r="M632" s="84"/>
    </row>
    <row r="633" spans="1:13" ht="15.75" x14ac:dyDescent="0.25">
      <c r="A633" s="77"/>
      <c r="B633" s="78"/>
      <c r="C633" s="80"/>
      <c r="D633" s="80"/>
      <c r="E633" s="80"/>
      <c r="F633" s="80"/>
      <c r="G633" s="80"/>
      <c r="H633" s="80"/>
      <c r="I633" s="80"/>
      <c r="J633" s="80"/>
      <c r="K633" s="80"/>
      <c r="L633" s="80"/>
      <c r="M633" s="84"/>
    </row>
    <row r="634" spans="1:13" ht="15.75" x14ac:dyDescent="0.25">
      <c r="A634" s="77"/>
      <c r="B634" s="78"/>
      <c r="C634" s="80"/>
      <c r="D634" s="80"/>
      <c r="E634" s="80"/>
      <c r="F634" s="80"/>
      <c r="G634" s="80"/>
      <c r="H634" s="80"/>
      <c r="I634" s="80"/>
      <c r="J634" s="80"/>
      <c r="K634" s="80"/>
      <c r="L634" s="80"/>
      <c r="M634" s="84"/>
    </row>
    <row r="635" spans="1:13" ht="15.75" x14ac:dyDescent="0.25">
      <c r="A635" s="77"/>
      <c r="B635" s="78"/>
      <c r="C635" s="80"/>
      <c r="D635" s="80"/>
      <c r="E635" s="80"/>
      <c r="F635" s="80"/>
      <c r="G635" s="80"/>
      <c r="H635" s="80"/>
      <c r="I635" s="80"/>
      <c r="J635" s="80"/>
      <c r="K635" s="80"/>
      <c r="L635" s="80"/>
      <c r="M635" s="84"/>
    </row>
    <row r="636" spans="1:13" ht="15.75" x14ac:dyDescent="0.25">
      <c r="A636" s="77"/>
      <c r="B636" s="78"/>
      <c r="C636" s="80"/>
      <c r="D636" s="80"/>
      <c r="E636" s="80"/>
      <c r="F636" s="80"/>
      <c r="G636" s="80"/>
      <c r="H636" s="80"/>
      <c r="I636" s="80"/>
      <c r="J636" s="80"/>
      <c r="K636" s="80"/>
      <c r="L636" s="80"/>
      <c r="M636" s="84"/>
    </row>
    <row r="637" spans="1:13" ht="15.75" x14ac:dyDescent="0.25">
      <c r="A637" s="77"/>
      <c r="B637" s="78"/>
      <c r="C637" s="80"/>
      <c r="D637" s="80"/>
      <c r="E637" s="80"/>
      <c r="F637" s="80"/>
      <c r="G637" s="80"/>
      <c r="H637" s="80"/>
      <c r="I637" s="80"/>
      <c r="J637" s="80"/>
      <c r="K637" s="80"/>
      <c r="L637" s="80"/>
      <c r="M637" s="84"/>
    </row>
    <row r="638" spans="1:13" ht="15.75" x14ac:dyDescent="0.25">
      <c r="A638" s="77"/>
      <c r="B638" s="78"/>
      <c r="C638" s="80"/>
      <c r="D638" s="80"/>
      <c r="E638" s="80"/>
      <c r="F638" s="80"/>
      <c r="G638" s="80"/>
      <c r="H638" s="80"/>
      <c r="I638" s="80"/>
      <c r="J638" s="80"/>
      <c r="K638" s="80"/>
      <c r="L638" s="80"/>
      <c r="M638" s="84"/>
    </row>
    <row r="639" spans="1:13" ht="15.75" x14ac:dyDescent="0.25">
      <c r="A639" s="77"/>
      <c r="B639" s="78"/>
      <c r="C639" s="80"/>
      <c r="D639" s="80"/>
      <c r="E639" s="80"/>
      <c r="F639" s="80"/>
      <c r="G639" s="80"/>
      <c r="H639" s="80"/>
      <c r="I639" s="80"/>
      <c r="J639" s="80"/>
      <c r="K639" s="80"/>
      <c r="L639" s="80"/>
      <c r="M639" s="84"/>
    </row>
    <row r="640" spans="1:13" ht="15.75" x14ac:dyDescent="0.25">
      <c r="A640" s="77"/>
      <c r="B640" s="78"/>
      <c r="C640" s="80"/>
      <c r="D640" s="80"/>
      <c r="E640" s="80"/>
      <c r="F640" s="80"/>
      <c r="G640" s="80"/>
      <c r="H640" s="80"/>
      <c r="I640" s="80"/>
      <c r="J640" s="80"/>
      <c r="K640" s="80"/>
      <c r="L640" s="80"/>
      <c r="M640" s="84"/>
    </row>
    <row r="641" spans="1:13" ht="15.75" x14ac:dyDescent="0.25">
      <c r="A641" s="77"/>
      <c r="B641" s="78"/>
      <c r="C641" s="80"/>
      <c r="D641" s="80"/>
      <c r="E641" s="80"/>
      <c r="F641" s="80"/>
      <c r="G641" s="80"/>
      <c r="H641" s="80"/>
      <c r="I641" s="80"/>
      <c r="J641" s="80"/>
      <c r="K641" s="80"/>
      <c r="L641" s="80"/>
      <c r="M641" s="84"/>
    </row>
    <row r="642" spans="1:13" ht="15.75" x14ac:dyDescent="0.25">
      <c r="A642" s="77"/>
      <c r="B642" s="78"/>
      <c r="C642" s="80"/>
      <c r="D642" s="80"/>
      <c r="E642" s="80"/>
      <c r="F642" s="80"/>
      <c r="G642" s="80"/>
      <c r="H642" s="80"/>
      <c r="I642" s="80"/>
      <c r="J642" s="80"/>
      <c r="K642" s="80"/>
      <c r="L642" s="80"/>
      <c r="M642" s="84"/>
    </row>
    <row r="643" spans="1:13" ht="15.75" x14ac:dyDescent="0.25">
      <c r="A643" s="77"/>
      <c r="B643" s="78"/>
      <c r="C643" s="80"/>
      <c r="D643" s="80"/>
      <c r="E643" s="80"/>
      <c r="F643" s="80"/>
      <c r="G643" s="80"/>
      <c r="H643" s="80"/>
      <c r="I643" s="80"/>
      <c r="J643" s="80"/>
      <c r="K643" s="80"/>
      <c r="L643" s="80"/>
      <c r="M643" s="84"/>
    </row>
    <row r="644" spans="1:13" ht="15.75" x14ac:dyDescent="0.25">
      <c r="A644" s="77"/>
      <c r="B644" s="78"/>
      <c r="C644" s="80"/>
      <c r="D644" s="80"/>
      <c r="E644" s="80"/>
      <c r="F644" s="80"/>
      <c r="G644" s="80"/>
      <c r="H644" s="80"/>
      <c r="I644" s="80"/>
      <c r="J644" s="80"/>
      <c r="K644" s="80"/>
      <c r="L644" s="80"/>
      <c r="M644" s="84"/>
    </row>
    <row r="645" spans="1:13" ht="15.75" x14ac:dyDescent="0.25">
      <c r="A645" s="77"/>
      <c r="B645" s="78"/>
      <c r="C645" s="80"/>
      <c r="D645" s="80"/>
      <c r="E645" s="80"/>
      <c r="F645" s="80"/>
      <c r="G645" s="80"/>
      <c r="H645" s="80"/>
      <c r="I645" s="80"/>
      <c r="J645" s="80"/>
      <c r="K645" s="80"/>
      <c r="L645" s="80"/>
      <c r="M645" s="84"/>
    </row>
    <row r="646" spans="1:13" ht="15.75" x14ac:dyDescent="0.25">
      <c r="A646" s="77"/>
      <c r="B646" s="78"/>
      <c r="C646" s="80"/>
      <c r="D646" s="80"/>
      <c r="E646" s="80"/>
      <c r="F646" s="80"/>
      <c r="G646" s="80"/>
      <c r="H646" s="80"/>
      <c r="I646" s="80"/>
      <c r="J646" s="80"/>
      <c r="K646" s="80"/>
      <c r="L646" s="80"/>
      <c r="M646" s="84"/>
    </row>
    <row r="647" spans="1:13" ht="15.75" x14ac:dyDescent="0.25">
      <c r="A647" s="77"/>
      <c r="B647" s="78"/>
      <c r="C647" s="80"/>
      <c r="D647" s="80"/>
      <c r="E647" s="80"/>
      <c r="F647" s="80"/>
      <c r="G647" s="80"/>
      <c r="H647" s="80"/>
      <c r="I647" s="80"/>
      <c r="J647" s="80"/>
      <c r="K647" s="80"/>
      <c r="L647" s="80"/>
      <c r="M647" s="84"/>
    </row>
    <row r="648" spans="1:13" ht="15.75" x14ac:dyDescent="0.25">
      <c r="A648" s="77"/>
      <c r="B648" s="78"/>
      <c r="C648" s="80"/>
      <c r="D648" s="80"/>
      <c r="E648" s="80"/>
      <c r="F648" s="80"/>
      <c r="G648" s="80"/>
      <c r="H648" s="80"/>
      <c r="I648" s="80"/>
      <c r="J648" s="80"/>
      <c r="K648" s="80"/>
      <c r="L648" s="80"/>
      <c r="M648" s="84"/>
    </row>
    <row r="649" spans="1:13" ht="15.75" x14ac:dyDescent="0.25">
      <c r="A649" s="77"/>
      <c r="B649" s="78"/>
      <c r="C649" s="80"/>
      <c r="D649" s="80"/>
      <c r="E649" s="80"/>
      <c r="F649" s="80"/>
      <c r="G649" s="80"/>
      <c r="H649" s="80"/>
      <c r="I649" s="80"/>
      <c r="J649" s="80"/>
      <c r="K649" s="80"/>
      <c r="L649" s="80"/>
      <c r="M649" s="84"/>
    </row>
    <row r="650" spans="1:13" ht="15.75" x14ac:dyDescent="0.25">
      <c r="A650" s="77"/>
      <c r="B650" s="78"/>
      <c r="C650" s="80"/>
      <c r="D650" s="80"/>
      <c r="E650" s="80"/>
      <c r="F650" s="80"/>
      <c r="G650" s="80"/>
      <c r="H650" s="80"/>
      <c r="I650" s="80"/>
      <c r="J650" s="80"/>
      <c r="K650" s="80"/>
      <c r="L650" s="80"/>
      <c r="M650" s="84"/>
    </row>
    <row r="651" spans="1:13" ht="15.75" x14ac:dyDescent="0.25">
      <c r="A651" s="77"/>
      <c r="B651" s="78"/>
      <c r="C651" s="80"/>
      <c r="D651" s="80"/>
      <c r="E651" s="80"/>
      <c r="F651" s="80"/>
      <c r="G651" s="80"/>
      <c r="H651" s="80"/>
      <c r="I651" s="80"/>
      <c r="J651" s="80"/>
      <c r="K651" s="80"/>
      <c r="L651" s="80"/>
      <c r="M651" s="84"/>
    </row>
    <row r="652" spans="1:13" ht="15.75" x14ac:dyDescent="0.25">
      <c r="A652" s="77"/>
      <c r="B652" s="78"/>
      <c r="C652" s="80"/>
      <c r="D652" s="80"/>
      <c r="E652" s="80"/>
      <c r="F652" s="80"/>
      <c r="G652" s="80"/>
      <c r="H652" s="80"/>
      <c r="I652" s="80"/>
      <c r="J652" s="80"/>
      <c r="K652" s="80"/>
      <c r="L652" s="80"/>
      <c r="M652" s="84"/>
    </row>
    <row r="653" spans="1:13" ht="15.75" x14ac:dyDescent="0.25">
      <c r="A653" s="77"/>
      <c r="B653" s="78"/>
      <c r="C653" s="80"/>
      <c r="D653" s="80"/>
      <c r="E653" s="80"/>
      <c r="F653" s="80"/>
      <c r="G653" s="80"/>
      <c r="H653" s="80"/>
      <c r="I653" s="80"/>
      <c r="J653" s="80"/>
      <c r="K653" s="80"/>
      <c r="L653" s="80"/>
      <c r="M653" s="84"/>
    </row>
    <row r="654" spans="1:13" ht="15.75" x14ac:dyDescent="0.25">
      <c r="A654" s="77"/>
      <c r="B654" s="78"/>
      <c r="C654" s="80"/>
      <c r="D654" s="80"/>
      <c r="E654" s="80"/>
      <c r="F654" s="80"/>
      <c r="G654" s="80"/>
      <c r="H654" s="80"/>
      <c r="I654" s="80"/>
      <c r="J654" s="80"/>
      <c r="K654" s="80"/>
      <c r="L654" s="80"/>
      <c r="M654" s="84"/>
    </row>
    <row r="655" spans="1:13" ht="15.75" x14ac:dyDescent="0.25">
      <c r="A655" s="77"/>
      <c r="B655" s="78"/>
      <c r="C655" s="80"/>
      <c r="D655" s="80"/>
      <c r="E655" s="80"/>
      <c r="F655" s="80"/>
      <c r="G655" s="80"/>
      <c r="H655" s="80"/>
      <c r="I655" s="80"/>
      <c r="J655" s="80"/>
      <c r="K655" s="80"/>
      <c r="L655" s="80"/>
      <c r="M655" s="84"/>
    </row>
    <row r="656" spans="1:13" ht="15.75" x14ac:dyDescent="0.25">
      <c r="A656" s="77"/>
      <c r="B656" s="78"/>
      <c r="C656" s="80"/>
      <c r="D656" s="80"/>
      <c r="E656" s="80"/>
      <c r="F656" s="80"/>
      <c r="G656" s="80"/>
      <c r="H656" s="80"/>
      <c r="I656" s="80"/>
      <c r="J656" s="80"/>
      <c r="K656" s="80"/>
      <c r="L656" s="80"/>
      <c r="M656" s="84"/>
    </row>
    <row r="657" spans="1:13" ht="15.75" x14ac:dyDescent="0.25">
      <c r="A657" s="77"/>
      <c r="B657" s="78"/>
      <c r="C657" s="80"/>
      <c r="D657" s="80"/>
      <c r="E657" s="80"/>
      <c r="F657" s="80"/>
      <c r="G657" s="80"/>
      <c r="H657" s="80"/>
      <c r="I657" s="80"/>
      <c r="J657" s="80"/>
      <c r="K657" s="80"/>
      <c r="L657" s="80"/>
      <c r="M657" s="84"/>
    </row>
    <row r="658" spans="1:13" ht="15.75" x14ac:dyDescent="0.25">
      <c r="A658" s="77"/>
      <c r="B658" s="78"/>
      <c r="C658" s="80"/>
      <c r="D658" s="80"/>
      <c r="E658" s="80"/>
      <c r="F658" s="80"/>
      <c r="G658" s="80"/>
      <c r="H658" s="80"/>
      <c r="I658" s="80"/>
      <c r="J658" s="80"/>
      <c r="K658" s="80"/>
      <c r="L658" s="80"/>
      <c r="M658" s="84"/>
    </row>
    <row r="659" spans="1:13" ht="15.75" x14ac:dyDescent="0.25">
      <c r="A659" s="77"/>
      <c r="B659" s="78"/>
      <c r="C659" s="80"/>
      <c r="D659" s="80"/>
      <c r="E659" s="80"/>
      <c r="F659" s="80"/>
      <c r="G659" s="80"/>
      <c r="H659" s="80"/>
      <c r="I659" s="80"/>
      <c r="J659" s="80"/>
      <c r="K659" s="80"/>
      <c r="L659" s="80"/>
      <c r="M659" s="84"/>
    </row>
    <row r="660" spans="1:13" ht="15.75" x14ac:dyDescent="0.25">
      <c r="A660" s="77"/>
      <c r="B660" s="78"/>
      <c r="C660" s="80"/>
      <c r="D660" s="80"/>
      <c r="E660" s="80"/>
      <c r="F660" s="80"/>
      <c r="G660" s="80"/>
      <c r="H660" s="80"/>
      <c r="I660" s="80"/>
      <c r="J660" s="80"/>
      <c r="K660" s="80"/>
      <c r="L660" s="80"/>
      <c r="M660" s="84"/>
    </row>
    <row r="661" spans="1:13" ht="15.75" x14ac:dyDescent="0.25">
      <c r="A661" s="77"/>
      <c r="B661" s="78"/>
      <c r="C661" s="80"/>
      <c r="D661" s="80"/>
      <c r="E661" s="80"/>
      <c r="F661" s="80"/>
      <c r="G661" s="80"/>
      <c r="H661" s="80"/>
      <c r="I661" s="80"/>
      <c r="J661" s="80"/>
      <c r="K661" s="80"/>
      <c r="L661" s="80"/>
      <c r="M661" s="84"/>
    </row>
    <row r="662" spans="1:13" ht="15.75" x14ac:dyDescent="0.25">
      <c r="A662" s="77"/>
      <c r="B662" s="78"/>
      <c r="C662" s="80"/>
      <c r="D662" s="80"/>
      <c r="E662" s="80"/>
      <c r="F662" s="80"/>
      <c r="G662" s="80"/>
      <c r="H662" s="80"/>
      <c r="I662" s="80"/>
      <c r="J662" s="80"/>
      <c r="K662" s="80"/>
      <c r="L662" s="80"/>
      <c r="M662" s="84"/>
    </row>
    <row r="663" spans="1:13" ht="15.75" x14ac:dyDescent="0.25">
      <c r="A663" s="77"/>
      <c r="B663" s="78"/>
      <c r="C663" s="80"/>
      <c r="D663" s="80"/>
      <c r="E663" s="80"/>
      <c r="F663" s="80"/>
      <c r="G663" s="80"/>
      <c r="H663" s="80"/>
      <c r="I663" s="80"/>
      <c r="J663" s="80"/>
      <c r="K663" s="80"/>
      <c r="L663" s="80"/>
      <c r="M663" s="84"/>
    </row>
    <row r="664" spans="1:13" ht="15.75" x14ac:dyDescent="0.25">
      <c r="A664" s="77"/>
      <c r="B664" s="78"/>
      <c r="C664" s="80"/>
      <c r="D664" s="80"/>
      <c r="E664" s="80"/>
      <c r="F664" s="80"/>
      <c r="G664" s="80"/>
      <c r="H664" s="80"/>
      <c r="I664" s="80"/>
      <c r="J664" s="80"/>
      <c r="K664" s="80"/>
      <c r="L664" s="80"/>
      <c r="M664" s="84"/>
    </row>
    <row r="665" spans="1:13" ht="15.75" x14ac:dyDescent="0.25">
      <c r="A665" s="77"/>
      <c r="B665" s="78"/>
      <c r="C665" s="80"/>
      <c r="D665" s="80"/>
      <c r="E665" s="80"/>
      <c r="F665" s="80"/>
      <c r="G665" s="80"/>
      <c r="H665" s="80"/>
      <c r="I665" s="80"/>
      <c r="J665" s="80"/>
      <c r="K665" s="80"/>
      <c r="L665" s="80"/>
      <c r="M665" s="84"/>
    </row>
    <row r="666" spans="1:13" ht="15.75" x14ac:dyDescent="0.25">
      <c r="A666" s="77"/>
      <c r="B666" s="78"/>
      <c r="C666" s="80"/>
      <c r="D666" s="80"/>
      <c r="E666" s="80"/>
      <c r="F666" s="80"/>
      <c r="G666" s="80"/>
      <c r="H666" s="80"/>
      <c r="I666" s="80"/>
      <c r="J666" s="80"/>
      <c r="K666" s="80"/>
      <c r="L666" s="80"/>
      <c r="M666" s="84"/>
    </row>
    <row r="667" spans="1:13" ht="15.75" x14ac:dyDescent="0.25">
      <c r="A667" s="77"/>
      <c r="B667" s="78"/>
      <c r="C667" s="80"/>
      <c r="D667" s="80"/>
      <c r="E667" s="80"/>
      <c r="F667" s="80"/>
      <c r="G667" s="80"/>
      <c r="H667" s="80"/>
      <c r="I667" s="80"/>
      <c r="J667" s="80"/>
      <c r="K667" s="80"/>
      <c r="L667" s="80"/>
      <c r="M667" s="84"/>
    </row>
    <row r="668" spans="1:13" ht="15.75" x14ac:dyDescent="0.25">
      <c r="A668" s="77"/>
      <c r="B668" s="78"/>
      <c r="C668" s="80"/>
      <c r="D668" s="80"/>
      <c r="E668" s="80"/>
      <c r="F668" s="80"/>
      <c r="G668" s="80"/>
      <c r="H668" s="80"/>
      <c r="I668" s="80"/>
      <c r="J668" s="80"/>
      <c r="K668" s="80"/>
      <c r="L668" s="80"/>
      <c r="M668" s="84"/>
    </row>
    <row r="669" spans="1:13" ht="15.75" x14ac:dyDescent="0.25">
      <c r="A669" s="77"/>
      <c r="B669" s="78"/>
      <c r="C669" s="80"/>
      <c r="D669" s="80"/>
      <c r="E669" s="80"/>
      <c r="F669" s="80"/>
      <c r="G669" s="80"/>
      <c r="H669" s="80"/>
      <c r="I669" s="80"/>
      <c r="J669" s="80"/>
      <c r="K669" s="80"/>
      <c r="L669" s="80"/>
      <c r="M669" s="84"/>
    </row>
    <row r="670" spans="1:13" ht="15.75" x14ac:dyDescent="0.25">
      <c r="A670" s="77"/>
      <c r="B670" s="78"/>
      <c r="C670" s="80"/>
      <c r="D670" s="80"/>
      <c r="E670" s="80"/>
      <c r="F670" s="80"/>
      <c r="G670" s="80"/>
      <c r="H670" s="80"/>
      <c r="I670" s="80"/>
      <c r="J670" s="80"/>
      <c r="K670" s="80"/>
      <c r="L670" s="80"/>
      <c r="M670" s="84"/>
    </row>
    <row r="671" spans="1:13" ht="15.75" x14ac:dyDescent="0.25">
      <c r="A671" s="77"/>
      <c r="B671" s="78"/>
      <c r="C671" s="80"/>
      <c r="D671" s="80"/>
      <c r="E671" s="80"/>
      <c r="F671" s="80"/>
      <c r="G671" s="80"/>
      <c r="H671" s="80"/>
      <c r="I671" s="80"/>
      <c r="J671" s="80"/>
      <c r="K671" s="80"/>
      <c r="L671" s="80"/>
      <c r="M671" s="84"/>
    </row>
    <row r="672" spans="1:13" ht="15.75" x14ac:dyDescent="0.25">
      <c r="A672" s="77"/>
      <c r="B672" s="78"/>
      <c r="C672" s="80"/>
      <c r="D672" s="80"/>
      <c r="E672" s="80"/>
      <c r="F672" s="80"/>
      <c r="G672" s="80"/>
      <c r="H672" s="80"/>
      <c r="I672" s="80"/>
      <c r="J672" s="80"/>
      <c r="K672" s="80"/>
      <c r="L672" s="80"/>
      <c r="M672" s="84"/>
    </row>
    <row r="673" spans="1:13" ht="15.75" x14ac:dyDescent="0.25">
      <c r="A673" s="77"/>
      <c r="B673" s="78"/>
      <c r="C673" s="80"/>
      <c r="D673" s="80"/>
      <c r="E673" s="80"/>
      <c r="F673" s="80"/>
      <c r="G673" s="80"/>
      <c r="H673" s="80"/>
      <c r="I673" s="80"/>
      <c r="J673" s="80"/>
      <c r="K673" s="80"/>
      <c r="L673" s="80"/>
      <c r="M673" s="84"/>
    </row>
    <row r="674" spans="1:13" ht="15.75" x14ac:dyDescent="0.25">
      <c r="A674" s="77"/>
      <c r="B674" s="78"/>
      <c r="C674" s="80"/>
      <c r="D674" s="80"/>
      <c r="E674" s="80"/>
      <c r="F674" s="80"/>
      <c r="G674" s="80"/>
      <c r="H674" s="80"/>
      <c r="I674" s="80"/>
      <c r="J674" s="80"/>
      <c r="K674" s="80"/>
      <c r="L674" s="80"/>
      <c r="M674" s="84"/>
    </row>
    <row r="675" spans="1:13" ht="15.75" x14ac:dyDescent="0.25">
      <c r="A675" s="77"/>
      <c r="B675" s="78"/>
      <c r="C675" s="80"/>
      <c r="D675" s="80"/>
      <c r="E675" s="80"/>
      <c r="F675" s="80"/>
      <c r="G675" s="80"/>
      <c r="H675" s="80"/>
      <c r="I675" s="80"/>
      <c r="J675" s="80"/>
      <c r="K675" s="80"/>
      <c r="L675" s="80"/>
      <c r="M675" s="84"/>
    </row>
    <row r="676" spans="1:13" ht="15.75" x14ac:dyDescent="0.25">
      <c r="A676" s="77"/>
      <c r="B676" s="78"/>
      <c r="C676" s="80"/>
      <c r="D676" s="80"/>
      <c r="E676" s="80"/>
      <c r="F676" s="80"/>
      <c r="G676" s="80"/>
      <c r="H676" s="80"/>
      <c r="I676" s="80"/>
      <c r="J676" s="80"/>
      <c r="K676" s="80"/>
      <c r="L676" s="80"/>
      <c r="M676" s="84"/>
    </row>
    <row r="677" spans="1:13" ht="15.75" x14ac:dyDescent="0.25">
      <c r="A677" s="77"/>
      <c r="B677" s="78"/>
      <c r="C677" s="80"/>
      <c r="D677" s="80"/>
      <c r="E677" s="80"/>
      <c r="F677" s="80"/>
      <c r="G677" s="80"/>
      <c r="H677" s="80"/>
      <c r="I677" s="80"/>
      <c r="J677" s="80"/>
      <c r="K677" s="80"/>
      <c r="L677" s="80"/>
      <c r="M677" s="84"/>
    </row>
    <row r="678" spans="1:13" ht="15.75" x14ac:dyDescent="0.25">
      <c r="A678" s="77"/>
      <c r="B678" s="78"/>
      <c r="C678" s="80"/>
      <c r="D678" s="80"/>
      <c r="E678" s="80"/>
      <c r="F678" s="80"/>
      <c r="G678" s="80"/>
      <c r="H678" s="80"/>
      <c r="I678" s="80"/>
      <c r="J678" s="80"/>
      <c r="K678" s="80"/>
      <c r="L678" s="80"/>
      <c r="M678" s="84"/>
    </row>
    <row r="679" spans="1:13" ht="15.75" x14ac:dyDescent="0.25">
      <c r="A679" s="77"/>
      <c r="B679" s="78"/>
      <c r="C679" s="80"/>
      <c r="D679" s="80"/>
      <c r="E679" s="80"/>
      <c r="F679" s="80"/>
      <c r="G679" s="80"/>
      <c r="H679" s="80"/>
      <c r="I679" s="80"/>
      <c r="J679" s="80"/>
      <c r="K679" s="80"/>
      <c r="L679" s="80"/>
      <c r="M679" s="84"/>
    </row>
    <row r="680" spans="1:13" ht="15.75" x14ac:dyDescent="0.25">
      <c r="A680" s="77"/>
      <c r="B680" s="78"/>
      <c r="C680" s="80"/>
      <c r="D680" s="80"/>
      <c r="E680" s="80"/>
      <c r="F680" s="80"/>
      <c r="G680" s="80"/>
      <c r="H680" s="80"/>
      <c r="I680" s="80"/>
      <c r="J680" s="80"/>
      <c r="K680" s="80"/>
      <c r="L680" s="80"/>
      <c r="M680" s="84"/>
    </row>
    <row r="681" spans="1:13" ht="15.75" x14ac:dyDescent="0.25">
      <c r="A681" s="77"/>
      <c r="B681" s="78"/>
      <c r="C681" s="80"/>
      <c r="D681" s="80"/>
      <c r="E681" s="80"/>
      <c r="F681" s="80"/>
      <c r="G681" s="80"/>
      <c r="H681" s="80"/>
      <c r="I681" s="80"/>
      <c r="J681" s="80"/>
      <c r="K681" s="80"/>
      <c r="L681" s="80"/>
      <c r="M681" s="84"/>
    </row>
    <row r="682" spans="1:13" ht="15.75" x14ac:dyDescent="0.25">
      <c r="A682" s="77"/>
      <c r="B682" s="78"/>
      <c r="C682" s="80"/>
      <c r="D682" s="80"/>
      <c r="E682" s="80"/>
      <c r="F682" s="80"/>
      <c r="G682" s="80"/>
      <c r="H682" s="80"/>
      <c r="I682" s="80"/>
      <c r="J682" s="80"/>
      <c r="K682" s="80"/>
      <c r="L682" s="80"/>
      <c r="M682" s="84"/>
    </row>
    <row r="683" spans="1:13" ht="15.75" x14ac:dyDescent="0.25">
      <c r="A683" s="77"/>
      <c r="B683" s="78"/>
      <c r="C683" s="80"/>
      <c r="D683" s="80"/>
      <c r="E683" s="80"/>
      <c r="F683" s="80"/>
      <c r="G683" s="80"/>
      <c r="H683" s="80"/>
      <c r="I683" s="80"/>
      <c r="J683" s="80"/>
      <c r="K683" s="80"/>
      <c r="L683" s="80"/>
      <c r="M683" s="84"/>
    </row>
    <row r="684" spans="1:13" ht="15.75" x14ac:dyDescent="0.25">
      <c r="A684" s="77"/>
      <c r="B684" s="78"/>
      <c r="C684" s="80"/>
      <c r="D684" s="80"/>
      <c r="E684" s="80"/>
      <c r="F684" s="80"/>
      <c r="G684" s="80"/>
      <c r="H684" s="80"/>
      <c r="I684" s="80"/>
      <c r="J684" s="80"/>
      <c r="K684" s="80"/>
      <c r="L684" s="80"/>
      <c r="M684" s="84"/>
    </row>
    <row r="685" spans="1:13" ht="15.75" x14ac:dyDescent="0.25">
      <c r="A685" s="77"/>
      <c r="B685" s="78"/>
      <c r="C685" s="80"/>
      <c r="D685" s="80"/>
      <c r="E685" s="80"/>
      <c r="F685" s="80"/>
      <c r="G685" s="80"/>
      <c r="H685" s="80"/>
      <c r="I685" s="80"/>
      <c r="J685" s="80"/>
      <c r="K685" s="80"/>
      <c r="L685" s="80"/>
      <c r="M685" s="84"/>
    </row>
    <row r="686" spans="1:13" ht="15.75" x14ac:dyDescent="0.25">
      <c r="A686" s="77"/>
      <c r="B686" s="78"/>
      <c r="C686" s="80"/>
      <c r="D686" s="80"/>
      <c r="E686" s="80"/>
      <c r="F686" s="80"/>
      <c r="G686" s="80"/>
      <c r="H686" s="80"/>
      <c r="I686" s="80"/>
      <c r="J686" s="80"/>
      <c r="K686" s="80"/>
      <c r="L686" s="80"/>
      <c r="M686" s="84"/>
    </row>
    <row r="687" spans="1:13" ht="15.75" x14ac:dyDescent="0.25">
      <c r="A687" s="77"/>
      <c r="B687" s="78"/>
      <c r="C687" s="80"/>
      <c r="D687" s="80"/>
      <c r="E687" s="80"/>
      <c r="F687" s="80"/>
      <c r="G687" s="80"/>
      <c r="H687" s="80"/>
      <c r="I687" s="80"/>
      <c r="J687" s="80"/>
      <c r="K687" s="80"/>
      <c r="L687" s="80"/>
      <c r="M687" s="84"/>
    </row>
    <row r="688" spans="1:13" ht="15.75" x14ac:dyDescent="0.25">
      <c r="A688" s="77"/>
      <c r="B688" s="78"/>
      <c r="C688" s="80"/>
      <c r="D688" s="80"/>
      <c r="E688" s="80"/>
      <c r="F688" s="80"/>
      <c r="G688" s="80"/>
      <c r="H688" s="80"/>
      <c r="I688" s="80"/>
      <c r="J688" s="80"/>
      <c r="K688" s="80"/>
      <c r="L688" s="80"/>
      <c r="M688" s="84"/>
    </row>
    <row r="689" spans="1:13" ht="15.75" x14ac:dyDescent="0.25">
      <c r="A689" s="77"/>
      <c r="B689" s="78"/>
      <c r="C689" s="80"/>
      <c r="D689" s="80"/>
      <c r="E689" s="80"/>
      <c r="F689" s="80"/>
      <c r="G689" s="80"/>
      <c r="H689" s="80"/>
      <c r="I689" s="80"/>
      <c r="J689" s="80"/>
      <c r="K689" s="80"/>
      <c r="L689" s="80"/>
      <c r="M689" s="84"/>
    </row>
    <row r="690" spans="1:13" ht="15.75" x14ac:dyDescent="0.25">
      <c r="A690" s="77"/>
      <c r="B690" s="78"/>
      <c r="C690" s="80"/>
      <c r="D690" s="80"/>
      <c r="E690" s="80"/>
      <c r="F690" s="80"/>
      <c r="G690" s="80"/>
      <c r="H690" s="80"/>
      <c r="I690" s="80"/>
      <c r="J690" s="80"/>
      <c r="K690" s="80"/>
      <c r="L690" s="80"/>
      <c r="M690" s="84"/>
    </row>
    <row r="691" spans="1:13" ht="15.75" x14ac:dyDescent="0.25">
      <c r="A691" s="77"/>
      <c r="B691" s="78"/>
      <c r="C691" s="80"/>
      <c r="D691" s="80"/>
      <c r="E691" s="80"/>
      <c r="F691" s="80"/>
      <c r="G691" s="80"/>
      <c r="H691" s="80"/>
      <c r="I691" s="80"/>
      <c r="J691" s="80"/>
      <c r="K691" s="80"/>
      <c r="L691" s="80"/>
      <c r="M691" s="84"/>
    </row>
    <row r="692" spans="1:13" ht="15.75" x14ac:dyDescent="0.25">
      <c r="A692" s="77"/>
      <c r="B692" s="78"/>
      <c r="C692" s="80"/>
      <c r="D692" s="80"/>
      <c r="E692" s="80"/>
      <c r="F692" s="80"/>
      <c r="G692" s="80"/>
      <c r="H692" s="80"/>
      <c r="I692" s="80"/>
      <c r="J692" s="80"/>
      <c r="K692" s="80"/>
      <c r="L692" s="80"/>
      <c r="M692" s="84"/>
    </row>
    <row r="693" spans="1:13" ht="15.75" x14ac:dyDescent="0.25">
      <c r="A693" s="77"/>
      <c r="B693" s="78"/>
      <c r="C693" s="80"/>
      <c r="D693" s="80"/>
      <c r="E693" s="80"/>
      <c r="F693" s="80"/>
      <c r="G693" s="80"/>
      <c r="H693" s="80"/>
      <c r="I693" s="80"/>
      <c r="J693" s="80"/>
      <c r="K693" s="80"/>
      <c r="L693" s="80"/>
      <c r="M693" s="84"/>
    </row>
    <row r="694" spans="1:13" ht="15.75" x14ac:dyDescent="0.25">
      <c r="A694" s="77"/>
      <c r="B694" s="78"/>
      <c r="C694" s="80"/>
      <c r="D694" s="80"/>
      <c r="E694" s="80"/>
      <c r="F694" s="80"/>
      <c r="G694" s="80"/>
      <c r="H694" s="80"/>
      <c r="I694" s="80"/>
      <c r="J694" s="80"/>
      <c r="K694" s="80"/>
      <c r="L694" s="80"/>
      <c r="M694" s="84"/>
    </row>
    <row r="695" spans="1:13" ht="15.75" x14ac:dyDescent="0.25">
      <c r="A695" s="77"/>
      <c r="B695" s="78"/>
      <c r="C695" s="80"/>
      <c r="D695" s="80"/>
      <c r="E695" s="80"/>
      <c r="F695" s="80"/>
      <c r="G695" s="80"/>
      <c r="H695" s="80"/>
      <c r="I695" s="80"/>
      <c r="J695" s="80"/>
      <c r="K695" s="80"/>
      <c r="L695" s="80"/>
      <c r="M695" s="84"/>
    </row>
    <row r="696" spans="1:13" ht="15.75" x14ac:dyDescent="0.25">
      <c r="A696" s="77"/>
      <c r="B696" s="78"/>
      <c r="C696" s="80"/>
      <c r="D696" s="80"/>
      <c r="E696" s="80"/>
      <c r="F696" s="80"/>
      <c r="G696" s="80"/>
      <c r="H696" s="80"/>
      <c r="I696" s="80"/>
      <c r="J696" s="80"/>
      <c r="K696" s="80"/>
      <c r="L696" s="80"/>
      <c r="M696" s="84"/>
    </row>
    <row r="697" spans="1:13" ht="15.75" x14ac:dyDescent="0.25">
      <c r="A697" s="77"/>
      <c r="B697" s="78"/>
      <c r="C697" s="80"/>
      <c r="D697" s="80"/>
      <c r="E697" s="80"/>
      <c r="F697" s="80"/>
      <c r="G697" s="80"/>
      <c r="H697" s="80"/>
      <c r="I697" s="80"/>
      <c r="J697" s="80"/>
      <c r="K697" s="80"/>
      <c r="L697" s="80"/>
      <c r="M697" s="84"/>
    </row>
    <row r="698" spans="1:13" ht="15.75" x14ac:dyDescent="0.25">
      <c r="A698" s="77"/>
      <c r="B698" s="78"/>
      <c r="C698" s="80"/>
      <c r="D698" s="80"/>
      <c r="E698" s="80"/>
      <c r="F698" s="80"/>
      <c r="G698" s="80"/>
      <c r="H698" s="80"/>
      <c r="I698" s="80"/>
      <c r="J698" s="80"/>
      <c r="K698" s="80"/>
      <c r="L698" s="80"/>
      <c r="M698" s="84"/>
    </row>
    <row r="699" spans="1:13" ht="15.75" x14ac:dyDescent="0.25">
      <c r="A699" s="77"/>
      <c r="B699" s="78"/>
      <c r="C699" s="80"/>
      <c r="D699" s="80"/>
      <c r="E699" s="80"/>
      <c r="F699" s="80"/>
      <c r="G699" s="80"/>
      <c r="H699" s="80"/>
      <c r="I699" s="80"/>
      <c r="J699" s="80"/>
      <c r="K699" s="80"/>
      <c r="L699" s="80"/>
      <c r="M699" s="84"/>
    </row>
    <row r="700" spans="1:13" ht="15.75" x14ac:dyDescent="0.25">
      <c r="A700" s="77"/>
      <c r="B700" s="78"/>
      <c r="C700" s="80"/>
      <c r="D700" s="80"/>
      <c r="E700" s="80"/>
      <c r="F700" s="80"/>
      <c r="G700" s="80"/>
      <c r="H700" s="80"/>
      <c r="I700" s="80"/>
      <c r="J700" s="80"/>
      <c r="K700" s="80"/>
      <c r="L700" s="80"/>
      <c r="M700" s="84"/>
    </row>
    <row r="701" spans="1:13" ht="15.75" x14ac:dyDescent="0.25">
      <c r="A701" s="77"/>
      <c r="B701" s="78"/>
      <c r="C701" s="80"/>
      <c r="D701" s="80"/>
      <c r="E701" s="80"/>
      <c r="F701" s="80"/>
      <c r="G701" s="80"/>
      <c r="H701" s="80"/>
      <c r="I701" s="80"/>
      <c r="J701" s="80"/>
      <c r="K701" s="80"/>
      <c r="L701" s="80"/>
      <c r="M701" s="84"/>
    </row>
    <row r="702" spans="1:13" ht="15.75" x14ac:dyDescent="0.25">
      <c r="A702" s="77"/>
      <c r="B702" s="78"/>
      <c r="C702" s="80"/>
      <c r="D702" s="80"/>
      <c r="E702" s="80"/>
      <c r="F702" s="80"/>
      <c r="G702" s="80"/>
      <c r="H702" s="80"/>
      <c r="I702" s="80"/>
      <c r="J702" s="80"/>
      <c r="K702" s="80"/>
      <c r="L702" s="80"/>
      <c r="M702" s="84"/>
    </row>
    <row r="703" spans="1:13" ht="15.75" x14ac:dyDescent="0.25">
      <c r="A703" s="77"/>
      <c r="B703" s="78"/>
      <c r="C703" s="80"/>
      <c r="D703" s="80"/>
      <c r="E703" s="80"/>
      <c r="F703" s="80"/>
      <c r="G703" s="80"/>
      <c r="H703" s="80"/>
      <c r="I703" s="80"/>
      <c r="J703" s="80"/>
      <c r="K703" s="80"/>
      <c r="L703" s="80"/>
      <c r="M703" s="84"/>
    </row>
    <row r="704" spans="1:13" ht="15.75" x14ac:dyDescent="0.25">
      <c r="A704" s="77"/>
      <c r="B704" s="78"/>
      <c r="C704" s="80"/>
      <c r="D704" s="80"/>
      <c r="E704" s="80"/>
      <c r="F704" s="80"/>
      <c r="G704" s="80"/>
      <c r="H704" s="80"/>
      <c r="I704" s="80"/>
      <c r="J704" s="80"/>
      <c r="K704" s="80"/>
      <c r="L704" s="80"/>
      <c r="M704" s="84"/>
    </row>
    <row r="705" spans="1:13" ht="15.75" x14ac:dyDescent="0.25">
      <c r="A705" s="77"/>
      <c r="B705" s="78"/>
      <c r="C705" s="80"/>
      <c r="D705" s="80"/>
      <c r="E705" s="80"/>
      <c r="F705" s="80"/>
      <c r="G705" s="80"/>
      <c r="H705" s="80"/>
      <c r="I705" s="80"/>
      <c r="J705" s="80"/>
      <c r="K705" s="80"/>
      <c r="L705" s="80"/>
      <c r="M705" s="84"/>
    </row>
    <row r="706" spans="1:13" ht="15.75" x14ac:dyDescent="0.25">
      <c r="A706" s="77"/>
      <c r="B706" s="78"/>
      <c r="C706" s="80"/>
      <c r="D706" s="80"/>
      <c r="E706" s="80"/>
      <c r="F706" s="80"/>
      <c r="G706" s="80"/>
      <c r="H706" s="80"/>
      <c r="I706" s="80"/>
      <c r="J706" s="80"/>
      <c r="K706" s="80"/>
      <c r="L706" s="80"/>
      <c r="M706" s="84"/>
    </row>
    <row r="707" spans="1:13" ht="15.75" x14ac:dyDescent="0.25">
      <c r="A707" s="77"/>
      <c r="B707" s="78"/>
      <c r="C707" s="80"/>
      <c r="D707" s="80"/>
      <c r="E707" s="80"/>
      <c r="F707" s="80"/>
      <c r="G707" s="80"/>
      <c r="H707" s="80"/>
      <c r="I707" s="80"/>
      <c r="J707" s="80"/>
      <c r="K707" s="80"/>
      <c r="L707" s="80"/>
      <c r="M707" s="84"/>
    </row>
    <row r="708" spans="1:13" ht="15.75" x14ac:dyDescent="0.25">
      <c r="A708" s="77"/>
      <c r="B708" s="78"/>
      <c r="C708" s="80"/>
      <c r="D708" s="80"/>
      <c r="E708" s="80"/>
      <c r="F708" s="80"/>
      <c r="G708" s="80"/>
      <c r="H708" s="80"/>
      <c r="I708" s="80"/>
      <c r="J708" s="80"/>
      <c r="K708" s="80"/>
      <c r="L708" s="80"/>
      <c r="M708" s="84"/>
    </row>
    <row r="709" spans="1:13" ht="15.75" x14ac:dyDescent="0.25">
      <c r="A709" s="77"/>
      <c r="B709" s="78"/>
      <c r="C709" s="80"/>
      <c r="D709" s="80"/>
      <c r="E709" s="80"/>
      <c r="F709" s="80"/>
      <c r="G709" s="80"/>
      <c r="H709" s="80"/>
      <c r="I709" s="80"/>
      <c r="J709" s="80"/>
      <c r="K709" s="80"/>
      <c r="L709" s="80"/>
      <c r="M709" s="84"/>
    </row>
    <row r="710" spans="1:13" ht="15.75" x14ac:dyDescent="0.25">
      <c r="A710" s="77"/>
      <c r="B710" s="78"/>
      <c r="C710" s="80"/>
      <c r="D710" s="80"/>
      <c r="E710" s="80"/>
      <c r="F710" s="80"/>
      <c r="G710" s="80"/>
      <c r="H710" s="80"/>
      <c r="I710" s="80"/>
      <c r="J710" s="80"/>
      <c r="K710" s="80"/>
      <c r="L710" s="80"/>
      <c r="M710" s="84"/>
    </row>
    <row r="711" spans="1:13" ht="15.75" x14ac:dyDescent="0.25">
      <c r="A711" s="77"/>
      <c r="B711" s="78"/>
      <c r="C711" s="80"/>
      <c r="D711" s="80"/>
      <c r="E711" s="80"/>
      <c r="F711" s="80"/>
      <c r="G711" s="80"/>
      <c r="H711" s="80"/>
      <c r="I711" s="80"/>
      <c r="J711" s="80"/>
      <c r="K711" s="80"/>
      <c r="L711" s="80"/>
      <c r="M711" s="84"/>
    </row>
    <row r="712" spans="1:13" ht="15.75" x14ac:dyDescent="0.25">
      <c r="A712" s="77"/>
      <c r="B712" s="78"/>
      <c r="C712" s="80"/>
      <c r="D712" s="80"/>
      <c r="E712" s="80"/>
      <c r="F712" s="80"/>
      <c r="G712" s="80"/>
      <c r="H712" s="80"/>
      <c r="I712" s="80"/>
      <c r="J712" s="80"/>
      <c r="K712" s="80"/>
      <c r="L712" s="80"/>
      <c r="M712" s="84"/>
    </row>
    <row r="713" spans="1:13" ht="15.75" x14ac:dyDescent="0.25">
      <c r="A713" s="77"/>
      <c r="B713" s="78"/>
      <c r="C713" s="80"/>
      <c r="D713" s="80"/>
      <c r="E713" s="80"/>
      <c r="F713" s="80"/>
      <c r="G713" s="80"/>
      <c r="H713" s="80"/>
      <c r="I713" s="80"/>
      <c r="J713" s="80"/>
      <c r="K713" s="80"/>
      <c r="L713" s="80"/>
      <c r="M713" s="84"/>
    </row>
    <row r="714" spans="1:13" ht="15.75" x14ac:dyDescent="0.25">
      <c r="A714" s="77"/>
      <c r="B714" s="78"/>
      <c r="C714" s="80"/>
      <c r="D714" s="80"/>
      <c r="E714" s="80"/>
      <c r="F714" s="80"/>
      <c r="G714" s="80"/>
      <c r="H714" s="80"/>
      <c r="I714" s="80"/>
      <c r="J714" s="80"/>
      <c r="K714" s="80"/>
      <c r="L714" s="80"/>
      <c r="M714" s="84"/>
    </row>
    <row r="715" spans="1:13" ht="15.75" x14ac:dyDescent="0.25">
      <c r="A715" s="77"/>
      <c r="B715" s="78"/>
      <c r="C715" s="80"/>
      <c r="D715" s="80"/>
      <c r="E715" s="80"/>
      <c r="F715" s="80"/>
      <c r="G715" s="80"/>
      <c r="H715" s="80"/>
      <c r="I715" s="80"/>
      <c r="J715" s="80"/>
      <c r="K715" s="80"/>
      <c r="L715" s="80"/>
      <c r="M715" s="84"/>
    </row>
    <row r="716" spans="1:13" ht="15.75" x14ac:dyDescent="0.25">
      <c r="A716" s="77"/>
      <c r="B716" s="78"/>
      <c r="C716" s="80"/>
      <c r="D716" s="80"/>
      <c r="E716" s="80"/>
      <c r="F716" s="80"/>
      <c r="G716" s="80"/>
      <c r="H716" s="80"/>
      <c r="I716" s="80"/>
      <c r="J716" s="80"/>
      <c r="K716" s="80"/>
      <c r="L716" s="80"/>
      <c r="M716" s="84"/>
    </row>
    <row r="717" spans="1:13" ht="15.75" x14ac:dyDescent="0.25">
      <c r="A717" s="77"/>
      <c r="B717" s="78"/>
      <c r="C717" s="80"/>
      <c r="D717" s="80"/>
      <c r="E717" s="80"/>
      <c r="F717" s="80"/>
      <c r="G717" s="80"/>
      <c r="H717" s="80"/>
      <c r="I717" s="80"/>
      <c r="J717" s="80"/>
      <c r="K717" s="80"/>
      <c r="L717" s="80"/>
      <c r="M717" s="84"/>
    </row>
    <row r="718" spans="1:13" ht="15.75" x14ac:dyDescent="0.25">
      <c r="A718" s="77"/>
      <c r="B718" s="78"/>
      <c r="C718" s="80"/>
      <c r="D718" s="80"/>
      <c r="E718" s="80"/>
      <c r="F718" s="80"/>
      <c r="G718" s="80"/>
      <c r="H718" s="80"/>
      <c r="I718" s="80"/>
      <c r="J718" s="80"/>
      <c r="K718" s="80"/>
      <c r="L718" s="80"/>
      <c r="M718" s="84"/>
    </row>
    <row r="719" spans="1:13" ht="15.75" x14ac:dyDescent="0.25">
      <c r="A719" s="77"/>
      <c r="B719" s="78"/>
      <c r="C719" s="80"/>
      <c r="D719" s="80"/>
      <c r="E719" s="80"/>
      <c r="F719" s="80"/>
      <c r="G719" s="80"/>
      <c r="H719" s="80"/>
      <c r="I719" s="80"/>
      <c r="J719" s="80"/>
      <c r="K719" s="80"/>
      <c r="L719" s="80"/>
      <c r="M719" s="84"/>
    </row>
    <row r="720" spans="1:13" ht="15.75" x14ac:dyDescent="0.25">
      <c r="A720" s="77"/>
      <c r="B720" s="78"/>
      <c r="C720" s="80"/>
      <c r="D720" s="80"/>
      <c r="E720" s="80"/>
      <c r="F720" s="80"/>
      <c r="G720" s="80"/>
      <c r="H720" s="80"/>
      <c r="I720" s="80"/>
      <c r="J720" s="80"/>
      <c r="K720" s="80"/>
      <c r="L720" s="80"/>
      <c r="M720" s="84"/>
    </row>
    <row r="721" spans="1:13" ht="15.75" x14ac:dyDescent="0.25">
      <c r="A721" s="77"/>
      <c r="B721" s="78"/>
      <c r="C721" s="80"/>
      <c r="D721" s="80"/>
      <c r="E721" s="80"/>
      <c r="F721" s="80"/>
      <c r="G721" s="80"/>
      <c r="H721" s="80"/>
      <c r="I721" s="80"/>
      <c r="J721" s="80"/>
      <c r="K721" s="80"/>
      <c r="L721" s="80"/>
      <c r="M721" s="84"/>
    </row>
    <row r="722" spans="1:13" ht="15.75" x14ac:dyDescent="0.25">
      <c r="A722" s="77"/>
      <c r="B722" s="78"/>
      <c r="C722" s="80"/>
      <c r="D722" s="80"/>
      <c r="E722" s="80"/>
      <c r="F722" s="80"/>
      <c r="G722" s="80"/>
      <c r="H722" s="80"/>
      <c r="I722" s="80"/>
      <c r="J722" s="80"/>
      <c r="K722" s="80"/>
      <c r="L722" s="80"/>
      <c r="M722" s="84"/>
    </row>
    <row r="723" spans="1:13" ht="15.75" x14ac:dyDescent="0.25">
      <c r="A723" s="77"/>
      <c r="B723" s="78"/>
      <c r="C723" s="80"/>
      <c r="D723" s="80"/>
      <c r="E723" s="80"/>
      <c r="F723" s="80"/>
      <c r="G723" s="80"/>
      <c r="H723" s="80"/>
      <c r="I723" s="80"/>
      <c r="J723" s="80"/>
      <c r="K723" s="80"/>
      <c r="L723" s="80"/>
      <c r="M723" s="84"/>
    </row>
    <row r="724" spans="1:13" ht="15.75" x14ac:dyDescent="0.25">
      <c r="A724" s="77"/>
      <c r="B724" s="78"/>
      <c r="C724" s="80"/>
      <c r="D724" s="80"/>
      <c r="E724" s="80"/>
      <c r="F724" s="80"/>
      <c r="G724" s="80"/>
      <c r="H724" s="80"/>
      <c r="I724" s="80"/>
      <c r="J724" s="80"/>
      <c r="K724" s="80"/>
      <c r="L724" s="80"/>
      <c r="M724" s="84"/>
    </row>
    <row r="725" spans="1:13" ht="15.75" x14ac:dyDescent="0.25">
      <c r="A725" s="77"/>
      <c r="B725" s="78"/>
      <c r="C725" s="80"/>
      <c r="D725" s="80"/>
      <c r="E725" s="80"/>
      <c r="F725" s="80"/>
      <c r="G725" s="80"/>
      <c r="H725" s="80"/>
      <c r="I725" s="80"/>
      <c r="J725" s="80"/>
      <c r="K725" s="80"/>
      <c r="L725" s="80"/>
      <c r="M725" s="84"/>
    </row>
    <row r="726" spans="1:13" ht="15.75" x14ac:dyDescent="0.25">
      <c r="A726" s="77"/>
      <c r="B726" s="78"/>
      <c r="C726" s="80"/>
      <c r="D726" s="80"/>
      <c r="E726" s="80"/>
      <c r="F726" s="80"/>
      <c r="G726" s="80"/>
      <c r="H726" s="80"/>
      <c r="I726" s="80"/>
      <c r="J726" s="80"/>
      <c r="K726" s="80"/>
      <c r="L726" s="80"/>
      <c r="M726" s="84"/>
    </row>
    <row r="727" spans="1:13" ht="15.75" x14ac:dyDescent="0.25">
      <c r="A727" s="77"/>
      <c r="B727" s="78"/>
      <c r="C727" s="80"/>
      <c r="D727" s="80"/>
      <c r="E727" s="80"/>
      <c r="F727" s="80"/>
      <c r="G727" s="80"/>
      <c r="H727" s="80"/>
      <c r="I727" s="80"/>
      <c r="J727" s="80"/>
      <c r="K727" s="80"/>
      <c r="L727" s="80"/>
      <c r="M727" s="84"/>
    </row>
    <row r="728" spans="1:13" ht="15.75" x14ac:dyDescent="0.25">
      <c r="A728" s="77"/>
      <c r="B728" s="78"/>
      <c r="C728" s="80"/>
      <c r="D728" s="80"/>
      <c r="E728" s="80"/>
      <c r="F728" s="80"/>
      <c r="G728" s="80"/>
      <c r="H728" s="80"/>
      <c r="I728" s="80"/>
      <c r="J728" s="80"/>
      <c r="K728" s="80"/>
      <c r="L728" s="80"/>
      <c r="M728" s="84"/>
    </row>
    <row r="729" spans="1:13" ht="15.75" x14ac:dyDescent="0.25">
      <c r="A729" s="77"/>
      <c r="B729" s="78"/>
      <c r="C729" s="80"/>
      <c r="D729" s="80"/>
      <c r="E729" s="80"/>
      <c r="F729" s="80"/>
      <c r="G729" s="80"/>
      <c r="H729" s="80"/>
      <c r="I729" s="80"/>
      <c r="J729" s="80"/>
      <c r="K729" s="80"/>
      <c r="L729" s="80"/>
      <c r="M729" s="84"/>
    </row>
    <row r="730" spans="1:13" ht="15.75" x14ac:dyDescent="0.25">
      <c r="A730" s="77"/>
      <c r="B730" s="78"/>
      <c r="C730" s="80"/>
      <c r="D730" s="80"/>
      <c r="E730" s="80"/>
      <c r="F730" s="80"/>
      <c r="G730" s="80"/>
      <c r="H730" s="80"/>
      <c r="I730" s="80"/>
      <c r="J730" s="80"/>
      <c r="K730" s="80"/>
      <c r="L730" s="80"/>
      <c r="M730" s="84"/>
    </row>
    <row r="731" spans="1:13" ht="15.75" x14ac:dyDescent="0.25">
      <c r="A731" s="77"/>
      <c r="B731" s="78"/>
      <c r="C731" s="80"/>
      <c r="D731" s="80"/>
      <c r="E731" s="80"/>
      <c r="F731" s="80"/>
      <c r="G731" s="80"/>
      <c r="H731" s="80"/>
      <c r="I731" s="80"/>
      <c r="J731" s="80"/>
      <c r="K731" s="80"/>
      <c r="L731" s="80"/>
      <c r="M731" s="84"/>
    </row>
    <row r="732" spans="1:13" ht="15.75" x14ac:dyDescent="0.25">
      <c r="A732" s="77"/>
      <c r="B732" s="78"/>
      <c r="C732" s="80"/>
      <c r="D732" s="80"/>
      <c r="E732" s="80"/>
      <c r="F732" s="80"/>
      <c r="G732" s="80"/>
      <c r="H732" s="80"/>
      <c r="I732" s="80"/>
      <c r="J732" s="80"/>
      <c r="K732" s="80"/>
      <c r="L732" s="80"/>
      <c r="M732" s="84"/>
    </row>
    <row r="733" spans="1:13" ht="15.75" x14ac:dyDescent="0.25">
      <c r="A733" s="77"/>
      <c r="B733" s="78"/>
      <c r="C733" s="80"/>
      <c r="D733" s="80"/>
      <c r="E733" s="80"/>
      <c r="F733" s="80"/>
      <c r="G733" s="80"/>
      <c r="H733" s="80"/>
      <c r="I733" s="80"/>
      <c r="J733" s="80"/>
      <c r="K733" s="80"/>
      <c r="L733" s="80"/>
      <c r="M733" s="84"/>
    </row>
    <row r="734" spans="1:13" ht="15.75" x14ac:dyDescent="0.25">
      <c r="A734" s="77"/>
      <c r="B734" s="78"/>
      <c r="C734" s="80"/>
      <c r="D734" s="80"/>
      <c r="E734" s="80"/>
      <c r="F734" s="80"/>
      <c r="G734" s="80"/>
      <c r="H734" s="80"/>
      <c r="I734" s="80"/>
      <c r="J734" s="80"/>
      <c r="K734" s="80"/>
      <c r="L734" s="80"/>
      <c r="M734" s="84"/>
    </row>
    <row r="735" spans="1:13" ht="15.75" x14ac:dyDescent="0.25">
      <c r="A735" s="77"/>
      <c r="B735" s="78"/>
      <c r="C735" s="80"/>
      <c r="D735" s="80"/>
      <c r="E735" s="80"/>
      <c r="F735" s="80"/>
      <c r="G735" s="80"/>
      <c r="H735" s="80"/>
      <c r="I735" s="80"/>
      <c r="J735" s="80"/>
      <c r="K735" s="80"/>
      <c r="L735" s="80"/>
      <c r="M735" s="84"/>
    </row>
    <row r="736" spans="1:13" ht="15.75" x14ac:dyDescent="0.25">
      <c r="A736" s="77"/>
      <c r="B736" s="78"/>
      <c r="C736" s="80"/>
      <c r="D736" s="80"/>
      <c r="E736" s="80"/>
      <c r="F736" s="80"/>
      <c r="G736" s="80"/>
      <c r="H736" s="80"/>
      <c r="I736" s="80"/>
      <c r="J736" s="80"/>
      <c r="K736" s="80"/>
      <c r="L736" s="80"/>
      <c r="M736" s="84"/>
    </row>
    <row r="737" spans="1:13" ht="15.75" x14ac:dyDescent="0.25">
      <c r="A737" s="77"/>
      <c r="B737" s="78"/>
      <c r="C737" s="80"/>
      <c r="D737" s="80"/>
      <c r="E737" s="80"/>
      <c r="F737" s="80"/>
      <c r="G737" s="80"/>
      <c r="H737" s="80"/>
      <c r="I737" s="80"/>
      <c r="J737" s="80"/>
      <c r="K737" s="80"/>
      <c r="L737" s="80"/>
      <c r="M737" s="84"/>
    </row>
    <row r="738" spans="1:13" ht="15.75" x14ac:dyDescent="0.25">
      <c r="A738" s="77"/>
      <c r="B738" s="78"/>
      <c r="C738" s="80"/>
      <c r="D738" s="80"/>
      <c r="E738" s="80"/>
      <c r="F738" s="80"/>
      <c r="G738" s="80"/>
      <c r="H738" s="80"/>
      <c r="I738" s="80"/>
      <c r="J738" s="80"/>
      <c r="K738" s="80"/>
      <c r="L738" s="80"/>
      <c r="M738" s="84"/>
    </row>
    <row r="739" spans="1:13" ht="15.75" x14ac:dyDescent="0.25">
      <c r="A739" s="77"/>
      <c r="B739" s="78"/>
      <c r="C739" s="80"/>
      <c r="D739" s="80"/>
      <c r="E739" s="80"/>
      <c r="F739" s="80"/>
      <c r="G739" s="80"/>
      <c r="H739" s="80"/>
      <c r="I739" s="80"/>
      <c r="J739" s="80"/>
      <c r="K739" s="80"/>
      <c r="L739" s="80"/>
      <c r="M739" s="84"/>
    </row>
    <row r="740" spans="1:13" ht="15.75" x14ac:dyDescent="0.25">
      <c r="A740" s="77"/>
      <c r="B740" s="78"/>
      <c r="C740" s="80"/>
      <c r="D740" s="80"/>
      <c r="E740" s="80"/>
      <c r="F740" s="80"/>
      <c r="G740" s="80"/>
      <c r="H740" s="80"/>
      <c r="I740" s="80"/>
      <c r="J740" s="80"/>
      <c r="K740" s="80"/>
      <c r="L740" s="80"/>
      <c r="M740" s="84"/>
    </row>
    <row r="741" spans="1:13" ht="15.75" x14ac:dyDescent="0.25">
      <c r="A741" s="77"/>
      <c r="B741" s="78"/>
      <c r="C741" s="80"/>
      <c r="D741" s="80"/>
      <c r="E741" s="80"/>
      <c r="F741" s="80"/>
      <c r="G741" s="80"/>
      <c r="H741" s="80"/>
      <c r="I741" s="80"/>
      <c r="J741" s="80"/>
      <c r="K741" s="80"/>
      <c r="L741" s="80"/>
      <c r="M741" s="84"/>
    </row>
    <row r="742" spans="1:13" ht="15.75" x14ac:dyDescent="0.25">
      <c r="A742" s="77"/>
      <c r="B742" s="78"/>
      <c r="C742" s="80"/>
      <c r="D742" s="80"/>
      <c r="E742" s="80"/>
      <c r="F742" s="80"/>
      <c r="G742" s="80"/>
      <c r="H742" s="80"/>
      <c r="I742" s="80"/>
      <c r="J742" s="80"/>
      <c r="K742" s="80"/>
      <c r="L742" s="80"/>
      <c r="M742" s="84"/>
    </row>
    <row r="743" spans="1:13" ht="15.75" x14ac:dyDescent="0.25">
      <c r="A743" s="77"/>
      <c r="B743" s="78"/>
      <c r="C743" s="80"/>
      <c r="D743" s="80"/>
      <c r="E743" s="80"/>
      <c r="F743" s="80"/>
      <c r="G743" s="80"/>
      <c r="H743" s="80"/>
      <c r="I743" s="80"/>
      <c r="J743" s="80"/>
      <c r="K743" s="80"/>
      <c r="L743" s="80"/>
      <c r="M743" s="84"/>
    </row>
    <row r="744" spans="1:13" ht="15.75" x14ac:dyDescent="0.25">
      <c r="A744" s="77"/>
      <c r="B744" s="78"/>
      <c r="C744" s="80"/>
      <c r="D744" s="80"/>
      <c r="E744" s="80"/>
      <c r="F744" s="80"/>
      <c r="G744" s="80"/>
      <c r="H744" s="80"/>
      <c r="I744" s="80"/>
      <c r="J744" s="80"/>
      <c r="K744" s="80"/>
      <c r="L744" s="80"/>
      <c r="M744" s="84"/>
    </row>
    <row r="745" spans="1:13" ht="15.75" x14ac:dyDescent="0.25">
      <c r="A745" s="77"/>
      <c r="B745" s="78"/>
      <c r="C745" s="80"/>
      <c r="D745" s="80"/>
      <c r="E745" s="80"/>
      <c r="F745" s="80"/>
      <c r="G745" s="80"/>
      <c r="H745" s="80"/>
      <c r="I745" s="80"/>
      <c r="J745" s="80"/>
      <c r="K745" s="80"/>
      <c r="L745" s="80"/>
      <c r="M745" s="84"/>
    </row>
    <row r="746" spans="1:13" ht="15.75" x14ac:dyDescent="0.25">
      <c r="A746" s="77"/>
      <c r="B746" s="78"/>
      <c r="C746" s="80"/>
      <c r="D746" s="80"/>
      <c r="E746" s="80"/>
      <c r="F746" s="80"/>
      <c r="G746" s="80"/>
      <c r="H746" s="80"/>
      <c r="I746" s="80"/>
      <c r="J746" s="80"/>
      <c r="K746" s="80"/>
      <c r="L746" s="80"/>
      <c r="M746" s="84"/>
    </row>
    <row r="747" spans="1:13" ht="15.75" x14ac:dyDescent="0.25">
      <c r="A747" s="77"/>
      <c r="B747" s="78"/>
      <c r="C747" s="80"/>
      <c r="D747" s="80"/>
      <c r="E747" s="80"/>
      <c r="F747" s="80"/>
      <c r="G747" s="80"/>
      <c r="H747" s="80"/>
      <c r="I747" s="80"/>
      <c r="J747" s="80"/>
      <c r="K747" s="80"/>
      <c r="L747" s="80"/>
      <c r="M747" s="84"/>
    </row>
    <row r="748" spans="1:13" ht="15.75" x14ac:dyDescent="0.25">
      <c r="A748" s="77"/>
      <c r="B748" s="78"/>
      <c r="C748" s="80"/>
      <c r="D748" s="80"/>
      <c r="E748" s="80"/>
      <c r="F748" s="80"/>
      <c r="G748" s="80"/>
      <c r="H748" s="80"/>
      <c r="I748" s="80"/>
      <c r="J748" s="80"/>
      <c r="K748" s="80"/>
      <c r="L748" s="80"/>
      <c r="M748" s="84"/>
    </row>
    <row r="749" spans="1:13" ht="15.75" x14ac:dyDescent="0.25">
      <c r="A749" s="77"/>
      <c r="B749" s="78"/>
      <c r="C749" s="80"/>
      <c r="D749" s="80"/>
      <c r="E749" s="80"/>
      <c r="F749" s="80"/>
      <c r="G749" s="80"/>
      <c r="H749" s="80"/>
      <c r="I749" s="80"/>
      <c r="J749" s="80"/>
      <c r="K749" s="80"/>
      <c r="L749" s="80"/>
      <c r="M749" s="84"/>
    </row>
    <row r="750" spans="1:13" ht="15.75" x14ac:dyDescent="0.25">
      <c r="A750" s="77"/>
      <c r="B750" s="78"/>
      <c r="C750" s="80"/>
      <c r="D750" s="80"/>
      <c r="E750" s="80"/>
      <c r="F750" s="80"/>
      <c r="G750" s="80"/>
      <c r="H750" s="80"/>
      <c r="I750" s="80"/>
      <c r="J750" s="80"/>
      <c r="K750" s="80"/>
      <c r="L750" s="80"/>
      <c r="M750" s="84"/>
    </row>
    <row r="751" spans="1:13" ht="15.75" x14ac:dyDescent="0.25">
      <c r="A751" s="77"/>
      <c r="B751" s="78"/>
      <c r="C751" s="80"/>
      <c r="D751" s="80"/>
      <c r="E751" s="80"/>
      <c r="F751" s="80"/>
      <c r="G751" s="80"/>
      <c r="H751" s="80"/>
      <c r="I751" s="80"/>
      <c r="J751" s="80"/>
      <c r="K751" s="80"/>
      <c r="L751" s="80"/>
      <c r="M751" s="84"/>
    </row>
    <row r="752" spans="1:13" ht="15.75" x14ac:dyDescent="0.25">
      <c r="A752" s="77"/>
      <c r="B752" s="78"/>
      <c r="C752" s="80"/>
      <c r="D752" s="80"/>
      <c r="E752" s="80"/>
      <c r="F752" s="80"/>
      <c r="G752" s="80"/>
      <c r="H752" s="80"/>
      <c r="I752" s="80"/>
      <c r="J752" s="80"/>
      <c r="K752" s="80"/>
      <c r="L752" s="80"/>
      <c r="M752" s="84"/>
    </row>
    <row r="753" spans="1:13" ht="15.75" x14ac:dyDescent="0.25">
      <c r="A753" s="77"/>
      <c r="B753" s="78"/>
      <c r="C753" s="80"/>
      <c r="D753" s="80"/>
      <c r="E753" s="80"/>
      <c r="F753" s="80"/>
      <c r="G753" s="80"/>
      <c r="H753" s="80"/>
      <c r="I753" s="80"/>
      <c r="J753" s="80"/>
      <c r="K753" s="80"/>
      <c r="L753" s="80"/>
      <c r="M753" s="84"/>
    </row>
    <row r="754" spans="1:13" ht="15.75" x14ac:dyDescent="0.25">
      <c r="A754" s="77"/>
      <c r="B754" s="78"/>
      <c r="C754" s="80"/>
      <c r="D754" s="80"/>
      <c r="E754" s="80"/>
      <c r="F754" s="80"/>
      <c r="G754" s="80"/>
      <c r="H754" s="80"/>
      <c r="I754" s="80"/>
      <c r="J754" s="80"/>
      <c r="K754" s="80"/>
      <c r="L754" s="80"/>
      <c r="M754" s="84"/>
    </row>
    <row r="755" spans="1:13" ht="15.75" x14ac:dyDescent="0.25">
      <c r="A755" s="77"/>
      <c r="B755" s="78"/>
      <c r="C755" s="80"/>
      <c r="D755" s="80"/>
      <c r="E755" s="80"/>
      <c r="F755" s="80"/>
      <c r="G755" s="80"/>
      <c r="H755" s="80"/>
      <c r="I755" s="80"/>
      <c r="J755" s="80"/>
      <c r="K755" s="80"/>
      <c r="L755" s="80"/>
      <c r="M755" s="84"/>
    </row>
    <row r="756" spans="1:13" ht="15.75" x14ac:dyDescent="0.25">
      <c r="A756" s="77"/>
      <c r="B756" s="78"/>
      <c r="C756" s="80"/>
      <c r="D756" s="80"/>
      <c r="E756" s="80"/>
      <c r="F756" s="80"/>
      <c r="G756" s="80"/>
      <c r="H756" s="80"/>
      <c r="I756" s="80"/>
      <c r="J756" s="80"/>
      <c r="K756" s="80"/>
      <c r="L756" s="80"/>
      <c r="M756" s="84"/>
    </row>
    <row r="757" spans="1:13" ht="15.75" x14ac:dyDescent="0.25">
      <c r="A757" s="77"/>
      <c r="B757" s="78"/>
      <c r="C757" s="80"/>
      <c r="D757" s="80"/>
      <c r="E757" s="80"/>
      <c r="F757" s="80"/>
      <c r="G757" s="80"/>
      <c r="H757" s="80"/>
      <c r="I757" s="80"/>
      <c r="J757" s="80"/>
      <c r="K757" s="80"/>
      <c r="L757" s="80"/>
      <c r="M757" s="84"/>
    </row>
    <row r="758" spans="1:13" ht="15.75" x14ac:dyDescent="0.25">
      <c r="A758" s="77"/>
      <c r="B758" s="78"/>
      <c r="C758" s="80"/>
      <c r="D758" s="80"/>
      <c r="E758" s="80"/>
      <c r="F758" s="80"/>
      <c r="G758" s="80"/>
      <c r="H758" s="80"/>
      <c r="I758" s="80"/>
      <c r="J758" s="80"/>
      <c r="K758" s="80"/>
      <c r="L758" s="80"/>
      <c r="M758" s="84"/>
    </row>
    <row r="759" spans="1:13" ht="15.75" x14ac:dyDescent="0.25">
      <c r="A759" s="77"/>
      <c r="B759" s="78"/>
      <c r="C759" s="80"/>
      <c r="D759" s="80"/>
      <c r="E759" s="80"/>
      <c r="F759" s="80"/>
      <c r="G759" s="80"/>
      <c r="H759" s="80"/>
      <c r="I759" s="80"/>
      <c r="J759" s="80"/>
      <c r="K759" s="80"/>
      <c r="L759" s="80"/>
      <c r="M759" s="84"/>
    </row>
    <row r="760" spans="1:13" ht="15.75" x14ac:dyDescent="0.25">
      <c r="A760" s="77"/>
      <c r="B760" s="78"/>
      <c r="C760" s="80"/>
      <c r="D760" s="80"/>
      <c r="E760" s="80"/>
      <c r="F760" s="80"/>
      <c r="G760" s="80"/>
      <c r="H760" s="80"/>
      <c r="I760" s="80"/>
      <c r="J760" s="80"/>
      <c r="K760" s="80"/>
      <c r="L760" s="80"/>
      <c r="M760" s="84"/>
    </row>
    <row r="761" spans="1:13" ht="15.75" x14ac:dyDescent="0.25">
      <c r="A761" s="77"/>
      <c r="B761" s="78"/>
      <c r="C761" s="80"/>
      <c r="D761" s="80"/>
      <c r="E761" s="80"/>
      <c r="F761" s="80"/>
      <c r="G761" s="80"/>
      <c r="H761" s="80"/>
      <c r="I761" s="80"/>
      <c r="J761" s="80"/>
      <c r="K761" s="80"/>
      <c r="L761" s="80"/>
      <c r="M761" s="84"/>
    </row>
    <row r="762" spans="1:13" ht="15.75" x14ac:dyDescent="0.25">
      <c r="A762" s="77"/>
      <c r="B762" s="78"/>
      <c r="C762" s="80"/>
      <c r="D762" s="80"/>
      <c r="E762" s="80"/>
      <c r="F762" s="80"/>
      <c r="G762" s="80"/>
      <c r="H762" s="80"/>
      <c r="I762" s="80"/>
      <c r="J762" s="80"/>
      <c r="K762" s="80"/>
      <c r="L762" s="80"/>
      <c r="M762" s="84"/>
    </row>
    <row r="763" spans="1:13" ht="15.75" x14ac:dyDescent="0.25">
      <c r="A763" s="77"/>
      <c r="B763" s="78"/>
      <c r="C763" s="80"/>
      <c r="D763" s="80"/>
      <c r="E763" s="80"/>
      <c r="F763" s="80"/>
      <c r="G763" s="80"/>
      <c r="H763" s="80"/>
      <c r="I763" s="80"/>
      <c r="J763" s="80"/>
      <c r="K763" s="80"/>
      <c r="L763" s="80"/>
      <c r="M763" s="84"/>
    </row>
    <row r="764" spans="1:13" ht="15.75" x14ac:dyDescent="0.25">
      <c r="A764" s="77"/>
      <c r="B764" s="78"/>
      <c r="C764" s="80"/>
      <c r="D764" s="80"/>
      <c r="E764" s="80"/>
      <c r="F764" s="80"/>
      <c r="G764" s="80"/>
      <c r="H764" s="80"/>
      <c r="I764" s="80"/>
      <c r="J764" s="80"/>
      <c r="K764" s="80"/>
      <c r="L764" s="80"/>
      <c r="M764" s="84"/>
    </row>
    <row r="765" spans="1:13" ht="15.75" x14ac:dyDescent="0.25">
      <c r="A765" s="77"/>
      <c r="B765" s="78"/>
      <c r="C765" s="80"/>
      <c r="D765" s="80"/>
      <c r="E765" s="80"/>
      <c r="F765" s="80"/>
      <c r="G765" s="80"/>
      <c r="H765" s="80"/>
      <c r="I765" s="80"/>
      <c r="J765" s="80"/>
      <c r="K765" s="80"/>
      <c r="L765" s="80"/>
      <c r="M765" s="84"/>
    </row>
    <row r="766" spans="1:13" ht="15.75" x14ac:dyDescent="0.25">
      <c r="A766" s="77"/>
      <c r="B766" s="78"/>
      <c r="C766" s="80"/>
      <c r="D766" s="80"/>
      <c r="E766" s="80"/>
      <c r="F766" s="80"/>
      <c r="G766" s="80"/>
      <c r="H766" s="80"/>
      <c r="I766" s="80"/>
      <c r="J766" s="80"/>
      <c r="K766" s="80"/>
      <c r="L766" s="80"/>
      <c r="M766" s="84"/>
    </row>
    <row r="767" spans="1:13" ht="15.75" x14ac:dyDescent="0.25">
      <c r="A767" s="77"/>
      <c r="B767" s="78"/>
      <c r="C767" s="80"/>
      <c r="D767" s="80"/>
      <c r="E767" s="80"/>
      <c r="F767" s="80"/>
      <c r="G767" s="80"/>
      <c r="H767" s="80"/>
      <c r="I767" s="80"/>
      <c r="J767" s="80"/>
      <c r="K767" s="80"/>
      <c r="L767" s="80"/>
      <c r="M767" s="84"/>
    </row>
    <row r="768" spans="1:13" ht="15.75" x14ac:dyDescent="0.25">
      <c r="A768" s="77"/>
      <c r="B768" s="78"/>
      <c r="C768" s="80"/>
      <c r="D768" s="80"/>
      <c r="E768" s="80"/>
      <c r="F768" s="80"/>
      <c r="G768" s="80"/>
      <c r="H768" s="80"/>
      <c r="I768" s="80"/>
      <c r="J768" s="80"/>
      <c r="K768" s="80"/>
      <c r="L768" s="80"/>
      <c r="M768" s="84"/>
    </row>
    <row r="769" spans="1:13" ht="15.75" x14ac:dyDescent="0.25">
      <c r="A769" s="77"/>
      <c r="B769" s="78"/>
      <c r="C769" s="80"/>
      <c r="D769" s="80"/>
      <c r="E769" s="80"/>
      <c r="F769" s="80"/>
      <c r="G769" s="80"/>
      <c r="H769" s="80"/>
      <c r="I769" s="80"/>
      <c r="J769" s="80"/>
      <c r="K769" s="80"/>
      <c r="L769" s="80"/>
      <c r="M769" s="84"/>
    </row>
    <row r="770" spans="1:13" ht="15.75" x14ac:dyDescent="0.25">
      <c r="A770" s="77"/>
      <c r="B770" s="78"/>
      <c r="C770" s="80"/>
      <c r="D770" s="80"/>
      <c r="E770" s="80"/>
      <c r="F770" s="80"/>
      <c r="G770" s="80"/>
      <c r="H770" s="80"/>
      <c r="I770" s="80"/>
      <c r="J770" s="80"/>
      <c r="K770" s="80"/>
      <c r="L770" s="80"/>
      <c r="M770" s="84"/>
    </row>
    <row r="771" spans="1:13" ht="15.75" x14ac:dyDescent="0.25">
      <c r="A771" s="77"/>
      <c r="B771" s="78"/>
      <c r="C771" s="80"/>
      <c r="D771" s="80"/>
      <c r="E771" s="80"/>
      <c r="F771" s="80"/>
      <c r="G771" s="80"/>
      <c r="H771" s="80"/>
      <c r="I771" s="80"/>
      <c r="J771" s="80"/>
      <c r="K771" s="80"/>
      <c r="L771" s="80"/>
      <c r="M771" s="84"/>
    </row>
    <row r="772" spans="1:13" ht="15.75" x14ac:dyDescent="0.25">
      <c r="A772" s="77"/>
      <c r="B772" s="78"/>
      <c r="C772" s="80"/>
      <c r="D772" s="80"/>
      <c r="E772" s="80"/>
      <c r="F772" s="80"/>
      <c r="G772" s="80"/>
      <c r="H772" s="80"/>
      <c r="I772" s="80"/>
      <c r="J772" s="80"/>
      <c r="K772" s="80"/>
      <c r="L772" s="80"/>
      <c r="M772" s="84"/>
    </row>
    <row r="773" spans="1:13" ht="15.75" x14ac:dyDescent="0.25">
      <c r="A773" s="77"/>
      <c r="B773" s="78"/>
      <c r="C773" s="80"/>
      <c r="D773" s="80"/>
      <c r="E773" s="80"/>
      <c r="F773" s="80"/>
      <c r="G773" s="80"/>
      <c r="H773" s="80"/>
      <c r="I773" s="80"/>
      <c r="J773" s="80"/>
      <c r="K773" s="80"/>
      <c r="L773" s="80"/>
      <c r="M773" s="84"/>
    </row>
    <row r="774" spans="1:13" ht="15.75" x14ac:dyDescent="0.25">
      <c r="A774" s="77"/>
      <c r="B774" s="78"/>
      <c r="C774" s="80"/>
      <c r="D774" s="80"/>
      <c r="E774" s="80"/>
      <c r="F774" s="80"/>
      <c r="G774" s="80"/>
      <c r="H774" s="80"/>
      <c r="I774" s="80"/>
      <c r="J774" s="80"/>
      <c r="K774" s="80"/>
      <c r="L774" s="80"/>
      <c r="M774" s="84"/>
    </row>
    <row r="775" spans="1:13" ht="15.75" x14ac:dyDescent="0.25">
      <c r="A775" s="77"/>
      <c r="B775" s="78"/>
      <c r="C775" s="80"/>
      <c r="D775" s="80"/>
      <c r="E775" s="80"/>
      <c r="F775" s="80"/>
      <c r="G775" s="80"/>
      <c r="H775" s="80"/>
      <c r="I775" s="80"/>
      <c r="J775" s="80"/>
      <c r="K775" s="80"/>
      <c r="L775" s="80"/>
      <c r="M775" s="84"/>
    </row>
    <row r="776" spans="1:13" ht="15.75" x14ac:dyDescent="0.25">
      <c r="A776" s="77"/>
      <c r="B776" s="78"/>
      <c r="C776" s="80"/>
      <c r="D776" s="80"/>
      <c r="E776" s="80"/>
      <c r="F776" s="80"/>
      <c r="G776" s="80"/>
      <c r="H776" s="80"/>
      <c r="I776" s="80"/>
      <c r="J776" s="80"/>
      <c r="K776" s="80"/>
      <c r="L776" s="80"/>
      <c r="M776" s="84"/>
    </row>
    <row r="777" spans="1:13" ht="15.75" x14ac:dyDescent="0.25">
      <c r="A777" s="77"/>
      <c r="B777" s="78"/>
      <c r="C777" s="80"/>
      <c r="D777" s="80"/>
      <c r="E777" s="80"/>
      <c r="F777" s="80"/>
      <c r="G777" s="80"/>
      <c r="H777" s="80"/>
      <c r="I777" s="80"/>
      <c r="J777" s="80"/>
      <c r="K777" s="80"/>
      <c r="L777" s="80"/>
      <c r="M777" s="84"/>
    </row>
    <row r="778" spans="1:13" ht="15.75" x14ac:dyDescent="0.25">
      <c r="A778" s="77"/>
      <c r="B778" s="78"/>
      <c r="C778" s="80"/>
      <c r="D778" s="80"/>
      <c r="E778" s="80"/>
      <c r="F778" s="80"/>
      <c r="G778" s="80"/>
      <c r="H778" s="80"/>
      <c r="I778" s="80"/>
      <c r="J778" s="80"/>
      <c r="K778" s="80"/>
      <c r="L778" s="80"/>
      <c r="M778" s="84"/>
    </row>
    <row r="779" spans="1:13" ht="15.75" x14ac:dyDescent="0.25">
      <c r="A779" s="77"/>
      <c r="B779" s="78"/>
      <c r="C779" s="80"/>
      <c r="D779" s="80"/>
      <c r="E779" s="80"/>
      <c r="F779" s="80"/>
      <c r="G779" s="80"/>
      <c r="H779" s="80"/>
      <c r="I779" s="80"/>
      <c r="J779" s="80"/>
      <c r="K779" s="80"/>
      <c r="L779" s="80"/>
      <c r="M779" s="84"/>
    </row>
    <row r="780" spans="1:13" ht="15.75" x14ac:dyDescent="0.25">
      <c r="A780" s="77"/>
      <c r="B780" s="78"/>
      <c r="C780" s="80"/>
      <c r="D780" s="80"/>
      <c r="E780" s="80"/>
      <c r="F780" s="80"/>
      <c r="G780" s="80"/>
      <c r="H780" s="80"/>
      <c r="I780" s="80"/>
      <c r="J780" s="80"/>
      <c r="K780" s="80"/>
      <c r="L780" s="80"/>
      <c r="M780" s="84"/>
    </row>
    <row r="781" spans="1:13" ht="15.75" x14ac:dyDescent="0.25">
      <c r="A781" s="77"/>
      <c r="B781" s="78"/>
      <c r="C781" s="80"/>
      <c r="D781" s="80"/>
      <c r="E781" s="80"/>
      <c r="F781" s="80"/>
      <c r="G781" s="80"/>
      <c r="H781" s="80"/>
      <c r="I781" s="80"/>
      <c r="J781" s="80"/>
      <c r="K781" s="80"/>
      <c r="L781" s="80"/>
      <c r="M781" s="84"/>
    </row>
    <row r="782" spans="1:13" ht="15.75" x14ac:dyDescent="0.25">
      <c r="A782" s="77"/>
      <c r="B782" s="78"/>
      <c r="C782" s="80"/>
      <c r="D782" s="80"/>
      <c r="E782" s="80"/>
      <c r="F782" s="80"/>
      <c r="G782" s="80"/>
      <c r="H782" s="80"/>
      <c r="I782" s="80"/>
      <c r="J782" s="80"/>
      <c r="K782" s="80"/>
      <c r="L782" s="80"/>
      <c r="M782" s="84"/>
    </row>
    <row r="783" spans="1:13" ht="15.75" x14ac:dyDescent="0.25">
      <c r="A783" s="77"/>
      <c r="B783" s="78"/>
      <c r="C783" s="80"/>
      <c r="D783" s="80"/>
      <c r="E783" s="80"/>
      <c r="F783" s="80"/>
      <c r="G783" s="80"/>
      <c r="H783" s="80"/>
      <c r="I783" s="80"/>
      <c r="J783" s="80"/>
      <c r="K783" s="80"/>
      <c r="L783" s="80"/>
      <c r="M783" s="84"/>
    </row>
    <row r="784" spans="1:13" ht="15.75" x14ac:dyDescent="0.25">
      <c r="A784" s="77"/>
      <c r="B784" s="78"/>
      <c r="C784" s="80"/>
      <c r="D784" s="80"/>
      <c r="E784" s="80"/>
      <c r="F784" s="80"/>
      <c r="G784" s="80"/>
      <c r="H784" s="80"/>
      <c r="I784" s="80"/>
      <c r="J784" s="80"/>
      <c r="K784" s="80"/>
      <c r="L784" s="80"/>
      <c r="M784" s="84"/>
    </row>
    <row r="785" spans="1:13" ht="15.75" x14ac:dyDescent="0.25">
      <c r="A785" s="77"/>
      <c r="B785" s="78"/>
      <c r="C785" s="80"/>
      <c r="D785" s="80"/>
      <c r="E785" s="80"/>
      <c r="F785" s="80"/>
      <c r="G785" s="80"/>
      <c r="H785" s="80"/>
      <c r="I785" s="80"/>
      <c r="J785" s="80"/>
      <c r="K785" s="80"/>
      <c r="L785" s="80"/>
      <c r="M785" s="84"/>
    </row>
    <row r="786" spans="1:13" ht="15.75" x14ac:dyDescent="0.25">
      <c r="A786" s="77"/>
      <c r="B786" s="78"/>
      <c r="C786" s="80"/>
      <c r="D786" s="80"/>
      <c r="E786" s="80"/>
      <c r="F786" s="80"/>
      <c r="G786" s="80"/>
      <c r="H786" s="80"/>
      <c r="I786" s="80"/>
      <c r="J786" s="80"/>
      <c r="K786" s="80"/>
      <c r="L786" s="80"/>
      <c r="M786" s="84"/>
    </row>
    <row r="787" spans="1:13" ht="15.75" x14ac:dyDescent="0.25">
      <c r="A787" s="77"/>
      <c r="B787" s="78"/>
      <c r="C787" s="80"/>
      <c r="D787" s="80"/>
      <c r="E787" s="80"/>
      <c r="F787" s="80"/>
      <c r="G787" s="80"/>
      <c r="H787" s="80"/>
      <c r="I787" s="80"/>
      <c r="J787" s="80"/>
      <c r="K787" s="80"/>
      <c r="L787" s="80"/>
      <c r="M787" s="84"/>
    </row>
    <row r="788" spans="1:13" ht="15.75" x14ac:dyDescent="0.25">
      <c r="A788" s="77"/>
      <c r="B788" s="78"/>
      <c r="C788" s="80"/>
      <c r="D788" s="80"/>
      <c r="E788" s="80"/>
      <c r="F788" s="80"/>
      <c r="G788" s="80"/>
      <c r="H788" s="80"/>
      <c r="I788" s="80"/>
      <c r="J788" s="80"/>
      <c r="K788" s="80"/>
      <c r="L788" s="80"/>
      <c r="M788" s="84"/>
    </row>
    <row r="789" spans="1:13" ht="15.75" x14ac:dyDescent="0.25">
      <c r="A789" s="77"/>
      <c r="B789" s="78"/>
      <c r="C789" s="80"/>
      <c r="D789" s="80"/>
      <c r="E789" s="80"/>
      <c r="F789" s="80"/>
      <c r="G789" s="80"/>
      <c r="H789" s="80"/>
      <c r="I789" s="80"/>
      <c r="J789" s="80"/>
      <c r="K789" s="80"/>
      <c r="L789" s="80"/>
      <c r="M789" s="84"/>
    </row>
    <row r="790" spans="1:13" ht="15.75" x14ac:dyDescent="0.25">
      <c r="A790" s="77"/>
      <c r="B790" s="78"/>
      <c r="C790" s="80"/>
      <c r="D790" s="80"/>
      <c r="E790" s="80"/>
      <c r="F790" s="80"/>
      <c r="G790" s="80"/>
      <c r="H790" s="80"/>
      <c r="I790" s="80"/>
      <c r="J790" s="80"/>
      <c r="K790" s="80"/>
      <c r="L790" s="80"/>
      <c r="M790" s="84"/>
    </row>
    <row r="791" spans="1:13" ht="15.75" x14ac:dyDescent="0.25">
      <c r="A791" s="77"/>
      <c r="B791" s="78"/>
      <c r="C791" s="80"/>
      <c r="D791" s="80"/>
      <c r="E791" s="80"/>
      <c r="F791" s="80"/>
      <c r="G791" s="80"/>
      <c r="H791" s="80"/>
      <c r="I791" s="80"/>
      <c r="J791" s="80"/>
      <c r="K791" s="80"/>
      <c r="L791" s="80"/>
      <c r="M791" s="84"/>
    </row>
    <row r="792" spans="1:13" ht="15.75" x14ac:dyDescent="0.25">
      <c r="A792" s="77"/>
      <c r="B792" s="78"/>
      <c r="C792" s="80"/>
      <c r="D792" s="80"/>
      <c r="E792" s="80"/>
      <c r="F792" s="80"/>
      <c r="G792" s="80"/>
      <c r="H792" s="80"/>
      <c r="I792" s="80"/>
      <c r="J792" s="80"/>
      <c r="K792" s="80"/>
      <c r="L792" s="80"/>
      <c r="M792" s="84"/>
    </row>
    <row r="793" spans="1:13" ht="15.75" x14ac:dyDescent="0.25">
      <c r="A793" s="77"/>
      <c r="B793" s="78"/>
      <c r="C793" s="80"/>
      <c r="D793" s="80"/>
      <c r="E793" s="80"/>
      <c r="F793" s="80"/>
      <c r="G793" s="80"/>
      <c r="H793" s="80"/>
      <c r="I793" s="80"/>
      <c r="J793" s="80"/>
      <c r="K793" s="80"/>
      <c r="L793" s="80"/>
      <c r="M793" s="84"/>
    </row>
    <row r="794" spans="1:13" ht="15.75" x14ac:dyDescent="0.25">
      <c r="A794" s="77"/>
      <c r="B794" s="78"/>
      <c r="C794" s="80"/>
      <c r="D794" s="80"/>
      <c r="E794" s="80"/>
      <c r="F794" s="80"/>
      <c r="G794" s="80"/>
      <c r="H794" s="80"/>
      <c r="I794" s="80"/>
      <c r="J794" s="80"/>
      <c r="K794" s="80"/>
      <c r="L794" s="80"/>
      <c r="M794" s="84"/>
    </row>
    <row r="795" spans="1:13" ht="15.75" x14ac:dyDescent="0.25">
      <c r="A795" s="77"/>
      <c r="B795" s="78"/>
      <c r="C795" s="80"/>
      <c r="D795" s="80"/>
      <c r="E795" s="80"/>
      <c r="F795" s="80"/>
      <c r="G795" s="80"/>
      <c r="H795" s="80"/>
      <c r="I795" s="80"/>
      <c r="J795" s="80"/>
      <c r="K795" s="80"/>
      <c r="L795" s="80"/>
      <c r="M795" s="84"/>
    </row>
    <row r="796" spans="1:13" ht="15.75" x14ac:dyDescent="0.25">
      <c r="A796" s="77"/>
      <c r="B796" s="78"/>
      <c r="C796" s="80"/>
      <c r="D796" s="80"/>
      <c r="E796" s="80"/>
      <c r="F796" s="80"/>
      <c r="G796" s="80"/>
      <c r="H796" s="80"/>
      <c r="I796" s="80"/>
      <c r="J796" s="80"/>
      <c r="K796" s="80"/>
      <c r="L796" s="80"/>
      <c r="M796" s="84"/>
    </row>
    <row r="797" spans="1:13" ht="15.75" x14ac:dyDescent="0.25">
      <c r="A797" s="77"/>
      <c r="B797" s="78"/>
      <c r="C797" s="80"/>
      <c r="D797" s="80"/>
      <c r="E797" s="80"/>
      <c r="F797" s="80"/>
      <c r="G797" s="80"/>
      <c r="H797" s="80"/>
      <c r="I797" s="80"/>
      <c r="J797" s="80"/>
      <c r="K797" s="80"/>
      <c r="L797" s="80"/>
      <c r="M797" s="84"/>
    </row>
    <row r="798" spans="1:13" ht="15.75" x14ac:dyDescent="0.25">
      <c r="A798" s="77"/>
      <c r="B798" s="78"/>
      <c r="C798" s="80"/>
      <c r="D798" s="80"/>
      <c r="E798" s="80"/>
      <c r="F798" s="80"/>
      <c r="G798" s="80"/>
      <c r="H798" s="80"/>
      <c r="I798" s="80"/>
      <c r="J798" s="80"/>
      <c r="K798" s="80"/>
      <c r="L798" s="80"/>
      <c r="M798" s="84"/>
    </row>
    <row r="799" spans="1:13" ht="15.75" x14ac:dyDescent="0.25">
      <c r="A799" s="77"/>
      <c r="B799" s="78"/>
      <c r="C799" s="80"/>
      <c r="D799" s="80"/>
      <c r="E799" s="80"/>
      <c r="F799" s="80"/>
      <c r="G799" s="80"/>
      <c r="H799" s="80"/>
      <c r="I799" s="80"/>
      <c r="J799" s="80"/>
      <c r="K799" s="80"/>
      <c r="L799" s="80"/>
      <c r="M799" s="84"/>
    </row>
    <row r="800" spans="1:13" ht="15.75" x14ac:dyDescent="0.25">
      <c r="A800" s="77"/>
      <c r="B800" s="78"/>
      <c r="C800" s="80"/>
      <c r="D800" s="80"/>
      <c r="E800" s="80"/>
      <c r="F800" s="80"/>
      <c r="G800" s="80"/>
      <c r="H800" s="80"/>
      <c r="I800" s="80"/>
      <c r="J800" s="80"/>
      <c r="K800" s="80"/>
      <c r="L800" s="80"/>
      <c r="M800" s="84"/>
    </row>
    <row r="801" spans="1:13" ht="15.75" x14ac:dyDescent="0.25">
      <c r="A801" s="77"/>
      <c r="B801" s="78"/>
      <c r="C801" s="80"/>
      <c r="D801" s="80"/>
      <c r="E801" s="80"/>
      <c r="F801" s="80"/>
      <c r="G801" s="80"/>
      <c r="H801" s="80"/>
      <c r="I801" s="80"/>
      <c r="J801" s="80"/>
      <c r="K801" s="80"/>
      <c r="L801" s="80"/>
      <c r="M801" s="84"/>
    </row>
    <row r="802" spans="1:13" ht="15.75" x14ac:dyDescent="0.25">
      <c r="A802" s="77"/>
      <c r="B802" s="78"/>
      <c r="C802" s="80"/>
      <c r="D802" s="80"/>
      <c r="E802" s="80"/>
      <c r="F802" s="80"/>
      <c r="G802" s="80"/>
      <c r="H802" s="80"/>
      <c r="I802" s="80"/>
      <c r="J802" s="80"/>
      <c r="K802" s="80"/>
      <c r="L802" s="80"/>
      <c r="M802" s="84"/>
    </row>
    <row r="803" spans="1:13" ht="15.75" x14ac:dyDescent="0.25">
      <c r="A803" s="77"/>
      <c r="B803" s="78"/>
      <c r="C803" s="80"/>
      <c r="D803" s="80"/>
      <c r="E803" s="80"/>
      <c r="F803" s="80"/>
      <c r="G803" s="80"/>
      <c r="H803" s="80"/>
      <c r="I803" s="80"/>
      <c r="J803" s="80"/>
      <c r="K803" s="80"/>
      <c r="L803" s="80"/>
      <c r="M803" s="84"/>
    </row>
    <row r="804" spans="1:13" ht="15.75" x14ac:dyDescent="0.25">
      <c r="A804" s="77"/>
      <c r="B804" s="78"/>
      <c r="C804" s="80"/>
      <c r="D804" s="80"/>
      <c r="E804" s="80"/>
      <c r="F804" s="80"/>
      <c r="G804" s="80"/>
      <c r="H804" s="80"/>
      <c r="I804" s="80"/>
      <c r="J804" s="80"/>
      <c r="K804" s="80"/>
      <c r="L804" s="80"/>
      <c r="M804" s="84"/>
    </row>
    <row r="805" spans="1:13" ht="15.75" x14ac:dyDescent="0.25">
      <c r="A805" s="77"/>
      <c r="B805" s="78"/>
      <c r="C805" s="80"/>
      <c r="D805" s="80"/>
      <c r="E805" s="80"/>
      <c r="F805" s="80"/>
      <c r="G805" s="80"/>
      <c r="H805" s="80"/>
      <c r="I805" s="80"/>
      <c r="J805" s="80"/>
      <c r="K805" s="80"/>
      <c r="L805" s="80"/>
      <c r="M805" s="84"/>
    </row>
    <row r="806" spans="1:13" ht="15.75" x14ac:dyDescent="0.25">
      <c r="A806" s="77"/>
      <c r="B806" s="78"/>
      <c r="C806" s="80"/>
      <c r="D806" s="80"/>
      <c r="E806" s="80"/>
      <c r="F806" s="80"/>
      <c r="G806" s="80"/>
      <c r="H806" s="80"/>
      <c r="I806" s="80"/>
      <c r="J806" s="80"/>
      <c r="K806" s="80"/>
      <c r="L806" s="80"/>
      <c r="M806" s="84"/>
    </row>
    <row r="807" spans="1:13" ht="15.75" x14ac:dyDescent="0.25">
      <c r="A807" s="77"/>
      <c r="B807" s="78"/>
      <c r="C807" s="80"/>
      <c r="D807" s="80"/>
      <c r="E807" s="80"/>
      <c r="F807" s="80"/>
      <c r="G807" s="80"/>
      <c r="H807" s="80"/>
      <c r="I807" s="80"/>
      <c r="J807" s="80"/>
      <c r="K807" s="80"/>
      <c r="L807" s="80"/>
      <c r="M807" s="84"/>
    </row>
    <row r="808" spans="1:13" ht="15.75" x14ac:dyDescent="0.25">
      <c r="A808" s="77"/>
      <c r="B808" s="78"/>
      <c r="C808" s="80"/>
      <c r="D808" s="80"/>
      <c r="E808" s="80"/>
      <c r="F808" s="80"/>
      <c r="G808" s="80"/>
      <c r="H808" s="80"/>
      <c r="I808" s="80"/>
      <c r="J808" s="80"/>
      <c r="K808" s="80"/>
      <c r="L808" s="80"/>
      <c r="M808" s="84"/>
    </row>
    <row r="809" spans="1:13" ht="15.75" x14ac:dyDescent="0.25">
      <c r="A809" s="77"/>
      <c r="B809" s="78"/>
      <c r="C809" s="80"/>
      <c r="D809" s="80"/>
      <c r="E809" s="80"/>
      <c r="F809" s="80"/>
      <c r="G809" s="80"/>
      <c r="H809" s="80"/>
      <c r="I809" s="80"/>
      <c r="J809" s="80"/>
      <c r="K809" s="80"/>
      <c r="L809" s="80"/>
      <c r="M809" s="84"/>
    </row>
    <row r="810" spans="1:13" ht="15.75" x14ac:dyDescent="0.25">
      <c r="A810" s="77"/>
      <c r="B810" s="78"/>
      <c r="C810" s="80"/>
      <c r="D810" s="80"/>
      <c r="E810" s="80"/>
      <c r="F810" s="80"/>
      <c r="G810" s="80"/>
      <c r="H810" s="80"/>
      <c r="I810" s="80"/>
      <c r="J810" s="80"/>
      <c r="K810" s="80"/>
      <c r="L810" s="80"/>
      <c r="M810" s="84"/>
    </row>
    <row r="811" spans="1:13" ht="15.75" x14ac:dyDescent="0.25">
      <c r="A811" s="77"/>
      <c r="B811" s="78"/>
      <c r="C811" s="80"/>
      <c r="D811" s="80"/>
      <c r="E811" s="80"/>
      <c r="F811" s="80"/>
      <c r="G811" s="80"/>
      <c r="H811" s="80"/>
      <c r="I811" s="80"/>
      <c r="J811" s="80"/>
      <c r="K811" s="80"/>
      <c r="L811" s="80"/>
      <c r="M811" s="84"/>
    </row>
    <row r="812" spans="1:13" ht="15.75" x14ac:dyDescent="0.25">
      <c r="A812" s="77"/>
      <c r="B812" s="78"/>
      <c r="C812" s="80"/>
      <c r="D812" s="80"/>
      <c r="E812" s="80"/>
      <c r="F812" s="80"/>
      <c r="G812" s="80"/>
      <c r="H812" s="80"/>
      <c r="I812" s="80"/>
      <c r="J812" s="80"/>
      <c r="K812" s="80"/>
      <c r="L812" s="80"/>
      <c r="M812" s="84"/>
    </row>
    <row r="813" spans="1:13" ht="15.75" x14ac:dyDescent="0.25">
      <c r="A813" s="77"/>
      <c r="B813" s="78"/>
      <c r="C813" s="80"/>
      <c r="D813" s="80"/>
      <c r="E813" s="80"/>
      <c r="F813" s="80"/>
      <c r="G813" s="80"/>
      <c r="H813" s="80"/>
      <c r="I813" s="80"/>
      <c r="J813" s="80"/>
      <c r="K813" s="80"/>
      <c r="L813" s="80"/>
      <c r="M813" s="84"/>
    </row>
    <row r="814" spans="1:13" ht="15.75" x14ac:dyDescent="0.25">
      <c r="A814" s="77"/>
      <c r="B814" s="78"/>
      <c r="C814" s="80"/>
      <c r="D814" s="80"/>
      <c r="E814" s="80"/>
      <c r="F814" s="80"/>
      <c r="G814" s="80"/>
      <c r="H814" s="80"/>
      <c r="I814" s="80"/>
      <c r="J814" s="80"/>
      <c r="K814" s="80"/>
      <c r="L814" s="80"/>
      <c r="M814" s="84"/>
    </row>
    <row r="815" spans="1:13" ht="15.75" x14ac:dyDescent="0.25">
      <c r="A815" s="77"/>
      <c r="B815" s="78"/>
      <c r="C815" s="80"/>
      <c r="D815" s="80"/>
      <c r="E815" s="80"/>
      <c r="F815" s="80"/>
      <c r="G815" s="80"/>
      <c r="H815" s="80"/>
      <c r="I815" s="80"/>
      <c r="J815" s="80"/>
      <c r="K815" s="80"/>
      <c r="L815" s="80"/>
      <c r="M815" s="84"/>
    </row>
    <row r="816" spans="1:13" ht="15.75" x14ac:dyDescent="0.25">
      <c r="A816" s="77"/>
      <c r="B816" s="78"/>
      <c r="C816" s="80"/>
      <c r="D816" s="80"/>
      <c r="E816" s="80"/>
      <c r="F816" s="80"/>
      <c r="G816" s="80"/>
      <c r="H816" s="80"/>
      <c r="I816" s="80"/>
      <c r="J816" s="80"/>
      <c r="K816" s="80"/>
      <c r="L816" s="80"/>
      <c r="M816" s="84"/>
    </row>
    <row r="817" spans="1:13" ht="15.75" x14ac:dyDescent="0.25">
      <c r="A817" s="77"/>
      <c r="B817" s="78"/>
      <c r="C817" s="80"/>
      <c r="D817" s="80"/>
      <c r="E817" s="80"/>
      <c r="F817" s="80"/>
      <c r="G817" s="80"/>
      <c r="H817" s="80"/>
      <c r="I817" s="80"/>
      <c r="J817" s="80"/>
      <c r="K817" s="80"/>
      <c r="L817" s="80"/>
      <c r="M817" s="84"/>
    </row>
    <row r="818" spans="1:13" ht="15.75" x14ac:dyDescent="0.25">
      <c r="A818" s="77"/>
      <c r="B818" s="78"/>
      <c r="C818" s="80"/>
      <c r="D818" s="80"/>
      <c r="E818" s="80"/>
      <c r="F818" s="80"/>
      <c r="G818" s="80"/>
      <c r="H818" s="80"/>
      <c r="I818" s="80"/>
      <c r="J818" s="80"/>
      <c r="K818" s="80"/>
      <c r="L818" s="80"/>
      <c r="M818" s="84"/>
    </row>
    <row r="819" spans="1:13" ht="15.75" x14ac:dyDescent="0.25">
      <c r="A819" s="77"/>
      <c r="B819" s="78"/>
      <c r="C819" s="80"/>
      <c r="D819" s="80"/>
      <c r="E819" s="80"/>
      <c r="F819" s="80"/>
      <c r="G819" s="80"/>
      <c r="H819" s="80"/>
      <c r="I819" s="80"/>
      <c r="J819" s="80"/>
      <c r="K819" s="80"/>
      <c r="L819" s="80"/>
      <c r="M819" s="84"/>
    </row>
    <row r="820" spans="1:13" ht="15.75" x14ac:dyDescent="0.25">
      <c r="A820" s="77"/>
      <c r="B820" s="78"/>
      <c r="C820" s="80"/>
      <c r="D820" s="80"/>
      <c r="E820" s="80"/>
      <c r="F820" s="80"/>
      <c r="G820" s="80"/>
      <c r="H820" s="80"/>
      <c r="I820" s="80"/>
      <c r="J820" s="80"/>
      <c r="K820" s="80"/>
      <c r="L820" s="80"/>
      <c r="M820" s="84"/>
    </row>
    <row r="821" spans="1:13" ht="15.75" x14ac:dyDescent="0.25">
      <c r="A821" s="77"/>
      <c r="B821" s="78"/>
      <c r="C821" s="80"/>
      <c r="D821" s="80"/>
      <c r="E821" s="80"/>
      <c r="F821" s="80"/>
      <c r="G821" s="80"/>
      <c r="H821" s="80"/>
      <c r="I821" s="80"/>
      <c r="J821" s="80"/>
      <c r="K821" s="80"/>
      <c r="L821" s="80"/>
      <c r="M821" s="84"/>
    </row>
    <row r="822" spans="1:13" ht="15.75" x14ac:dyDescent="0.25">
      <c r="A822" s="77"/>
      <c r="B822" s="78"/>
      <c r="C822" s="80"/>
      <c r="D822" s="80"/>
      <c r="E822" s="80"/>
      <c r="F822" s="80"/>
      <c r="G822" s="80"/>
      <c r="H822" s="80"/>
      <c r="I822" s="80"/>
      <c r="J822" s="80"/>
      <c r="K822" s="80"/>
      <c r="L822" s="80"/>
      <c r="M822" s="84"/>
    </row>
    <row r="823" spans="1:13" ht="15.75" x14ac:dyDescent="0.25">
      <c r="A823" s="77"/>
      <c r="B823" s="78"/>
      <c r="C823" s="80"/>
      <c r="D823" s="80"/>
      <c r="E823" s="80"/>
      <c r="F823" s="80"/>
      <c r="G823" s="80"/>
      <c r="H823" s="80"/>
      <c r="I823" s="80"/>
      <c r="J823" s="80"/>
      <c r="K823" s="80"/>
      <c r="L823" s="80"/>
      <c r="M823" s="84"/>
    </row>
    <row r="824" spans="1:13" ht="15.75" x14ac:dyDescent="0.25">
      <c r="A824" s="77"/>
      <c r="B824" s="78"/>
      <c r="C824" s="80"/>
      <c r="D824" s="80"/>
      <c r="E824" s="80"/>
      <c r="F824" s="80"/>
      <c r="G824" s="80"/>
      <c r="H824" s="80"/>
      <c r="I824" s="80"/>
      <c r="J824" s="80"/>
      <c r="K824" s="80"/>
      <c r="L824" s="80"/>
      <c r="M824" s="84"/>
    </row>
    <row r="825" spans="1:13" ht="15.75" x14ac:dyDescent="0.25">
      <c r="A825" s="77"/>
      <c r="B825" s="78"/>
      <c r="C825" s="80"/>
      <c r="D825" s="80"/>
      <c r="E825" s="80"/>
      <c r="F825" s="80"/>
      <c r="G825" s="80"/>
      <c r="H825" s="80"/>
      <c r="I825" s="80"/>
      <c r="J825" s="80"/>
      <c r="K825" s="80"/>
      <c r="L825" s="80"/>
      <c r="M825" s="84"/>
    </row>
    <row r="826" spans="1:13" ht="15.75" x14ac:dyDescent="0.25">
      <c r="A826" s="77"/>
      <c r="B826" s="78"/>
      <c r="C826" s="80"/>
      <c r="D826" s="80"/>
      <c r="E826" s="80"/>
      <c r="F826" s="80"/>
      <c r="G826" s="80"/>
      <c r="H826" s="80"/>
      <c r="I826" s="80"/>
      <c r="J826" s="80"/>
      <c r="K826" s="80"/>
      <c r="L826" s="80"/>
      <c r="M826" s="84"/>
    </row>
    <row r="827" spans="1:13" ht="15.75" x14ac:dyDescent="0.25">
      <c r="A827" s="77"/>
      <c r="B827" s="78"/>
      <c r="C827" s="80"/>
      <c r="D827" s="80"/>
      <c r="E827" s="80"/>
      <c r="F827" s="80"/>
      <c r="G827" s="80"/>
      <c r="H827" s="80"/>
      <c r="I827" s="80"/>
      <c r="J827" s="80"/>
      <c r="K827" s="80"/>
      <c r="L827" s="80"/>
      <c r="M827" s="84"/>
    </row>
    <row r="828" spans="1:13" ht="15.75" x14ac:dyDescent="0.25">
      <c r="A828" s="77"/>
      <c r="B828" s="78"/>
      <c r="C828" s="80"/>
      <c r="D828" s="80"/>
      <c r="E828" s="80"/>
      <c r="F828" s="80"/>
      <c r="G828" s="80"/>
      <c r="H828" s="80"/>
      <c r="I828" s="80"/>
      <c r="J828" s="80"/>
      <c r="K828" s="80"/>
      <c r="L828" s="80"/>
      <c r="M828" s="84"/>
    </row>
    <row r="829" spans="1:13" ht="15.75" x14ac:dyDescent="0.25">
      <c r="A829" s="77"/>
      <c r="B829" s="78"/>
      <c r="C829" s="80"/>
      <c r="D829" s="80"/>
      <c r="E829" s="80"/>
      <c r="F829" s="80"/>
      <c r="G829" s="80"/>
      <c r="H829" s="80"/>
      <c r="I829" s="80"/>
      <c r="J829" s="80"/>
      <c r="K829" s="80"/>
      <c r="L829" s="80"/>
      <c r="M829" s="84"/>
    </row>
    <row r="830" spans="1:13" ht="15.75" x14ac:dyDescent="0.25">
      <c r="A830" s="77"/>
      <c r="B830" s="78"/>
      <c r="C830" s="80"/>
      <c r="D830" s="80"/>
      <c r="E830" s="80"/>
      <c r="F830" s="80"/>
      <c r="G830" s="80"/>
      <c r="H830" s="80"/>
      <c r="I830" s="80"/>
      <c r="J830" s="80"/>
      <c r="K830" s="80"/>
      <c r="L830" s="80"/>
      <c r="M830" s="84"/>
    </row>
    <row r="831" spans="1:13" ht="15.75" x14ac:dyDescent="0.25">
      <c r="A831" s="77"/>
      <c r="B831" s="78"/>
      <c r="C831" s="80"/>
      <c r="D831" s="80"/>
      <c r="E831" s="80"/>
      <c r="F831" s="80"/>
      <c r="G831" s="80"/>
      <c r="H831" s="80"/>
      <c r="I831" s="80"/>
      <c r="J831" s="80"/>
      <c r="K831" s="80"/>
      <c r="L831" s="80"/>
      <c r="M831" s="84"/>
    </row>
    <row r="832" spans="1:13" ht="15.75" x14ac:dyDescent="0.25">
      <c r="A832" s="77"/>
      <c r="B832" s="78"/>
      <c r="C832" s="80"/>
      <c r="D832" s="80"/>
      <c r="E832" s="80"/>
      <c r="F832" s="80"/>
      <c r="G832" s="80"/>
      <c r="H832" s="80"/>
      <c r="I832" s="80"/>
      <c r="J832" s="80"/>
      <c r="K832" s="80"/>
      <c r="L832" s="80"/>
      <c r="M832" s="84"/>
    </row>
    <row r="833" spans="1:13" ht="15.75" x14ac:dyDescent="0.25">
      <c r="A833" s="77"/>
      <c r="B833" s="78"/>
      <c r="C833" s="80"/>
      <c r="D833" s="80"/>
      <c r="E833" s="80"/>
      <c r="F833" s="80"/>
      <c r="G833" s="80"/>
      <c r="H833" s="80"/>
      <c r="I833" s="80"/>
      <c r="J833" s="80"/>
      <c r="K833" s="80"/>
      <c r="L833" s="80"/>
      <c r="M833" s="84"/>
    </row>
    <row r="834" spans="1:13" ht="15.75" x14ac:dyDescent="0.25">
      <c r="A834" s="77"/>
      <c r="B834" s="78"/>
      <c r="C834" s="80"/>
      <c r="D834" s="80"/>
      <c r="E834" s="80"/>
      <c r="F834" s="80"/>
      <c r="G834" s="80"/>
      <c r="H834" s="80"/>
      <c r="I834" s="80"/>
      <c r="J834" s="80"/>
      <c r="K834" s="80"/>
      <c r="L834" s="80"/>
      <c r="M834" s="84"/>
    </row>
    <row r="835" spans="1:13" ht="15.75" x14ac:dyDescent="0.25">
      <c r="A835" s="77"/>
      <c r="B835" s="78"/>
      <c r="C835" s="80"/>
      <c r="D835" s="80"/>
      <c r="E835" s="80"/>
      <c r="F835" s="80"/>
      <c r="G835" s="80"/>
      <c r="H835" s="80"/>
      <c r="I835" s="80"/>
      <c r="J835" s="80"/>
      <c r="K835" s="80"/>
      <c r="L835" s="80"/>
      <c r="M835" s="84"/>
    </row>
    <row r="836" spans="1:13" ht="15.75" x14ac:dyDescent="0.25">
      <c r="A836" s="77"/>
      <c r="B836" s="78"/>
      <c r="C836" s="80"/>
      <c r="D836" s="80"/>
      <c r="E836" s="80"/>
      <c r="F836" s="80"/>
      <c r="G836" s="80"/>
      <c r="H836" s="80"/>
      <c r="I836" s="80"/>
      <c r="J836" s="80"/>
      <c r="K836" s="80"/>
      <c r="L836" s="80"/>
      <c r="M836" s="84"/>
    </row>
    <row r="837" spans="1:13" ht="15.75" x14ac:dyDescent="0.25">
      <c r="A837" s="77"/>
      <c r="B837" s="78"/>
      <c r="C837" s="80"/>
      <c r="D837" s="80"/>
      <c r="E837" s="80"/>
      <c r="F837" s="80"/>
      <c r="G837" s="80"/>
      <c r="H837" s="80"/>
      <c r="I837" s="80"/>
      <c r="J837" s="80"/>
      <c r="K837" s="80"/>
      <c r="L837" s="80"/>
      <c r="M837" s="84"/>
    </row>
    <row r="838" spans="1:13" ht="15.75" x14ac:dyDescent="0.25">
      <c r="A838" s="77"/>
      <c r="B838" s="78"/>
      <c r="C838" s="80"/>
      <c r="D838" s="80"/>
      <c r="E838" s="80"/>
      <c r="F838" s="80"/>
      <c r="G838" s="80"/>
      <c r="H838" s="80"/>
      <c r="I838" s="80"/>
      <c r="J838" s="80"/>
      <c r="K838" s="80"/>
      <c r="L838" s="80"/>
      <c r="M838" s="84"/>
    </row>
    <row r="839" spans="1:13" ht="15.75" x14ac:dyDescent="0.25">
      <c r="A839" s="77"/>
      <c r="B839" s="78"/>
      <c r="C839" s="80"/>
      <c r="D839" s="80"/>
      <c r="E839" s="80"/>
      <c r="F839" s="80"/>
      <c r="G839" s="80"/>
      <c r="H839" s="80"/>
      <c r="I839" s="80"/>
      <c r="J839" s="80"/>
      <c r="K839" s="80"/>
      <c r="L839" s="80"/>
      <c r="M839" s="84"/>
    </row>
    <row r="840" spans="1:13" ht="15.75" x14ac:dyDescent="0.25">
      <c r="A840" s="77"/>
      <c r="B840" s="78"/>
      <c r="C840" s="80"/>
      <c r="D840" s="80"/>
      <c r="E840" s="80"/>
      <c r="F840" s="80"/>
      <c r="G840" s="80"/>
      <c r="H840" s="80"/>
      <c r="I840" s="80"/>
      <c r="J840" s="80"/>
      <c r="K840" s="80"/>
      <c r="L840" s="80"/>
      <c r="M840" s="84"/>
    </row>
    <row r="841" spans="1:13" ht="15.75" x14ac:dyDescent="0.25">
      <c r="A841" s="77"/>
      <c r="B841" s="78"/>
      <c r="C841" s="80"/>
      <c r="D841" s="80"/>
      <c r="E841" s="80"/>
      <c r="F841" s="80"/>
      <c r="G841" s="80"/>
      <c r="H841" s="80"/>
      <c r="I841" s="80"/>
      <c r="J841" s="80"/>
      <c r="K841" s="80"/>
      <c r="L841" s="80"/>
      <c r="M841" s="84"/>
    </row>
    <row r="842" spans="1:13" ht="15.75" x14ac:dyDescent="0.25">
      <c r="A842" s="77"/>
      <c r="B842" s="78"/>
      <c r="C842" s="80"/>
      <c r="D842" s="80"/>
      <c r="E842" s="80"/>
      <c r="F842" s="80"/>
      <c r="G842" s="80"/>
      <c r="H842" s="80"/>
      <c r="I842" s="80"/>
      <c r="J842" s="80"/>
      <c r="K842" s="80"/>
      <c r="L842" s="80"/>
      <c r="M842" s="84"/>
    </row>
    <row r="843" spans="1:13" ht="15.75" x14ac:dyDescent="0.25">
      <c r="A843" s="77"/>
      <c r="B843" s="78"/>
      <c r="C843" s="80"/>
      <c r="D843" s="80"/>
      <c r="E843" s="80"/>
      <c r="F843" s="80"/>
      <c r="G843" s="80"/>
      <c r="H843" s="80"/>
      <c r="I843" s="80"/>
      <c r="J843" s="80"/>
      <c r="K843" s="80"/>
      <c r="L843" s="80"/>
      <c r="M843" s="84"/>
    </row>
    <row r="844" spans="1:13" ht="15.75" x14ac:dyDescent="0.25">
      <c r="A844" s="77"/>
      <c r="B844" s="78"/>
      <c r="C844" s="80"/>
      <c r="D844" s="80"/>
      <c r="E844" s="80"/>
      <c r="F844" s="80"/>
      <c r="G844" s="80"/>
      <c r="H844" s="80"/>
      <c r="I844" s="80"/>
      <c r="J844" s="80"/>
      <c r="K844" s="80"/>
      <c r="L844" s="80"/>
      <c r="M844" s="84"/>
    </row>
    <row r="845" spans="1:13" ht="15.75" x14ac:dyDescent="0.25">
      <c r="A845" s="77"/>
      <c r="B845" s="78"/>
      <c r="C845" s="80"/>
      <c r="D845" s="80"/>
      <c r="E845" s="80"/>
      <c r="F845" s="80"/>
      <c r="G845" s="80"/>
      <c r="H845" s="80"/>
      <c r="I845" s="80"/>
      <c r="J845" s="80"/>
      <c r="K845" s="80"/>
      <c r="L845" s="80"/>
      <c r="M845" s="84"/>
    </row>
    <row r="846" spans="1:13" ht="15.75" x14ac:dyDescent="0.25">
      <c r="A846" s="77"/>
      <c r="B846" s="78"/>
      <c r="C846" s="80"/>
      <c r="D846" s="80"/>
      <c r="E846" s="80"/>
      <c r="F846" s="80"/>
      <c r="G846" s="80"/>
      <c r="H846" s="80"/>
      <c r="I846" s="80"/>
      <c r="J846" s="80"/>
      <c r="K846" s="80"/>
      <c r="L846" s="80"/>
      <c r="M846" s="84"/>
    </row>
    <row r="847" spans="1:13" ht="15.75" x14ac:dyDescent="0.25">
      <c r="A847" s="77"/>
      <c r="B847" s="78"/>
      <c r="C847" s="80"/>
      <c r="D847" s="80"/>
      <c r="E847" s="80"/>
      <c r="F847" s="80"/>
      <c r="G847" s="80"/>
      <c r="H847" s="80"/>
      <c r="I847" s="80"/>
      <c r="J847" s="80"/>
      <c r="K847" s="80"/>
      <c r="L847" s="80"/>
      <c r="M847" s="84"/>
    </row>
    <row r="848" spans="1:13" ht="15.75" x14ac:dyDescent="0.25">
      <c r="A848" s="77"/>
      <c r="B848" s="78"/>
      <c r="C848" s="80"/>
      <c r="D848" s="80"/>
      <c r="E848" s="80"/>
      <c r="F848" s="80"/>
      <c r="G848" s="80"/>
      <c r="H848" s="80"/>
      <c r="I848" s="80"/>
      <c r="J848" s="80"/>
      <c r="K848" s="80"/>
      <c r="L848" s="80"/>
      <c r="M848" s="84"/>
    </row>
    <row r="849" spans="1:13" ht="15.75" x14ac:dyDescent="0.25">
      <c r="A849" s="77"/>
      <c r="B849" s="78"/>
      <c r="C849" s="80"/>
      <c r="D849" s="80"/>
      <c r="E849" s="80"/>
      <c r="F849" s="80"/>
      <c r="G849" s="80"/>
      <c r="H849" s="80"/>
      <c r="I849" s="80"/>
      <c r="J849" s="80"/>
      <c r="K849" s="80"/>
      <c r="L849" s="80"/>
      <c r="M849" s="84"/>
    </row>
    <row r="850" spans="1:13" ht="15.75" x14ac:dyDescent="0.25">
      <c r="A850" s="77"/>
      <c r="B850" s="78"/>
      <c r="C850" s="80"/>
      <c r="D850" s="80"/>
      <c r="E850" s="80"/>
      <c r="F850" s="80"/>
      <c r="G850" s="80"/>
      <c r="H850" s="80"/>
      <c r="I850" s="80"/>
      <c r="J850" s="80"/>
      <c r="K850" s="80"/>
      <c r="L850" s="80"/>
      <c r="M850" s="84"/>
    </row>
    <row r="851" spans="1:13" ht="15.75" x14ac:dyDescent="0.25">
      <c r="A851" s="77"/>
      <c r="B851" s="78"/>
      <c r="C851" s="80"/>
      <c r="D851" s="80"/>
      <c r="E851" s="80"/>
      <c r="F851" s="80"/>
      <c r="G851" s="80"/>
      <c r="H851" s="80"/>
      <c r="I851" s="80"/>
      <c r="J851" s="80"/>
      <c r="K851" s="80"/>
      <c r="L851" s="80"/>
      <c r="M851" s="84"/>
    </row>
    <row r="852" spans="1:13" ht="15.75" x14ac:dyDescent="0.25">
      <c r="A852" s="77"/>
      <c r="B852" s="78"/>
      <c r="C852" s="80"/>
      <c r="D852" s="80"/>
      <c r="E852" s="80"/>
      <c r="F852" s="80"/>
      <c r="G852" s="80"/>
      <c r="H852" s="80"/>
      <c r="I852" s="80"/>
      <c r="J852" s="80"/>
      <c r="K852" s="80"/>
      <c r="L852" s="80"/>
      <c r="M852" s="84"/>
    </row>
    <row r="853" spans="1:13" ht="15.75" x14ac:dyDescent="0.25">
      <c r="A853" s="77"/>
      <c r="B853" s="78"/>
      <c r="C853" s="80"/>
      <c r="D853" s="80"/>
      <c r="E853" s="80"/>
      <c r="F853" s="80"/>
      <c r="G853" s="80"/>
      <c r="H853" s="80"/>
      <c r="I853" s="80"/>
      <c r="J853" s="80"/>
      <c r="K853" s="80"/>
      <c r="L853" s="80"/>
      <c r="M853" s="84"/>
    </row>
    <row r="854" spans="1:13" ht="15.75" x14ac:dyDescent="0.25">
      <c r="A854" s="77"/>
      <c r="B854" s="78"/>
      <c r="C854" s="80"/>
      <c r="D854" s="80"/>
      <c r="E854" s="80"/>
      <c r="F854" s="80"/>
      <c r="G854" s="80"/>
      <c r="H854" s="80"/>
      <c r="I854" s="80"/>
      <c r="J854" s="80"/>
      <c r="K854" s="80"/>
      <c r="L854" s="80"/>
      <c r="M854" s="84"/>
    </row>
    <row r="855" spans="1:13" ht="15.75" x14ac:dyDescent="0.25">
      <c r="A855" s="77"/>
      <c r="B855" s="78"/>
      <c r="C855" s="80"/>
      <c r="D855" s="80"/>
      <c r="E855" s="80"/>
      <c r="F855" s="80"/>
      <c r="G855" s="80"/>
      <c r="H855" s="80"/>
      <c r="I855" s="80"/>
      <c r="J855" s="80"/>
      <c r="K855" s="80"/>
      <c r="L855" s="80"/>
      <c r="M855" s="84"/>
    </row>
    <row r="856" spans="1:13" ht="15.75" x14ac:dyDescent="0.25">
      <c r="A856" s="77"/>
      <c r="B856" s="78"/>
      <c r="C856" s="80"/>
      <c r="D856" s="80"/>
      <c r="E856" s="80"/>
      <c r="F856" s="80"/>
      <c r="G856" s="80"/>
      <c r="H856" s="80"/>
      <c r="I856" s="80"/>
      <c r="J856" s="80"/>
      <c r="K856" s="80"/>
      <c r="L856" s="80"/>
      <c r="M856" s="84"/>
    </row>
    <row r="857" spans="1:13" ht="15.75" x14ac:dyDescent="0.25">
      <c r="A857" s="77"/>
      <c r="B857" s="78"/>
      <c r="C857" s="80"/>
      <c r="D857" s="80"/>
      <c r="E857" s="80"/>
      <c r="F857" s="80"/>
      <c r="G857" s="80"/>
      <c r="H857" s="80"/>
      <c r="I857" s="80"/>
      <c r="J857" s="80"/>
      <c r="K857" s="80"/>
      <c r="L857" s="80"/>
      <c r="M857" s="84"/>
    </row>
    <row r="858" spans="1:13" ht="15.75" x14ac:dyDescent="0.25">
      <c r="A858" s="77"/>
      <c r="B858" s="78"/>
      <c r="C858" s="80"/>
      <c r="D858" s="80"/>
      <c r="E858" s="80"/>
      <c r="F858" s="80"/>
      <c r="G858" s="80"/>
      <c r="H858" s="80"/>
      <c r="I858" s="80"/>
      <c r="J858" s="80"/>
      <c r="K858" s="80"/>
      <c r="L858" s="80"/>
      <c r="M858" s="84"/>
    </row>
    <row r="859" spans="1:13" ht="15.75" x14ac:dyDescent="0.25">
      <c r="A859" s="77"/>
      <c r="B859" s="78"/>
      <c r="C859" s="80"/>
      <c r="D859" s="80"/>
      <c r="E859" s="80"/>
      <c r="F859" s="80"/>
      <c r="G859" s="80"/>
      <c r="H859" s="80"/>
      <c r="I859" s="80"/>
      <c r="J859" s="80"/>
      <c r="K859" s="80"/>
      <c r="L859" s="80"/>
      <c r="M859" s="84"/>
    </row>
    <row r="860" spans="1:13" ht="15.75" x14ac:dyDescent="0.25">
      <c r="A860" s="77"/>
      <c r="B860" s="78"/>
      <c r="C860" s="80"/>
      <c r="D860" s="80"/>
      <c r="E860" s="80"/>
      <c r="F860" s="80"/>
      <c r="G860" s="80"/>
      <c r="H860" s="80"/>
      <c r="I860" s="80"/>
      <c r="J860" s="80"/>
      <c r="K860" s="80"/>
      <c r="L860" s="80"/>
      <c r="M860" s="84"/>
    </row>
    <row r="861" spans="1:13" ht="15.75" x14ac:dyDescent="0.25">
      <c r="A861" s="77"/>
      <c r="B861" s="78"/>
      <c r="C861" s="80"/>
      <c r="D861" s="80"/>
      <c r="E861" s="80"/>
      <c r="F861" s="80"/>
      <c r="G861" s="80"/>
      <c r="H861" s="80"/>
      <c r="I861" s="80"/>
      <c r="J861" s="80"/>
      <c r="K861" s="80"/>
      <c r="L861" s="80"/>
      <c r="M861" s="84"/>
    </row>
    <row r="862" spans="1:13" ht="15.75" x14ac:dyDescent="0.25">
      <c r="A862" s="77"/>
      <c r="B862" s="78"/>
      <c r="C862" s="80"/>
      <c r="D862" s="80"/>
      <c r="E862" s="80"/>
      <c r="F862" s="80"/>
      <c r="G862" s="80"/>
      <c r="H862" s="80"/>
      <c r="I862" s="80"/>
      <c r="J862" s="80"/>
      <c r="K862" s="80"/>
      <c r="L862" s="80"/>
      <c r="M862" s="84"/>
    </row>
    <row r="863" spans="1:13" ht="15.75" x14ac:dyDescent="0.25">
      <c r="A863" s="77"/>
      <c r="B863" s="78"/>
      <c r="C863" s="80"/>
      <c r="D863" s="80"/>
      <c r="E863" s="80"/>
      <c r="F863" s="80"/>
      <c r="G863" s="80"/>
      <c r="H863" s="80"/>
      <c r="I863" s="80"/>
      <c r="J863" s="80"/>
      <c r="K863" s="80"/>
      <c r="L863" s="80"/>
      <c r="M863" s="84"/>
    </row>
    <row r="864" spans="1:13" ht="15.75" x14ac:dyDescent="0.25">
      <c r="A864" s="77"/>
      <c r="B864" s="78"/>
      <c r="C864" s="80"/>
      <c r="D864" s="80"/>
      <c r="E864" s="80"/>
      <c r="F864" s="80"/>
      <c r="G864" s="80"/>
      <c r="H864" s="80"/>
      <c r="I864" s="80"/>
      <c r="J864" s="80"/>
      <c r="K864" s="80"/>
      <c r="L864" s="80"/>
      <c r="M864" s="84"/>
    </row>
    <row r="865" spans="1:13" ht="15.75" x14ac:dyDescent="0.25">
      <c r="A865" s="77"/>
      <c r="B865" s="78"/>
      <c r="C865" s="80"/>
      <c r="D865" s="80"/>
      <c r="E865" s="80"/>
      <c r="F865" s="80"/>
      <c r="G865" s="80"/>
      <c r="H865" s="80"/>
      <c r="I865" s="80"/>
      <c r="J865" s="80"/>
      <c r="K865" s="80"/>
      <c r="L865" s="80"/>
      <c r="M865" s="84"/>
    </row>
    <row r="866" spans="1:13" ht="15.75" x14ac:dyDescent="0.25">
      <c r="A866" s="77"/>
      <c r="B866" s="78"/>
      <c r="C866" s="80"/>
      <c r="D866" s="80"/>
      <c r="E866" s="80"/>
      <c r="F866" s="80"/>
      <c r="G866" s="80"/>
      <c r="H866" s="80"/>
      <c r="I866" s="80"/>
      <c r="J866" s="80"/>
      <c r="K866" s="80"/>
      <c r="L866" s="80"/>
      <c r="M866" s="84"/>
    </row>
    <row r="867" spans="1:13" ht="15.75" x14ac:dyDescent="0.25">
      <c r="A867" s="77"/>
      <c r="B867" s="78"/>
      <c r="C867" s="80"/>
      <c r="D867" s="80"/>
      <c r="E867" s="80"/>
      <c r="F867" s="80"/>
      <c r="G867" s="80"/>
      <c r="H867" s="80"/>
      <c r="I867" s="80"/>
      <c r="J867" s="80"/>
      <c r="K867" s="80"/>
      <c r="L867" s="80"/>
      <c r="M867" s="84"/>
    </row>
    <row r="868" spans="1:13" ht="15.75" x14ac:dyDescent="0.25">
      <c r="A868" s="77"/>
      <c r="B868" s="78"/>
      <c r="C868" s="80"/>
      <c r="D868" s="80"/>
      <c r="E868" s="80"/>
      <c r="F868" s="80"/>
      <c r="G868" s="80"/>
      <c r="H868" s="80"/>
      <c r="I868" s="80"/>
      <c r="J868" s="80"/>
      <c r="K868" s="80"/>
      <c r="L868" s="80"/>
      <c r="M868" s="84"/>
    </row>
    <row r="869" spans="1:13" ht="15.75" x14ac:dyDescent="0.25">
      <c r="A869" s="77"/>
      <c r="B869" s="78"/>
      <c r="C869" s="80"/>
      <c r="D869" s="80"/>
      <c r="E869" s="80"/>
      <c r="F869" s="80"/>
      <c r="G869" s="80"/>
      <c r="H869" s="80"/>
      <c r="I869" s="80"/>
      <c r="J869" s="80"/>
      <c r="K869" s="80"/>
      <c r="L869" s="80"/>
      <c r="M869" s="84"/>
    </row>
    <row r="870" spans="1:13" ht="15.75" x14ac:dyDescent="0.25">
      <c r="A870" s="77"/>
      <c r="B870" s="78"/>
      <c r="C870" s="80"/>
      <c r="D870" s="80"/>
      <c r="E870" s="80"/>
      <c r="F870" s="80"/>
      <c r="G870" s="80"/>
      <c r="H870" s="80"/>
      <c r="I870" s="80"/>
      <c r="J870" s="80"/>
      <c r="K870" s="80"/>
      <c r="L870" s="80"/>
      <c r="M870" s="84"/>
    </row>
    <row r="871" spans="1:13" ht="15.75" x14ac:dyDescent="0.25">
      <c r="A871" s="77"/>
      <c r="B871" s="78"/>
      <c r="C871" s="80"/>
      <c r="D871" s="80"/>
      <c r="E871" s="80"/>
      <c r="F871" s="80"/>
      <c r="G871" s="80"/>
      <c r="H871" s="80"/>
      <c r="I871" s="80"/>
      <c r="J871" s="80"/>
      <c r="K871" s="80"/>
      <c r="L871" s="80"/>
      <c r="M871" s="84"/>
    </row>
    <row r="872" spans="1:13" ht="15.75" x14ac:dyDescent="0.25">
      <c r="A872" s="77"/>
      <c r="B872" s="78"/>
      <c r="C872" s="80"/>
      <c r="D872" s="80"/>
      <c r="E872" s="80"/>
      <c r="F872" s="80"/>
      <c r="G872" s="80"/>
      <c r="H872" s="80"/>
      <c r="I872" s="80"/>
      <c r="J872" s="80"/>
      <c r="K872" s="80"/>
      <c r="L872" s="80"/>
      <c r="M872" s="84"/>
    </row>
    <row r="873" spans="1:13" ht="15.75" x14ac:dyDescent="0.25">
      <c r="A873" s="77"/>
      <c r="B873" s="78"/>
      <c r="C873" s="80"/>
      <c r="D873" s="80"/>
      <c r="E873" s="80"/>
      <c r="F873" s="80"/>
      <c r="G873" s="80"/>
      <c r="H873" s="80"/>
      <c r="I873" s="80"/>
      <c r="J873" s="80"/>
      <c r="K873" s="80"/>
      <c r="L873" s="80"/>
      <c r="M873" s="84"/>
    </row>
    <row r="874" spans="1:13" ht="15.75" x14ac:dyDescent="0.25">
      <c r="A874" s="77"/>
      <c r="B874" s="78"/>
      <c r="C874" s="80"/>
      <c r="D874" s="80"/>
      <c r="E874" s="80"/>
      <c r="F874" s="80"/>
      <c r="G874" s="80"/>
      <c r="H874" s="80"/>
      <c r="I874" s="80"/>
      <c r="J874" s="80"/>
      <c r="K874" s="80"/>
      <c r="L874" s="80"/>
      <c r="M874" s="84"/>
    </row>
    <row r="875" spans="1:13" ht="15.75" x14ac:dyDescent="0.25">
      <c r="A875" s="77"/>
      <c r="B875" s="78"/>
      <c r="C875" s="80"/>
      <c r="D875" s="80"/>
      <c r="E875" s="80"/>
      <c r="F875" s="80"/>
      <c r="G875" s="80"/>
      <c r="H875" s="80"/>
      <c r="I875" s="80"/>
      <c r="J875" s="80"/>
      <c r="K875" s="80"/>
      <c r="L875" s="80"/>
      <c r="M875" s="84"/>
    </row>
    <row r="876" spans="1:13" ht="15.75" x14ac:dyDescent="0.25">
      <c r="A876" s="77"/>
      <c r="B876" s="78"/>
      <c r="C876" s="80"/>
      <c r="D876" s="80"/>
      <c r="E876" s="80"/>
      <c r="F876" s="80"/>
      <c r="G876" s="80"/>
      <c r="H876" s="80"/>
      <c r="I876" s="80"/>
      <c r="J876" s="80"/>
      <c r="K876" s="80"/>
      <c r="L876" s="80"/>
      <c r="M876" s="84"/>
    </row>
    <row r="877" spans="1:13" ht="15.75" x14ac:dyDescent="0.25">
      <c r="A877" s="77"/>
      <c r="B877" s="78"/>
      <c r="C877" s="80"/>
      <c r="D877" s="80"/>
      <c r="E877" s="80"/>
      <c r="F877" s="80"/>
      <c r="G877" s="80"/>
      <c r="H877" s="80"/>
      <c r="I877" s="80"/>
      <c r="J877" s="80"/>
      <c r="K877" s="80"/>
      <c r="L877" s="80"/>
      <c r="M877" s="84"/>
    </row>
    <row r="878" spans="1:13" ht="15.75" x14ac:dyDescent="0.25">
      <c r="A878" s="77"/>
      <c r="B878" s="78"/>
      <c r="C878" s="80"/>
      <c r="D878" s="80"/>
      <c r="E878" s="80"/>
      <c r="F878" s="80"/>
      <c r="G878" s="80"/>
      <c r="H878" s="80"/>
      <c r="I878" s="80"/>
      <c r="J878" s="80"/>
      <c r="K878" s="80"/>
      <c r="L878" s="80"/>
      <c r="M878" s="84"/>
    </row>
    <row r="879" spans="1:13" ht="15.75" x14ac:dyDescent="0.25">
      <c r="A879" s="77"/>
      <c r="B879" s="78"/>
      <c r="C879" s="80"/>
      <c r="D879" s="80"/>
      <c r="E879" s="80"/>
      <c r="F879" s="80"/>
      <c r="G879" s="80"/>
      <c r="H879" s="80"/>
      <c r="I879" s="80"/>
      <c r="J879" s="80"/>
      <c r="K879" s="80"/>
      <c r="L879" s="80"/>
      <c r="M879" s="84"/>
    </row>
    <row r="880" spans="1:13" ht="15.75" x14ac:dyDescent="0.25">
      <c r="A880" s="77"/>
      <c r="B880" s="78"/>
      <c r="C880" s="80"/>
      <c r="D880" s="80"/>
      <c r="E880" s="80"/>
      <c r="F880" s="80"/>
      <c r="G880" s="80"/>
      <c r="H880" s="80"/>
      <c r="I880" s="80"/>
      <c r="J880" s="80"/>
      <c r="K880" s="80"/>
      <c r="L880" s="80"/>
      <c r="M880" s="84"/>
    </row>
    <row r="881" spans="1:13" ht="15.75" x14ac:dyDescent="0.25">
      <c r="A881" s="77"/>
      <c r="B881" s="78"/>
      <c r="C881" s="80"/>
      <c r="D881" s="80"/>
      <c r="E881" s="80"/>
      <c r="F881" s="80"/>
      <c r="G881" s="80"/>
      <c r="H881" s="80"/>
      <c r="I881" s="80"/>
      <c r="J881" s="80"/>
      <c r="K881" s="80"/>
      <c r="L881" s="80"/>
      <c r="M881" s="84"/>
    </row>
    <row r="882" spans="1:13" ht="15.75" x14ac:dyDescent="0.25">
      <c r="A882" s="77"/>
      <c r="B882" s="78"/>
      <c r="C882" s="80"/>
      <c r="D882" s="80"/>
      <c r="E882" s="80"/>
      <c r="F882" s="80"/>
      <c r="G882" s="80"/>
      <c r="H882" s="80"/>
      <c r="I882" s="80"/>
      <c r="J882" s="80"/>
      <c r="K882" s="80"/>
      <c r="L882" s="80"/>
      <c r="M882" s="84"/>
    </row>
    <row r="883" spans="1:13" ht="15.75" x14ac:dyDescent="0.25">
      <c r="A883" s="77"/>
      <c r="B883" s="78"/>
      <c r="C883" s="80"/>
      <c r="D883" s="80"/>
      <c r="E883" s="80"/>
      <c r="F883" s="80"/>
      <c r="G883" s="80"/>
      <c r="H883" s="80"/>
      <c r="I883" s="80"/>
      <c r="J883" s="80"/>
      <c r="K883" s="80"/>
      <c r="L883" s="80"/>
      <c r="M883" s="84"/>
    </row>
    <row r="884" spans="1:13" ht="15.75" x14ac:dyDescent="0.25">
      <c r="A884" s="77"/>
      <c r="B884" s="78"/>
      <c r="C884" s="80"/>
      <c r="D884" s="80"/>
      <c r="E884" s="80"/>
      <c r="F884" s="80"/>
      <c r="G884" s="80"/>
      <c r="H884" s="80"/>
      <c r="I884" s="80"/>
      <c r="J884" s="80"/>
      <c r="K884" s="80"/>
      <c r="L884" s="80"/>
      <c r="M884" s="84"/>
    </row>
    <row r="885" spans="1:13" ht="15.75" x14ac:dyDescent="0.25">
      <c r="A885" s="77"/>
      <c r="B885" s="78"/>
      <c r="C885" s="80"/>
      <c r="D885" s="80"/>
      <c r="E885" s="80"/>
      <c r="F885" s="80"/>
      <c r="G885" s="80"/>
      <c r="H885" s="80"/>
      <c r="I885" s="80"/>
      <c r="J885" s="80"/>
      <c r="K885" s="80"/>
      <c r="L885" s="80"/>
      <c r="M885" s="84"/>
    </row>
    <row r="886" spans="1:13" ht="15.75" x14ac:dyDescent="0.25">
      <c r="A886" s="77"/>
      <c r="B886" s="78"/>
      <c r="C886" s="80"/>
      <c r="D886" s="80"/>
      <c r="E886" s="80"/>
      <c r="F886" s="80"/>
      <c r="G886" s="80"/>
      <c r="H886" s="80"/>
      <c r="I886" s="80"/>
      <c r="J886" s="80"/>
      <c r="K886" s="80"/>
      <c r="L886" s="80"/>
      <c r="M886" s="84"/>
    </row>
    <row r="887" spans="1:13" ht="15.75" x14ac:dyDescent="0.25">
      <c r="A887" s="77"/>
      <c r="B887" s="78"/>
      <c r="C887" s="80"/>
      <c r="D887" s="80"/>
      <c r="E887" s="80"/>
      <c r="F887" s="80"/>
      <c r="G887" s="80"/>
      <c r="H887" s="80"/>
      <c r="I887" s="80"/>
      <c r="J887" s="80"/>
      <c r="K887" s="80"/>
      <c r="L887" s="80"/>
      <c r="M887" s="84"/>
    </row>
    <row r="888" spans="1:13" ht="15.75" x14ac:dyDescent="0.25">
      <c r="A888" s="77"/>
      <c r="B888" s="78"/>
      <c r="C888" s="80"/>
      <c r="D888" s="80"/>
      <c r="E888" s="80"/>
      <c r="F888" s="80"/>
      <c r="G888" s="80"/>
      <c r="H888" s="80"/>
      <c r="I888" s="80"/>
      <c r="J888" s="80"/>
      <c r="K888" s="80"/>
      <c r="L888" s="80"/>
      <c r="M888" s="84"/>
    </row>
    <row r="889" spans="1:13" ht="15.75" x14ac:dyDescent="0.25">
      <c r="A889" s="77"/>
      <c r="B889" s="78"/>
      <c r="C889" s="80"/>
      <c r="D889" s="80"/>
      <c r="E889" s="80"/>
      <c r="F889" s="80"/>
      <c r="G889" s="80"/>
      <c r="H889" s="80"/>
      <c r="I889" s="80"/>
      <c r="J889" s="80"/>
      <c r="K889" s="80"/>
      <c r="L889" s="80"/>
      <c r="M889" s="84"/>
    </row>
    <row r="890" spans="1:13" ht="15.75" x14ac:dyDescent="0.25">
      <c r="A890" s="77"/>
      <c r="B890" s="78"/>
      <c r="C890" s="80"/>
      <c r="D890" s="80"/>
      <c r="E890" s="80"/>
      <c r="F890" s="80"/>
      <c r="G890" s="80"/>
      <c r="H890" s="80"/>
      <c r="I890" s="80"/>
      <c r="J890" s="80"/>
      <c r="K890" s="80"/>
      <c r="L890" s="80"/>
      <c r="M890" s="84"/>
    </row>
    <row r="891" spans="1:13" ht="15.75" x14ac:dyDescent="0.25">
      <c r="A891" s="77"/>
      <c r="B891" s="78"/>
      <c r="C891" s="80"/>
      <c r="D891" s="80"/>
      <c r="E891" s="80"/>
      <c r="F891" s="80"/>
      <c r="G891" s="80"/>
      <c r="H891" s="80"/>
      <c r="I891" s="80"/>
      <c r="J891" s="80"/>
      <c r="K891" s="80"/>
      <c r="L891" s="80"/>
      <c r="M891" s="84"/>
    </row>
    <row r="892" spans="1:13" ht="15.75" x14ac:dyDescent="0.25">
      <c r="A892" s="77"/>
      <c r="B892" s="78"/>
      <c r="C892" s="80"/>
      <c r="D892" s="80"/>
      <c r="E892" s="80"/>
      <c r="F892" s="80"/>
      <c r="G892" s="80"/>
      <c r="H892" s="80"/>
      <c r="I892" s="80"/>
      <c r="J892" s="80"/>
      <c r="K892" s="80"/>
      <c r="L892" s="80"/>
      <c r="M892" s="84"/>
    </row>
    <row r="893" spans="1:13" ht="15.75" x14ac:dyDescent="0.25">
      <c r="A893" s="77"/>
      <c r="B893" s="78"/>
      <c r="C893" s="80"/>
      <c r="D893" s="80"/>
      <c r="E893" s="80"/>
      <c r="F893" s="80"/>
      <c r="G893" s="80"/>
      <c r="H893" s="80"/>
      <c r="I893" s="80"/>
      <c r="J893" s="80"/>
      <c r="K893" s="80"/>
      <c r="L893" s="80"/>
      <c r="M893" s="84"/>
    </row>
    <row r="894" spans="1:13" ht="15.75" x14ac:dyDescent="0.25">
      <c r="A894" s="77"/>
      <c r="B894" s="78"/>
      <c r="C894" s="80"/>
      <c r="D894" s="80"/>
      <c r="E894" s="80"/>
      <c r="F894" s="80"/>
      <c r="G894" s="80"/>
      <c r="H894" s="80"/>
      <c r="I894" s="80"/>
      <c r="J894" s="80"/>
      <c r="K894" s="80"/>
      <c r="L894" s="80"/>
      <c r="M894" s="84"/>
    </row>
    <row r="895" spans="1:13" ht="15.75" x14ac:dyDescent="0.25">
      <c r="A895" s="77"/>
      <c r="B895" s="78"/>
      <c r="C895" s="80"/>
      <c r="D895" s="80"/>
      <c r="E895" s="80"/>
      <c r="F895" s="80"/>
      <c r="G895" s="80"/>
      <c r="H895" s="80"/>
      <c r="I895" s="80"/>
      <c r="J895" s="80"/>
      <c r="K895" s="80"/>
      <c r="L895" s="80"/>
      <c r="M895" s="84"/>
    </row>
    <row r="896" spans="1:13" ht="15.75" x14ac:dyDescent="0.25">
      <c r="A896" s="77"/>
      <c r="B896" s="78"/>
      <c r="C896" s="80"/>
      <c r="D896" s="80"/>
      <c r="E896" s="80"/>
      <c r="F896" s="80"/>
      <c r="G896" s="80"/>
      <c r="H896" s="80"/>
      <c r="I896" s="80"/>
      <c r="J896" s="80"/>
      <c r="K896" s="80"/>
      <c r="L896" s="80"/>
      <c r="M896" s="84"/>
    </row>
    <row r="897" spans="1:13" ht="15.75" x14ac:dyDescent="0.25">
      <c r="A897" s="77"/>
      <c r="B897" s="78"/>
      <c r="C897" s="80"/>
      <c r="D897" s="80"/>
      <c r="E897" s="80"/>
      <c r="F897" s="80"/>
      <c r="G897" s="80"/>
      <c r="H897" s="80"/>
      <c r="I897" s="80"/>
      <c r="J897" s="80"/>
      <c r="K897" s="80"/>
      <c r="L897" s="80"/>
      <c r="M897" s="84"/>
    </row>
    <row r="898" spans="1:13" ht="15.75" x14ac:dyDescent="0.25">
      <c r="A898" s="77"/>
      <c r="B898" s="78"/>
      <c r="C898" s="80"/>
      <c r="D898" s="80"/>
      <c r="E898" s="80"/>
      <c r="F898" s="80"/>
      <c r="G898" s="80"/>
      <c r="H898" s="80"/>
      <c r="I898" s="80"/>
      <c r="J898" s="80"/>
      <c r="K898" s="80"/>
      <c r="L898" s="80"/>
      <c r="M898" s="84"/>
    </row>
    <row r="899" spans="1:13" ht="15.75" x14ac:dyDescent="0.25">
      <c r="A899" s="77"/>
      <c r="B899" s="78"/>
      <c r="C899" s="80"/>
      <c r="D899" s="80"/>
      <c r="E899" s="80"/>
      <c r="F899" s="80"/>
      <c r="G899" s="80"/>
      <c r="H899" s="80"/>
      <c r="I899" s="80"/>
      <c r="J899" s="80"/>
      <c r="K899" s="80"/>
      <c r="L899" s="80"/>
      <c r="M899" s="84"/>
    </row>
    <row r="900" spans="1:13" ht="15.75" x14ac:dyDescent="0.25">
      <c r="A900" s="77"/>
      <c r="B900" s="78"/>
      <c r="C900" s="80"/>
      <c r="D900" s="80"/>
      <c r="E900" s="80"/>
      <c r="F900" s="80"/>
      <c r="G900" s="80"/>
      <c r="H900" s="80"/>
      <c r="I900" s="80"/>
      <c r="J900" s="80"/>
      <c r="K900" s="80"/>
      <c r="L900" s="80"/>
      <c r="M900" s="84"/>
    </row>
    <row r="901" spans="1:13" ht="15.75" x14ac:dyDescent="0.25">
      <c r="A901" s="77"/>
      <c r="B901" s="78"/>
      <c r="C901" s="80"/>
      <c r="D901" s="80"/>
      <c r="E901" s="80"/>
      <c r="F901" s="80"/>
      <c r="G901" s="80"/>
      <c r="H901" s="80"/>
      <c r="I901" s="80"/>
      <c r="J901" s="80"/>
      <c r="K901" s="80"/>
      <c r="L901" s="80"/>
      <c r="M901" s="84"/>
    </row>
    <row r="902" spans="1:13" ht="15.75" x14ac:dyDescent="0.25">
      <c r="A902" s="77"/>
      <c r="B902" s="78"/>
      <c r="C902" s="80"/>
      <c r="D902" s="80"/>
      <c r="E902" s="80"/>
      <c r="F902" s="80"/>
      <c r="G902" s="80"/>
      <c r="H902" s="80"/>
      <c r="I902" s="80"/>
      <c r="J902" s="80"/>
      <c r="K902" s="80"/>
      <c r="L902" s="80"/>
      <c r="M902" s="84"/>
    </row>
    <row r="903" spans="1:13" ht="15.75" x14ac:dyDescent="0.25">
      <c r="A903" s="77"/>
      <c r="B903" s="78"/>
      <c r="C903" s="80"/>
      <c r="D903" s="80"/>
      <c r="E903" s="80"/>
      <c r="F903" s="80"/>
      <c r="G903" s="80"/>
      <c r="H903" s="80"/>
      <c r="I903" s="80"/>
      <c r="J903" s="80"/>
      <c r="K903" s="80"/>
      <c r="L903" s="80"/>
      <c r="M903" s="84"/>
    </row>
    <row r="904" spans="1:13" ht="15.75" x14ac:dyDescent="0.25">
      <c r="A904" s="77"/>
      <c r="B904" s="78"/>
      <c r="C904" s="80"/>
      <c r="D904" s="80"/>
      <c r="E904" s="80"/>
      <c r="F904" s="80"/>
      <c r="G904" s="80"/>
      <c r="H904" s="80"/>
      <c r="I904" s="80"/>
      <c r="J904" s="80"/>
      <c r="K904" s="80"/>
      <c r="L904" s="80"/>
      <c r="M904" s="84"/>
    </row>
    <row r="905" spans="1:13" ht="15.75" x14ac:dyDescent="0.25">
      <c r="A905" s="77"/>
      <c r="B905" s="78"/>
      <c r="C905" s="80"/>
      <c r="D905" s="80"/>
      <c r="E905" s="80"/>
      <c r="F905" s="80"/>
      <c r="G905" s="80"/>
      <c r="H905" s="80"/>
      <c r="I905" s="80"/>
      <c r="J905" s="80"/>
      <c r="K905" s="80"/>
      <c r="L905" s="80"/>
      <c r="M905" s="84"/>
    </row>
    <row r="906" spans="1:13" ht="15.75" x14ac:dyDescent="0.25">
      <c r="A906" s="77"/>
      <c r="B906" s="78"/>
      <c r="C906" s="80"/>
      <c r="D906" s="80"/>
      <c r="E906" s="80"/>
      <c r="F906" s="80"/>
      <c r="G906" s="80"/>
      <c r="H906" s="80"/>
      <c r="I906" s="80"/>
      <c r="J906" s="80"/>
      <c r="K906" s="80"/>
      <c r="L906" s="80"/>
      <c r="M906" s="84"/>
    </row>
    <row r="907" spans="1:13" ht="15.75" x14ac:dyDescent="0.25">
      <c r="A907" s="77"/>
      <c r="B907" s="78"/>
      <c r="C907" s="80"/>
      <c r="D907" s="80"/>
      <c r="E907" s="80"/>
      <c r="F907" s="80"/>
      <c r="G907" s="80"/>
      <c r="H907" s="80"/>
      <c r="I907" s="80"/>
      <c r="J907" s="80"/>
      <c r="K907" s="80"/>
      <c r="L907" s="80"/>
      <c r="M907" s="84"/>
    </row>
    <row r="908" spans="1:13" ht="15.75" x14ac:dyDescent="0.25">
      <c r="A908" s="77"/>
      <c r="B908" s="78"/>
      <c r="C908" s="80"/>
      <c r="D908" s="80"/>
      <c r="E908" s="80"/>
      <c r="F908" s="80"/>
      <c r="G908" s="80"/>
      <c r="H908" s="80"/>
      <c r="I908" s="80"/>
      <c r="J908" s="80"/>
      <c r="K908" s="80"/>
      <c r="L908" s="80"/>
      <c r="M908" s="84"/>
    </row>
    <row r="909" spans="1:13" ht="15.75" x14ac:dyDescent="0.25">
      <c r="A909" s="77"/>
      <c r="B909" s="78"/>
      <c r="C909" s="80"/>
      <c r="D909" s="80"/>
      <c r="E909" s="80"/>
      <c r="F909" s="80"/>
      <c r="G909" s="80"/>
      <c r="H909" s="80"/>
      <c r="I909" s="80"/>
      <c r="J909" s="80"/>
      <c r="K909" s="80"/>
      <c r="L909" s="80"/>
      <c r="M909" s="84"/>
    </row>
    <row r="910" spans="1:13" ht="15.75" x14ac:dyDescent="0.25">
      <c r="A910" s="77"/>
      <c r="B910" s="78"/>
      <c r="C910" s="80"/>
      <c r="D910" s="80"/>
      <c r="E910" s="80"/>
      <c r="F910" s="80"/>
      <c r="G910" s="80"/>
      <c r="H910" s="80"/>
      <c r="I910" s="80"/>
      <c r="J910" s="80"/>
      <c r="K910" s="80"/>
      <c r="L910" s="80"/>
      <c r="M910" s="84"/>
    </row>
    <row r="911" spans="1:13" ht="15.75" x14ac:dyDescent="0.25">
      <c r="A911" s="77"/>
      <c r="B911" s="78"/>
      <c r="C911" s="80"/>
      <c r="D911" s="80"/>
      <c r="E911" s="80"/>
      <c r="F911" s="80"/>
      <c r="G911" s="80"/>
      <c r="H911" s="80"/>
      <c r="I911" s="80"/>
      <c r="J911" s="80"/>
      <c r="K911" s="80"/>
      <c r="L911" s="80"/>
      <c r="M911" s="84"/>
    </row>
    <row r="912" spans="1:13" ht="15.75" x14ac:dyDescent="0.25">
      <c r="A912" s="77"/>
      <c r="B912" s="78"/>
      <c r="C912" s="80"/>
      <c r="D912" s="80"/>
      <c r="E912" s="80"/>
      <c r="F912" s="80"/>
      <c r="G912" s="80"/>
      <c r="H912" s="80"/>
      <c r="I912" s="80"/>
      <c r="J912" s="80"/>
      <c r="K912" s="80"/>
      <c r="L912" s="80"/>
      <c r="M912" s="84"/>
    </row>
    <row r="913" spans="1:13" ht="15.75" x14ac:dyDescent="0.25">
      <c r="A913" s="77"/>
      <c r="B913" s="78"/>
      <c r="C913" s="80"/>
      <c r="D913" s="80"/>
      <c r="E913" s="80"/>
      <c r="F913" s="80"/>
      <c r="G913" s="80"/>
      <c r="H913" s="80"/>
      <c r="I913" s="80"/>
      <c r="J913" s="80"/>
      <c r="K913" s="80"/>
      <c r="L913" s="80"/>
      <c r="M913" s="84"/>
    </row>
    <row r="914" spans="1:13" ht="15.75" x14ac:dyDescent="0.25">
      <c r="A914" s="77"/>
      <c r="B914" s="78"/>
      <c r="C914" s="80"/>
      <c r="D914" s="80"/>
      <c r="E914" s="80"/>
      <c r="F914" s="80"/>
      <c r="G914" s="80"/>
      <c r="H914" s="80"/>
      <c r="I914" s="80"/>
      <c r="J914" s="80"/>
      <c r="K914" s="80"/>
      <c r="L914" s="80"/>
      <c r="M914" s="84"/>
    </row>
    <row r="915" spans="1:13" ht="15.75" x14ac:dyDescent="0.25">
      <c r="A915" s="77"/>
      <c r="B915" s="78"/>
      <c r="C915" s="80"/>
      <c r="D915" s="80"/>
      <c r="E915" s="80"/>
      <c r="F915" s="80"/>
      <c r="G915" s="80"/>
      <c r="H915" s="80"/>
      <c r="I915" s="80"/>
      <c r="J915" s="80"/>
      <c r="K915" s="80"/>
      <c r="L915" s="80"/>
      <c r="M915" s="84"/>
    </row>
    <row r="916" spans="1:13" ht="15.75" x14ac:dyDescent="0.25">
      <c r="A916" s="77"/>
      <c r="B916" s="78"/>
      <c r="C916" s="80"/>
      <c r="D916" s="80"/>
      <c r="E916" s="80"/>
      <c r="F916" s="80"/>
      <c r="G916" s="80"/>
      <c r="H916" s="80"/>
      <c r="I916" s="80"/>
      <c r="J916" s="80"/>
      <c r="K916" s="80"/>
      <c r="L916" s="80"/>
      <c r="M916" s="84"/>
    </row>
    <row r="917" spans="1:13" ht="15.75" x14ac:dyDescent="0.25">
      <c r="A917" s="77"/>
      <c r="B917" s="78"/>
      <c r="C917" s="80"/>
      <c r="D917" s="80"/>
      <c r="E917" s="80"/>
      <c r="F917" s="80"/>
      <c r="G917" s="80"/>
      <c r="H917" s="80"/>
      <c r="I917" s="80"/>
      <c r="J917" s="80"/>
      <c r="K917" s="80"/>
      <c r="L917" s="80"/>
      <c r="M917" s="84"/>
    </row>
    <row r="918" spans="1:13" ht="15.75" x14ac:dyDescent="0.25">
      <c r="A918" s="77"/>
      <c r="B918" s="78"/>
      <c r="C918" s="80"/>
      <c r="D918" s="80"/>
      <c r="E918" s="80"/>
      <c r="F918" s="80"/>
      <c r="G918" s="80"/>
      <c r="H918" s="80"/>
      <c r="I918" s="80"/>
      <c r="J918" s="80"/>
      <c r="K918" s="80"/>
      <c r="L918" s="80"/>
      <c r="M918" s="84"/>
    </row>
    <row r="919" spans="1:13" ht="15.75" x14ac:dyDescent="0.25">
      <c r="A919" s="77"/>
      <c r="B919" s="78"/>
      <c r="C919" s="80"/>
      <c r="D919" s="80"/>
      <c r="E919" s="80"/>
      <c r="F919" s="80"/>
      <c r="G919" s="80"/>
      <c r="H919" s="80"/>
      <c r="I919" s="80"/>
      <c r="J919" s="80"/>
      <c r="K919" s="80"/>
      <c r="L919" s="80"/>
      <c r="M919" s="84"/>
    </row>
    <row r="920" spans="1:13" ht="15.75" x14ac:dyDescent="0.25">
      <c r="A920" s="77"/>
      <c r="B920" s="78"/>
      <c r="C920" s="80"/>
      <c r="D920" s="80"/>
      <c r="E920" s="80"/>
      <c r="F920" s="80"/>
      <c r="G920" s="80"/>
      <c r="H920" s="80"/>
      <c r="I920" s="80"/>
      <c r="J920" s="80"/>
      <c r="K920" s="80"/>
      <c r="L920" s="80"/>
      <c r="M920" s="84"/>
    </row>
    <row r="921" spans="1:13" ht="15.75" x14ac:dyDescent="0.25">
      <c r="A921" s="77"/>
      <c r="B921" s="78"/>
      <c r="C921" s="80"/>
      <c r="D921" s="80"/>
      <c r="E921" s="80"/>
      <c r="F921" s="80"/>
      <c r="G921" s="80"/>
      <c r="H921" s="80"/>
      <c r="I921" s="80"/>
      <c r="J921" s="80"/>
      <c r="K921" s="80"/>
      <c r="L921" s="80"/>
      <c r="M921" s="84"/>
    </row>
    <row r="922" spans="1:13" ht="15.75" x14ac:dyDescent="0.25">
      <c r="A922" s="77"/>
      <c r="B922" s="78"/>
      <c r="C922" s="80"/>
      <c r="D922" s="80"/>
      <c r="E922" s="80"/>
      <c r="F922" s="80"/>
      <c r="G922" s="80"/>
      <c r="H922" s="80"/>
      <c r="I922" s="80"/>
      <c r="J922" s="80"/>
      <c r="K922" s="80"/>
      <c r="L922" s="80"/>
      <c r="M922" s="84"/>
    </row>
    <row r="923" spans="1:13" ht="15.75" x14ac:dyDescent="0.25">
      <c r="A923" s="77"/>
      <c r="B923" s="78"/>
      <c r="C923" s="80"/>
      <c r="D923" s="80"/>
      <c r="E923" s="80"/>
      <c r="F923" s="80"/>
      <c r="G923" s="80"/>
      <c r="H923" s="80"/>
      <c r="I923" s="80"/>
      <c r="J923" s="80"/>
      <c r="K923" s="80"/>
      <c r="L923" s="80"/>
      <c r="M923" s="84"/>
    </row>
    <row r="924" spans="1:13" ht="15.75" x14ac:dyDescent="0.25">
      <c r="A924" s="77"/>
      <c r="B924" s="78"/>
      <c r="C924" s="80"/>
      <c r="D924" s="80"/>
      <c r="E924" s="80"/>
      <c r="F924" s="80"/>
      <c r="G924" s="80"/>
      <c r="H924" s="80"/>
      <c r="I924" s="80"/>
      <c r="J924" s="80"/>
      <c r="K924" s="80"/>
      <c r="L924" s="80"/>
      <c r="M924" s="84"/>
    </row>
    <row r="925" spans="1:13" ht="15.75" x14ac:dyDescent="0.25">
      <c r="A925" s="77"/>
      <c r="B925" s="78"/>
      <c r="C925" s="80"/>
      <c r="D925" s="80"/>
      <c r="E925" s="80"/>
      <c r="F925" s="80"/>
      <c r="G925" s="80"/>
      <c r="H925" s="80"/>
      <c r="I925" s="80"/>
      <c r="J925" s="80"/>
      <c r="K925" s="80"/>
      <c r="L925" s="80"/>
      <c r="M925" s="84"/>
    </row>
    <row r="926" spans="1:13" ht="15.75" x14ac:dyDescent="0.25">
      <c r="A926" s="77"/>
      <c r="B926" s="78"/>
      <c r="C926" s="80"/>
      <c r="D926" s="80"/>
      <c r="E926" s="80"/>
      <c r="F926" s="80"/>
      <c r="G926" s="80"/>
      <c r="H926" s="80"/>
      <c r="I926" s="80"/>
      <c r="J926" s="80"/>
      <c r="K926" s="80"/>
      <c r="L926" s="80"/>
      <c r="M926" s="84"/>
    </row>
    <row r="927" spans="1:13" ht="15.75" x14ac:dyDescent="0.25">
      <c r="A927" s="77"/>
      <c r="B927" s="78"/>
      <c r="C927" s="80"/>
      <c r="D927" s="80"/>
      <c r="E927" s="80"/>
      <c r="F927" s="80"/>
      <c r="G927" s="80"/>
      <c r="H927" s="80"/>
      <c r="I927" s="80"/>
      <c r="J927" s="80"/>
      <c r="K927" s="80"/>
      <c r="L927" s="80"/>
      <c r="M927" s="84"/>
    </row>
    <row r="928" spans="1:13" ht="15.75" x14ac:dyDescent="0.25">
      <c r="A928" s="77"/>
      <c r="B928" s="78"/>
      <c r="C928" s="80"/>
      <c r="D928" s="80"/>
      <c r="E928" s="80"/>
      <c r="F928" s="80"/>
      <c r="G928" s="80"/>
      <c r="H928" s="80"/>
      <c r="I928" s="80"/>
      <c r="J928" s="80"/>
      <c r="K928" s="80"/>
      <c r="L928" s="80"/>
      <c r="M928" s="84"/>
    </row>
    <row r="929" spans="1:13" ht="15.75" x14ac:dyDescent="0.25">
      <c r="A929" s="77"/>
      <c r="B929" s="78"/>
      <c r="C929" s="80"/>
      <c r="D929" s="80"/>
      <c r="E929" s="80"/>
      <c r="F929" s="80"/>
      <c r="G929" s="80"/>
      <c r="H929" s="80"/>
      <c r="I929" s="80"/>
      <c r="J929" s="80"/>
      <c r="K929" s="80"/>
      <c r="L929" s="80"/>
      <c r="M929" s="84"/>
    </row>
    <row r="930" spans="1:13" ht="15.75" x14ac:dyDescent="0.25">
      <c r="A930" s="77"/>
      <c r="B930" s="78"/>
      <c r="C930" s="80"/>
      <c r="D930" s="80"/>
      <c r="E930" s="80"/>
      <c r="F930" s="80"/>
      <c r="G930" s="80"/>
      <c r="H930" s="80"/>
      <c r="I930" s="80"/>
      <c r="J930" s="80"/>
      <c r="K930" s="80"/>
      <c r="L930" s="80"/>
      <c r="M930" s="84"/>
    </row>
    <row r="931" spans="1:13" ht="15.75" x14ac:dyDescent="0.25">
      <c r="A931" s="77"/>
      <c r="B931" s="78"/>
      <c r="C931" s="80"/>
      <c r="D931" s="80"/>
      <c r="E931" s="80"/>
      <c r="F931" s="80"/>
      <c r="G931" s="80"/>
      <c r="H931" s="80"/>
      <c r="I931" s="80"/>
      <c r="J931" s="80"/>
      <c r="K931" s="80"/>
      <c r="L931" s="80"/>
      <c r="M931" s="84"/>
    </row>
    <row r="932" spans="1:13" ht="15.75" x14ac:dyDescent="0.25">
      <c r="A932" s="77"/>
      <c r="B932" s="78"/>
      <c r="C932" s="80"/>
      <c r="D932" s="80"/>
      <c r="E932" s="80"/>
      <c r="F932" s="80"/>
      <c r="G932" s="80"/>
      <c r="H932" s="80"/>
      <c r="I932" s="80"/>
      <c r="J932" s="80"/>
      <c r="K932" s="80"/>
      <c r="L932" s="80"/>
      <c r="M932" s="84"/>
    </row>
    <row r="933" spans="1:13" ht="15.75" x14ac:dyDescent="0.25">
      <c r="A933" s="77"/>
      <c r="B933" s="78"/>
      <c r="C933" s="80"/>
      <c r="D933" s="80"/>
      <c r="E933" s="80"/>
      <c r="F933" s="80"/>
      <c r="G933" s="80"/>
      <c r="H933" s="80"/>
      <c r="I933" s="80"/>
      <c r="J933" s="80"/>
      <c r="K933" s="80"/>
      <c r="L933" s="80"/>
      <c r="M933" s="84"/>
    </row>
    <row r="934" spans="1:13" ht="15.75" x14ac:dyDescent="0.25">
      <c r="A934" s="77"/>
      <c r="B934" s="78"/>
      <c r="C934" s="80"/>
      <c r="D934" s="80"/>
      <c r="E934" s="80"/>
      <c r="F934" s="80"/>
      <c r="G934" s="80"/>
      <c r="H934" s="80"/>
      <c r="I934" s="80"/>
      <c r="J934" s="80"/>
      <c r="K934" s="80"/>
      <c r="L934" s="80"/>
      <c r="M934" s="84"/>
    </row>
    <row r="935" spans="1:13" ht="15.75" x14ac:dyDescent="0.25">
      <c r="A935" s="77"/>
      <c r="B935" s="78"/>
      <c r="C935" s="80"/>
      <c r="D935" s="80"/>
      <c r="E935" s="80"/>
      <c r="F935" s="80"/>
      <c r="G935" s="80"/>
      <c r="H935" s="80"/>
      <c r="I935" s="80"/>
      <c r="J935" s="80"/>
      <c r="K935" s="80"/>
      <c r="L935" s="80"/>
      <c r="M935" s="84"/>
    </row>
    <row r="936" spans="1:13" ht="15.75" x14ac:dyDescent="0.25">
      <c r="A936" s="77"/>
      <c r="B936" s="78"/>
      <c r="C936" s="80"/>
      <c r="D936" s="80"/>
      <c r="E936" s="80"/>
      <c r="F936" s="80"/>
      <c r="G936" s="80"/>
      <c r="H936" s="80"/>
      <c r="I936" s="80"/>
      <c r="J936" s="80"/>
      <c r="K936" s="80"/>
      <c r="L936" s="80"/>
      <c r="M936" s="84"/>
    </row>
    <row r="937" spans="1:13" ht="15.75" x14ac:dyDescent="0.25">
      <c r="A937" s="77"/>
      <c r="B937" s="78"/>
      <c r="C937" s="80"/>
      <c r="D937" s="80"/>
      <c r="E937" s="80"/>
      <c r="F937" s="80"/>
      <c r="G937" s="80"/>
      <c r="H937" s="80"/>
      <c r="I937" s="80"/>
      <c r="J937" s="80"/>
      <c r="K937" s="80"/>
      <c r="L937" s="80"/>
      <c r="M937" s="84"/>
    </row>
    <row r="938" spans="1:13" ht="15.75" x14ac:dyDescent="0.25">
      <c r="A938" s="77"/>
      <c r="B938" s="78"/>
      <c r="C938" s="80"/>
      <c r="D938" s="80"/>
      <c r="E938" s="80"/>
      <c r="F938" s="80"/>
      <c r="G938" s="80"/>
      <c r="H938" s="80"/>
      <c r="I938" s="80"/>
      <c r="J938" s="80"/>
      <c r="K938" s="80"/>
      <c r="L938" s="80"/>
      <c r="M938" s="84"/>
    </row>
    <row r="939" spans="1:13" ht="15.75" x14ac:dyDescent="0.25">
      <c r="A939" s="77"/>
      <c r="B939" s="78"/>
      <c r="C939" s="80"/>
      <c r="D939" s="80"/>
      <c r="E939" s="80"/>
      <c r="F939" s="80"/>
      <c r="G939" s="80"/>
      <c r="H939" s="80"/>
      <c r="I939" s="80"/>
      <c r="J939" s="80"/>
      <c r="K939" s="80"/>
      <c r="L939" s="80"/>
      <c r="M939" s="84"/>
    </row>
    <row r="940" spans="1:13" ht="15.75" x14ac:dyDescent="0.25">
      <c r="A940" s="77"/>
      <c r="B940" s="78"/>
      <c r="C940" s="80"/>
      <c r="D940" s="80"/>
      <c r="E940" s="80"/>
      <c r="F940" s="80"/>
      <c r="G940" s="80"/>
      <c r="H940" s="80"/>
      <c r="I940" s="80"/>
      <c r="J940" s="80"/>
      <c r="K940" s="80"/>
      <c r="L940" s="80"/>
      <c r="M940" s="84"/>
    </row>
    <row r="941" spans="1:13" ht="15.75" x14ac:dyDescent="0.25">
      <c r="A941" s="77"/>
      <c r="B941" s="78"/>
      <c r="C941" s="80"/>
      <c r="D941" s="80"/>
      <c r="E941" s="80"/>
      <c r="F941" s="80"/>
      <c r="G941" s="80"/>
      <c r="H941" s="80"/>
      <c r="I941" s="80"/>
      <c r="J941" s="80"/>
      <c r="K941" s="80"/>
      <c r="L941" s="80"/>
      <c r="M941" s="84"/>
    </row>
    <row r="942" spans="1:13" ht="15.75" x14ac:dyDescent="0.25">
      <c r="A942" s="77"/>
      <c r="B942" s="78"/>
      <c r="C942" s="80"/>
      <c r="D942" s="80"/>
      <c r="E942" s="80"/>
      <c r="F942" s="80"/>
      <c r="G942" s="80"/>
      <c r="H942" s="80"/>
      <c r="I942" s="80"/>
      <c r="J942" s="80"/>
      <c r="K942" s="80"/>
      <c r="L942" s="80"/>
      <c r="M942" s="84"/>
    </row>
    <row r="943" spans="1:13" ht="15.75" x14ac:dyDescent="0.25">
      <c r="A943" s="77"/>
      <c r="B943" s="78"/>
      <c r="C943" s="80"/>
      <c r="D943" s="80"/>
      <c r="E943" s="80"/>
      <c r="F943" s="80"/>
      <c r="G943" s="80"/>
      <c r="H943" s="80"/>
      <c r="I943" s="80"/>
      <c r="J943" s="80"/>
      <c r="K943" s="80"/>
      <c r="L943" s="80"/>
      <c r="M943" s="84"/>
    </row>
    <row r="944" spans="1:13" ht="15.75" x14ac:dyDescent="0.25">
      <c r="A944" s="77"/>
      <c r="B944" s="78"/>
      <c r="C944" s="80"/>
      <c r="D944" s="80"/>
      <c r="E944" s="80"/>
      <c r="F944" s="80"/>
      <c r="G944" s="80"/>
      <c r="H944" s="80"/>
      <c r="I944" s="80"/>
      <c r="J944" s="80"/>
      <c r="K944" s="80"/>
      <c r="L944" s="80"/>
      <c r="M944" s="84"/>
    </row>
    <row r="945" spans="1:13" ht="15.75" x14ac:dyDescent="0.25">
      <c r="A945" s="77"/>
      <c r="B945" s="78"/>
      <c r="C945" s="80"/>
      <c r="D945" s="80"/>
      <c r="E945" s="80"/>
      <c r="F945" s="80"/>
      <c r="G945" s="80"/>
      <c r="H945" s="80"/>
      <c r="I945" s="80"/>
      <c r="J945" s="80"/>
      <c r="K945" s="80"/>
      <c r="L945" s="80"/>
      <c r="M945" s="84"/>
    </row>
    <row r="946" spans="1:13" ht="15.75" x14ac:dyDescent="0.25">
      <c r="A946" s="77"/>
      <c r="B946" s="78"/>
      <c r="C946" s="80"/>
      <c r="D946" s="80"/>
      <c r="E946" s="80"/>
      <c r="F946" s="80"/>
      <c r="G946" s="80"/>
      <c r="H946" s="80"/>
      <c r="I946" s="80"/>
      <c r="J946" s="80"/>
      <c r="K946" s="80"/>
      <c r="L946" s="80"/>
      <c r="M946" s="84"/>
    </row>
    <row r="947" spans="1:13" ht="15.75" x14ac:dyDescent="0.25">
      <c r="A947" s="77"/>
      <c r="B947" s="78"/>
      <c r="C947" s="80"/>
      <c r="D947" s="80"/>
      <c r="E947" s="80"/>
      <c r="F947" s="80"/>
      <c r="G947" s="80"/>
      <c r="H947" s="80"/>
      <c r="I947" s="80"/>
      <c r="J947" s="80"/>
      <c r="K947" s="80"/>
      <c r="L947" s="80"/>
      <c r="M947" s="84"/>
    </row>
    <row r="948" spans="1:13" ht="15.75" x14ac:dyDescent="0.25">
      <c r="A948" s="77"/>
      <c r="B948" s="78"/>
      <c r="C948" s="80"/>
      <c r="D948" s="80"/>
      <c r="E948" s="80"/>
      <c r="F948" s="80"/>
      <c r="G948" s="80"/>
      <c r="H948" s="80"/>
      <c r="I948" s="80"/>
      <c r="J948" s="80"/>
      <c r="K948" s="80"/>
      <c r="L948" s="80"/>
      <c r="M948" s="84"/>
    </row>
    <row r="949" spans="1:13" ht="15.75" x14ac:dyDescent="0.25">
      <c r="A949" s="77"/>
      <c r="B949" s="78"/>
      <c r="C949" s="80"/>
      <c r="D949" s="80"/>
      <c r="E949" s="80"/>
      <c r="F949" s="80"/>
      <c r="G949" s="80"/>
      <c r="H949" s="80"/>
      <c r="I949" s="80"/>
      <c r="J949" s="80"/>
      <c r="K949" s="80"/>
      <c r="L949" s="80"/>
      <c r="M949" s="84"/>
    </row>
    <row r="950" spans="1:13" ht="15.75" x14ac:dyDescent="0.25">
      <c r="A950" s="77"/>
      <c r="B950" s="78"/>
      <c r="C950" s="80"/>
      <c r="D950" s="80"/>
      <c r="E950" s="80"/>
      <c r="F950" s="80"/>
      <c r="G950" s="80"/>
      <c r="H950" s="80"/>
      <c r="I950" s="80"/>
      <c r="J950" s="80"/>
      <c r="K950" s="80"/>
      <c r="L950" s="80"/>
      <c r="M950" s="84"/>
    </row>
    <row r="951" spans="1:13" ht="15.75" x14ac:dyDescent="0.25">
      <c r="A951" s="77"/>
      <c r="B951" s="78"/>
      <c r="C951" s="80"/>
      <c r="D951" s="80"/>
      <c r="E951" s="80"/>
      <c r="F951" s="80"/>
      <c r="G951" s="80"/>
      <c r="H951" s="80"/>
      <c r="I951" s="80"/>
      <c r="J951" s="80"/>
      <c r="K951" s="80"/>
      <c r="L951" s="80"/>
      <c r="M951" s="84"/>
    </row>
    <row r="952" spans="1:13" ht="15.75" x14ac:dyDescent="0.25">
      <c r="A952" s="77"/>
      <c r="B952" s="78"/>
      <c r="C952" s="80"/>
      <c r="D952" s="80"/>
      <c r="E952" s="80"/>
      <c r="F952" s="80"/>
      <c r="G952" s="80"/>
      <c r="H952" s="80"/>
      <c r="I952" s="80"/>
      <c r="J952" s="80"/>
      <c r="K952" s="80"/>
      <c r="L952" s="80"/>
      <c r="M952" s="84"/>
    </row>
    <row r="953" spans="1:13" ht="15.75" x14ac:dyDescent="0.25">
      <c r="A953" s="77"/>
      <c r="B953" s="78"/>
      <c r="C953" s="80"/>
      <c r="D953" s="80"/>
      <c r="E953" s="80"/>
      <c r="F953" s="80"/>
      <c r="G953" s="80"/>
      <c r="H953" s="80"/>
      <c r="I953" s="80"/>
      <c r="J953" s="80"/>
      <c r="K953" s="80"/>
      <c r="L953" s="80"/>
      <c r="M953" s="84"/>
    </row>
    <row r="954" spans="1:13" ht="15.75" x14ac:dyDescent="0.25">
      <c r="A954" s="77"/>
      <c r="B954" s="78"/>
      <c r="C954" s="80"/>
      <c r="D954" s="80"/>
      <c r="E954" s="80"/>
      <c r="F954" s="80"/>
      <c r="G954" s="80"/>
      <c r="H954" s="80"/>
      <c r="I954" s="80"/>
      <c r="J954" s="80"/>
      <c r="K954" s="80"/>
      <c r="L954" s="80"/>
      <c r="M954" s="84"/>
    </row>
    <row r="955" spans="1:13" ht="15.75" x14ac:dyDescent="0.25">
      <c r="A955" s="77"/>
      <c r="B955" s="78"/>
      <c r="C955" s="80"/>
      <c r="D955" s="80"/>
      <c r="E955" s="80"/>
      <c r="F955" s="80"/>
      <c r="G955" s="80"/>
      <c r="H955" s="80"/>
      <c r="I955" s="80"/>
      <c r="J955" s="80"/>
      <c r="K955" s="80"/>
      <c r="L955" s="80"/>
      <c r="M955" s="84"/>
    </row>
    <row r="956" spans="1:13" ht="15.75" x14ac:dyDescent="0.25">
      <c r="A956" s="77"/>
      <c r="B956" s="78"/>
      <c r="C956" s="80"/>
      <c r="D956" s="80"/>
      <c r="E956" s="80"/>
      <c r="F956" s="80"/>
      <c r="G956" s="80"/>
      <c r="H956" s="80"/>
      <c r="I956" s="80"/>
      <c r="J956" s="80"/>
      <c r="K956" s="80"/>
      <c r="L956" s="80"/>
      <c r="M956" s="84"/>
    </row>
    <row r="957" spans="1:13" ht="15.75" x14ac:dyDescent="0.25">
      <c r="A957" s="77"/>
      <c r="B957" s="78"/>
      <c r="C957" s="80"/>
      <c r="D957" s="80"/>
      <c r="E957" s="80"/>
      <c r="F957" s="80"/>
      <c r="G957" s="80"/>
      <c r="H957" s="80"/>
      <c r="I957" s="80"/>
      <c r="J957" s="80"/>
      <c r="K957" s="80"/>
      <c r="L957" s="80"/>
      <c r="M957" s="84"/>
    </row>
    <row r="958" spans="1:13" ht="15.75" x14ac:dyDescent="0.25">
      <c r="A958" s="77"/>
      <c r="B958" s="78"/>
      <c r="C958" s="80"/>
      <c r="D958" s="80"/>
      <c r="E958" s="80"/>
      <c r="F958" s="80"/>
      <c r="G958" s="80"/>
      <c r="H958" s="80"/>
      <c r="I958" s="80"/>
      <c r="J958" s="80"/>
      <c r="K958" s="80"/>
      <c r="L958" s="80"/>
      <c r="M958" s="84"/>
    </row>
    <row r="959" spans="1:13" ht="15.75" x14ac:dyDescent="0.25">
      <c r="A959" s="77"/>
      <c r="B959" s="78"/>
      <c r="C959" s="80"/>
      <c r="D959" s="80"/>
      <c r="E959" s="80"/>
      <c r="F959" s="80"/>
      <c r="G959" s="80"/>
      <c r="H959" s="80"/>
      <c r="I959" s="80"/>
      <c r="J959" s="80"/>
      <c r="K959" s="80"/>
      <c r="L959" s="80"/>
      <c r="M959" s="84"/>
    </row>
    <row r="960" spans="1:13" ht="15.75" x14ac:dyDescent="0.25">
      <c r="A960" s="77"/>
      <c r="B960" s="78"/>
      <c r="C960" s="80"/>
      <c r="D960" s="80"/>
      <c r="E960" s="80"/>
      <c r="F960" s="80"/>
      <c r="G960" s="80"/>
      <c r="H960" s="80"/>
      <c r="I960" s="80"/>
      <c r="J960" s="80"/>
      <c r="K960" s="80"/>
      <c r="L960" s="80"/>
      <c r="M960" s="84"/>
    </row>
    <row r="961" spans="1:13" ht="15.75" x14ac:dyDescent="0.25">
      <c r="A961" s="77"/>
      <c r="B961" s="78"/>
      <c r="C961" s="80"/>
      <c r="D961" s="80"/>
      <c r="E961" s="80"/>
      <c r="F961" s="80"/>
      <c r="G961" s="80"/>
      <c r="H961" s="80"/>
      <c r="I961" s="80"/>
      <c r="J961" s="80"/>
      <c r="K961" s="80"/>
      <c r="L961" s="80"/>
      <c r="M961" s="84"/>
    </row>
    <row r="962" spans="1:13" ht="15.75" x14ac:dyDescent="0.25">
      <c r="A962" s="77"/>
      <c r="B962" s="78"/>
      <c r="C962" s="80"/>
      <c r="D962" s="80"/>
      <c r="E962" s="80"/>
      <c r="F962" s="80"/>
      <c r="G962" s="80"/>
      <c r="H962" s="80"/>
      <c r="I962" s="80"/>
      <c r="J962" s="80"/>
      <c r="K962" s="80"/>
      <c r="L962" s="80"/>
      <c r="M962" s="84"/>
    </row>
    <row r="963" spans="1:13" ht="15.75" x14ac:dyDescent="0.25">
      <c r="A963" s="77"/>
      <c r="B963" s="78"/>
      <c r="C963" s="80"/>
      <c r="D963" s="80"/>
      <c r="E963" s="80"/>
      <c r="F963" s="80"/>
      <c r="G963" s="80"/>
      <c r="H963" s="80"/>
      <c r="I963" s="80"/>
      <c r="J963" s="80"/>
      <c r="K963" s="80"/>
      <c r="L963" s="80"/>
      <c r="M963" s="84"/>
    </row>
    <row r="964" spans="1:13" ht="15.75" x14ac:dyDescent="0.25">
      <c r="A964" s="77"/>
      <c r="B964" s="78"/>
      <c r="C964" s="80"/>
      <c r="D964" s="80"/>
      <c r="E964" s="80"/>
      <c r="F964" s="80"/>
      <c r="G964" s="80"/>
      <c r="H964" s="80"/>
      <c r="I964" s="80"/>
      <c r="J964" s="80"/>
      <c r="K964" s="80"/>
      <c r="L964" s="80"/>
      <c r="M964" s="84"/>
    </row>
    <row r="965" spans="1:13" ht="15.75" x14ac:dyDescent="0.25">
      <c r="A965" s="77"/>
      <c r="B965" s="78"/>
      <c r="C965" s="80"/>
      <c r="D965" s="80"/>
      <c r="E965" s="80"/>
      <c r="F965" s="80"/>
      <c r="G965" s="80"/>
      <c r="H965" s="80"/>
      <c r="I965" s="80"/>
      <c r="J965" s="80"/>
      <c r="K965" s="80"/>
      <c r="L965" s="80"/>
      <c r="M965" s="84"/>
    </row>
    <row r="966" spans="1:13" ht="15.75" x14ac:dyDescent="0.25">
      <c r="A966" s="77"/>
      <c r="B966" s="78"/>
      <c r="C966" s="80"/>
      <c r="D966" s="80"/>
      <c r="E966" s="80"/>
      <c r="F966" s="80"/>
      <c r="G966" s="80"/>
      <c r="H966" s="80"/>
      <c r="I966" s="80"/>
      <c r="J966" s="80"/>
      <c r="K966" s="80"/>
      <c r="L966" s="80"/>
      <c r="M966" s="84"/>
    </row>
    <row r="967" spans="1:13" ht="15.75" x14ac:dyDescent="0.25">
      <c r="A967" s="77"/>
      <c r="B967" s="78"/>
      <c r="C967" s="80"/>
      <c r="D967" s="80"/>
      <c r="E967" s="80"/>
      <c r="F967" s="80"/>
      <c r="G967" s="80"/>
      <c r="H967" s="80"/>
      <c r="I967" s="80"/>
      <c r="J967" s="80"/>
      <c r="K967" s="80"/>
      <c r="L967" s="80"/>
      <c r="M967" s="84"/>
    </row>
    <row r="968" spans="1:13" ht="15.75" x14ac:dyDescent="0.25">
      <c r="A968" s="77"/>
      <c r="B968" s="78"/>
      <c r="C968" s="80"/>
      <c r="D968" s="80"/>
      <c r="E968" s="80"/>
      <c r="F968" s="80"/>
      <c r="G968" s="80"/>
      <c r="H968" s="80"/>
      <c r="I968" s="80"/>
      <c r="J968" s="80"/>
      <c r="K968" s="80"/>
      <c r="L968" s="80"/>
      <c r="M968" s="84"/>
    </row>
    <row r="969" spans="1:13" ht="15.75" x14ac:dyDescent="0.25">
      <c r="A969" s="77"/>
      <c r="B969" s="78"/>
      <c r="C969" s="80"/>
      <c r="D969" s="80"/>
      <c r="E969" s="80"/>
      <c r="F969" s="80"/>
      <c r="G969" s="80"/>
      <c r="H969" s="80"/>
      <c r="I969" s="80"/>
      <c r="J969" s="80"/>
      <c r="K969" s="80"/>
      <c r="L969" s="80"/>
      <c r="M969" s="84"/>
    </row>
    <row r="970" spans="1:13" ht="15.75" x14ac:dyDescent="0.25">
      <c r="A970" s="77"/>
      <c r="B970" s="78"/>
      <c r="C970" s="80"/>
      <c r="D970" s="80"/>
      <c r="E970" s="80"/>
      <c r="F970" s="80"/>
      <c r="G970" s="80"/>
      <c r="H970" s="80"/>
      <c r="I970" s="80"/>
      <c r="J970" s="80"/>
      <c r="K970" s="80"/>
      <c r="L970" s="80"/>
      <c r="M970" s="84"/>
    </row>
    <row r="971" spans="1:13" ht="15.75" x14ac:dyDescent="0.25">
      <c r="A971" s="77"/>
      <c r="B971" s="78"/>
      <c r="C971" s="80"/>
      <c r="D971" s="80"/>
      <c r="E971" s="80"/>
      <c r="F971" s="80"/>
      <c r="G971" s="80"/>
      <c r="H971" s="80"/>
      <c r="I971" s="80"/>
      <c r="J971" s="80"/>
      <c r="K971" s="80"/>
      <c r="L971" s="80"/>
      <c r="M971" s="84"/>
    </row>
    <row r="972" spans="1:13" ht="15.75" x14ac:dyDescent="0.25">
      <c r="A972" s="77"/>
      <c r="B972" s="78"/>
      <c r="C972" s="80"/>
      <c r="D972" s="80"/>
      <c r="E972" s="80"/>
      <c r="F972" s="80"/>
      <c r="G972" s="80"/>
      <c r="H972" s="80"/>
      <c r="I972" s="80"/>
      <c r="J972" s="80"/>
      <c r="K972" s="80"/>
      <c r="L972" s="80"/>
      <c r="M972" s="84"/>
    </row>
    <row r="973" spans="1:13" ht="15.75" x14ac:dyDescent="0.25">
      <c r="A973" s="77"/>
      <c r="B973" s="78"/>
      <c r="C973" s="80"/>
      <c r="D973" s="80"/>
      <c r="E973" s="80"/>
      <c r="F973" s="80"/>
      <c r="G973" s="80"/>
      <c r="H973" s="80"/>
      <c r="I973" s="80"/>
      <c r="J973" s="80"/>
      <c r="K973" s="80"/>
      <c r="L973" s="80"/>
      <c r="M973" s="84"/>
    </row>
    <row r="974" spans="1:13" ht="15.75" x14ac:dyDescent="0.25">
      <c r="A974" s="77"/>
      <c r="B974" s="78"/>
      <c r="C974" s="80"/>
      <c r="D974" s="80"/>
      <c r="E974" s="80"/>
      <c r="F974" s="80"/>
      <c r="G974" s="80"/>
      <c r="H974" s="80"/>
      <c r="I974" s="80"/>
      <c r="J974" s="80"/>
      <c r="K974" s="80"/>
      <c r="L974" s="80"/>
      <c r="M974" s="84"/>
    </row>
    <row r="975" spans="1:13" ht="15.75" x14ac:dyDescent="0.25">
      <c r="A975" s="77"/>
      <c r="B975" s="78"/>
      <c r="C975" s="80"/>
      <c r="D975" s="80"/>
      <c r="E975" s="80"/>
      <c r="F975" s="80"/>
      <c r="G975" s="80"/>
      <c r="H975" s="80"/>
      <c r="I975" s="80"/>
      <c r="J975" s="80"/>
      <c r="K975" s="80"/>
      <c r="L975" s="80"/>
      <c r="M975" s="84"/>
    </row>
    <row r="976" spans="1:13" ht="15.75" x14ac:dyDescent="0.25">
      <c r="A976" s="77"/>
      <c r="B976" s="78"/>
      <c r="C976" s="80"/>
      <c r="D976" s="80"/>
      <c r="E976" s="80"/>
      <c r="F976" s="80"/>
      <c r="G976" s="80"/>
      <c r="H976" s="80"/>
      <c r="I976" s="80"/>
      <c r="J976" s="80"/>
      <c r="K976" s="80"/>
      <c r="L976" s="80"/>
      <c r="M976" s="84"/>
    </row>
    <row r="977" spans="1:13" ht="15.75" x14ac:dyDescent="0.25">
      <c r="A977" s="77"/>
      <c r="B977" s="78"/>
      <c r="C977" s="80"/>
      <c r="D977" s="80"/>
      <c r="E977" s="80"/>
      <c r="F977" s="80"/>
      <c r="G977" s="80"/>
      <c r="H977" s="80"/>
      <c r="I977" s="80"/>
      <c r="J977" s="80"/>
      <c r="K977" s="80"/>
      <c r="L977" s="80"/>
      <c r="M977" s="84"/>
    </row>
    <row r="978" spans="1:13" ht="15.75" x14ac:dyDescent="0.25">
      <c r="A978" s="77"/>
      <c r="B978" s="78"/>
      <c r="C978" s="80"/>
      <c r="D978" s="80"/>
      <c r="E978" s="80"/>
      <c r="F978" s="80"/>
      <c r="G978" s="80"/>
      <c r="H978" s="80"/>
      <c r="I978" s="80"/>
      <c r="J978" s="80"/>
      <c r="K978" s="80"/>
      <c r="L978" s="80"/>
      <c r="M978" s="84"/>
    </row>
    <row r="979" spans="1:13" ht="15.75" x14ac:dyDescent="0.25">
      <c r="A979" s="77"/>
      <c r="B979" s="78"/>
      <c r="C979" s="80"/>
      <c r="D979" s="80"/>
      <c r="E979" s="80"/>
      <c r="F979" s="80"/>
      <c r="G979" s="80"/>
      <c r="H979" s="80"/>
      <c r="I979" s="80"/>
      <c r="J979" s="80"/>
      <c r="K979" s="80"/>
      <c r="L979" s="80"/>
      <c r="M979" s="84"/>
    </row>
    <row r="980" spans="1:13" ht="15.75" x14ac:dyDescent="0.25">
      <c r="A980" s="77"/>
      <c r="B980" s="78"/>
      <c r="C980" s="80"/>
      <c r="D980" s="80"/>
      <c r="E980" s="80"/>
      <c r="F980" s="80"/>
      <c r="G980" s="80"/>
      <c r="H980" s="80"/>
      <c r="I980" s="80"/>
      <c r="J980" s="80"/>
      <c r="K980" s="80"/>
      <c r="L980" s="80"/>
      <c r="M980" s="8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EB2ACB-FF39-4951-8807-AD0C18635AE6}">
  <sheetPr codeName="Hoja3"/>
  <dimension ref="A1:B18"/>
  <sheetViews>
    <sheetView workbookViewId="0">
      <selection activeCell="G12" sqref="G12"/>
    </sheetView>
  </sheetViews>
  <sheetFormatPr baseColWidth="10" defaultRowHeight="15" x14ac:dyDescent="0.25"/>
  <cols>
    <col min="2" max="2" width="22" customWidth="1"/>
  </cols>
  <sheetData>
    <row r="1" spans="1:2" ht="15.75" thickBot="1" x14ac:dyDescent="0.3">
      <c r="A1" s="103" t="s">
        <v>73</v>
      </c>
      <c r="B1" s="103" t="s">
        <v>74</v>
      </c>
    </row>
    <row r="2" spans="1:2" x14ac:dyDescent="0.25">
      <c r="A2" s="106" t="s">
        <v>63</v>
      </c>
      <c r="B2" s="104" t="s">
        <v>75</v>
      </c>
    </row>
    <row r="3" spans="1:2" x14ac:dyDescent="0.25">
      <c r="A3" s="107" t="s">
        <v>72</v>
      </c>
      <c r="B3" s="105" t="s">
        <v>104</v>
      </c>
    </row>
    <row r="4" spans="1:2" ht="15.75" thickBot="1" x14ac:dyDescent="0.3">
      <c r="A4" s="107" t="s">
        <v>69</v>
      </c>
      <c r="B4" s="105" t="s">
        <v>77</v>
      </c>
    </row>
    <row r="5" spans="1:2" ht="15.75" thickBot="1" x14ac:dyDescent="0.3">
      <c r="A5" s="106" t="s">
        <v>64</v>
      </c>
      <c r="B5" s="104" t="s">
        <v>78</v>
      </c>
    </row>
    <row r="6" spans="1:2" ht="15.75" thickBot="1" x14ac:dyDescent="0.3">
      <c r="A6" s="106" t="s">
        <v>65</v>
      </c>
      <c r="B6" s="104" t="s">
        <v>79</v>
      </c>
    </row>
    <row r="7" spans="1:2" ht="15.75" thickBot="1" x14ac:dyDescent="0.3">
      <c r="A7" s="106" t="s">
        <v>66</v>
      </c>
      <c r="B7" s="104" t="s">
        <v>80</v>
      </c>
    </row>
    <row r="8" spans="1:2" ht="15.75" thickBot="1" x14ac:dyDescent="0.3">
      <c r="A8" s="106" t="s">
        <v>67</v>
      </c>
      <c r="B8" s="104" t="s">
        <v>81</v>
      </c>
    </row>
    <row r="9" spans="1:2" x14ac:dyDescent="0.25">
      <c r="A9" s="106" t="s">
        <v>82</v>
      </c>
      <c r="B9" s="104" t="s">
        <v>83</v>
      </c>
    </row>
    <row r="10" spans="1:2" x14ac:dyDescent="0.25">
      <c r="A10" s="107" t="s">
        <v>68</v>
      </c>
      <c r="B10" s="105" t="s">
        <v>76</v>
      </c>
    </row>
    <row r="11" spans="1:2" x14ac:dyDescent="0.25">
      <c r="A11" s="107" t="s">
        <v>70</v>
      </c>
      <c r="B11" s="105" t="s">
        <v>84</v>
      </c>
    </row>
    <row r="12" spans="1:2" ht="15.75" thickBot="1" x14ac:dyDescent="0.3">
      <c r="A12" s="108" t="s">
        <v>71</v>
      </c>
      <c r="B12" s="105" t="s">
        <v>84</v>
      </c>
    </row>
    <row r="13" spans="1:2" x14ac:dyDescent="0.25">
      <c r="A13" s="109" t="s">
        <v>85</v>
      </c>
      <c r="B13" s="110" t="s">
        <v>86</v>
      </c>
    </row>
    <row r="14" spans="1:2" x14ac:dyDescent="0.25">
      <c r="A14" s="109" t="s">
        <v>87</v>
      </c>
      <c r="B14" s="110" t="s">
        <v>88</v>
      </c>
    </row>
    <row r="15" spans="1:2" x14ac:dyDescent="0.25">
      <c r="A15" s="109" t="s">
        <v>89</v>
      </c>
      <c r="B15" s="110" t="s">
        <v>90</v>
      </c>
    </row>
    <row r="16" spans="1:2" x14ac:dyDescent="0.25">
      <c r="A16" s="109" t="s">
        <v>91</v>
      </c>
      <c r="B16" s="110" t="s">
        <v>92</v>
      </c>
    </row>
    <row r="17" spans="1:2" x14ac:dyDescent="0.25">
      <c r="A17" s="109" t="s">
        <v>93</v>
      </c>
      <c r="B17" s="110" t="s">
        <v>94</v>
      </c>
    </row>
    <row r="18" spans="1:2" x14ac:dyDescent="0.25">
      <c r="A18" s="109" t="s">
        <v>95</v>
      </c>
      <c r="B18" s="110" t="s">
        <v>96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AF884-8A00-41C1-9C03-E4BC46737243}">
  <sheetPr codeName="Hoja35"/>
  <dimension ref="A1:O22"/>
  <sheetViews>
    <sheetView workbookViewId="0">
      <selection activeCell="G9" sqref="G9"/>
    </sheetView>
  </sheetViews>
  <sheetFormatPr baseColWidth="10" defaultRowHeight="15" x14ac:dyDescent="0.25"/>
  <cols>
    <col min="5" max="5" width="11.85546875" bestFit="1" customWidth="1"/>
    <col min="11" max="11" width="11.42578125" customWidth="1"/>
    <col min="12" max="13" width="7.7109375" customWidth="1"/>
    <col min="14" max="14" width="8.5703125" customWidth="1"/>
  </cols>
  <sheetData>
    <row r="1" spans="1:15" ht="16.5" thickBot="1" x14ac:dyDescent="0.3">
      <c r="A1" s="112">
        <v>10</v>
      </c>
      <c r="B1" s="166" t="s">
        <v>119</v>
      </c>
      <c r="C1" s="166"/>
      <c r="D1" s="166"/>
      <c r="E1" s="112" t="s">
        <v>103</v>
      </c>
      <c r="F1" s="112" t="s">
        <v>120</v>
      </c>
      <c r="G1" s="112" t="s">
        <v>121</v>
      </c>
      <c r="H1" s="112" t="s">
        <v>122</v>
      </c>
      <c r="I1" s="112" t="s">
        <v>123</v>
      </c>
      <c r="J1" s="112" t="s">
        <v>124</v>
      </c>
      <c r="K1" s="121" t="s">
        <v>134</v>
      </c>
      <c r="L1" s="121" t="s">
        <v>122</v>
      </c>
      <c r="M1" s="121" t="s">
        <v>136</v>
      </c>
      <c r="N1" s="121" t="s">
        <v>135</v>
      </c>
      <c r="O1" s="121" t="s">
        <v>140</v>
      </c>
    </row>
    <row r="2" spans="1:15" ht="16.5" thickBot="1" x14ac:dyDescent="0.3">
      <c r="A2" s="113" t="s">
        <v>125</v>
      </c>
      <c r="B2" s="114" t="s">
        <v>126</v>
      </c>
      <c r="C2" s="114" t="s">
        <v>127</v>
      </c>
      <c r="D2" s="114" t="s">
        <v>128</v>
      </c>
      <c r="E2" s="115" t="s">
        <v>129</v>
      </c>
      <c r="F2" s="115" t="s">
        <v>129</v>
      </c>
      <c r="G2" s="115" t="s">
        <v>130</v>
      </c>
      <c r="H2" s="115" t="s">
        <v>125</v>
      </c>
      <c r="I2" s="115" t="s">
        <v>129</v>
      </c>
      <c r="J2" s="115" t="s">
        <v>129</v>
      </c>
      <c r="K2" s="103">
        <v>3000000</v>
      </c>
      <c r="L2" s="103">
        <v>3</v>
      </c>
      <c r="M2" s="122">
        <v>11.999999999999998</v>
      </c>
      <c r="N2" s="103">
        <v>2</v>
      </c>
      <c r="O2" s="122">
        <v>3.2</v>
      </c>
    </row>
    <row r="3" spans="1:15" ht="16.5" thickBot="1" x14ac:dyDescent="0.3">
      <c r="A3" s="119" t="s">
        <v>108</v>
      </c>
      <c r="B3" s="106">
        <v>22.427009728680247</v>
      </c>
      <c r="C3" s="106">
        <v>22.427009728680247</v>
      </c>
      <c r="D3" s="104">
        <v>22.427009724999213</v>
      </c>
      <c r="E3" s="106">
        <f>AVERAGE(B3:D3)</f>
        <v>22.427009727453235</v>
      </c>
      <c r="F3" s="120">
        <f t="shared" ref="F3:F22" si="0">+STDEV(B3:D3)</f>
        <v>2.1252460540299221E-9</v>
      </c>
      <c r="G3" s="106">
        <f t="shared" ref="G3" si="1">$O$2</f>
        <v>3.2</v>
      </c>
      <c r="H3" s="106">
        <f>$L$2</f>
        <v>3</v>
      </c>
      <c r="I3" s="120">
        <f>E3-((F3*G3)/(SQRT(H3)))</f>
        <v>22.427009723526798</v>
      </c>
      <c r="J3" s="120">
        <f>E3+((F3*G3)/(SQRT(H3)))</f>
        <v>22.427009731379673</v>
      </c>
    </row>
    <row r="4" spans="1:15" ht="16.5" thickBot="1" x14ac:dyDescent="0.3">
      <c r="A4" s="117" t="s">
        <v>109</v>
      </c>
      <c r="B4" s="107">
        <v>15.643055255691056</v>
      </c>
      <c r="C4" s="107">
        <v>15.643055255691056</v>
      </c>
      <c r="D4" s="105">
        <v>15.642671574946375</v>
      </c>
      <c r="E4" s="106">
        <f t="shared" ref="E4:E22" si="2">AVERAGE(B4:D4)</f>
        <v>15.642927362109496</v>
      </c>
      <c r="F4" s="120">
        <f t="shared" si="0"/>
        <v>2.2151818122463269E-4</v>
      </c>
      <c r="G4" s="106">
        <f>$O$2</f>
        <v>3.2</v>
      </c>
      <c r="H4" s="106">
        <f t="shared" ref="H4:H22" si="3">$L$2</f>
        <v>3</v>
      </c>
      <c r="I4" s="120">
        <f t="shared" ref="I4:I22" si="4">E4-((F4*G4)/(SQRT(H4)))</f>
        <v>15.642518102648504</v>
      </c>
      <c r="J4" s="120">
        <f t="shared" ref="J4:J22" si="5">E4+((F4*G4)/(SQRT(H4)))</f>
        <v>15.643336621570489</v>
      </c>
    </row>
    <row r="5" spans="1:15" ht="16.5" thickBot="1" x14ac:dyDescent="0.3">
      <c r="A5" s="117" t="s">
        <v>110</v>
      </c>
      <c r="B5" s="107">
        <v>22.427009728680247</v>
      </c>
      <c r="C5" s="107">
        <v>22.427009728680247</v>
      </c>
      <c r="D5" s="105">
        <v>22.427009724999213</v>
      </c>
      <c r="E5" s="106">
        <f t="shared" si="2"/>
        <v>22.427009727453235</v>
      </c>
      <c r="F5" s="120">
        <f t="shared" si="0"/>
        <v>2.1252460540299221E-9</v>
      </c>
      <c r="G5" s="106">
        <f t="shared" ref="G5:G22" si="6">$O$2</f>
        <v>3.2</v>
      </c>
      <c r="H5" s="106">
        <f t="shared" si="3"/>
        <v>3</v>
      </c>
      <c r="I5" s="120">
        <f t="shared" si="4"/>
        <v>22.427009723526798</v>
      </c>
      <c r="J5" s="120">
        <f t="shared" si="5"/>
        <v>22.427009731379673</v>
      </c>
    </row>
    <row r="6" spans="1:15" ht="16.5" thickBot="1" x14ac:dyDescent="0.3">
      <c r="A6" s="117" t="s">
        <v>111</v>
      </c>
      <c r="B6" s="107">
        <v>29.416085950639012</v>
      </c>
      <c r="C6" s="107">
        <v>29.416085950639012</v>
      </c>
      <c r="D6" s="105">
        <v>29.416085950098296</v>
      </c>
      <c r="E6" s="106">
        <f t="shared" si="2"/>
        <v>29.416085950458775</v>
      </c>
      <c r="F6" s="120">
        <f t="shared" si="0"/>
        <v>3.1218247995182964E-10</v>
      </c>
      <c r="G6" s="106">
        <f t="shared" si="6"/>
        <v>3.2</v>
      </c>
      <c r="H6" s="106">
        <f t="shared" si="3"/>
        <v>3</v>
      </c>
      <c r="I6" s="120">
        <f t="shared" si="4"/>
        <v>29.41608594988201</v>
      </c>
      <c r="J6" s="120">
        <f t="shared" si="5"/>
        <v>29.416085951035541</v>
      </c>
    </row>
    <row r="7" spans="1:15" ht="16.5" thickBot="1" x14ac:dyDescent="0.3">
      <c r="A7" s="117" t="s">
        <v>112</v>
      </c>
      <c r="B7" s="107">
        <v>27.147317495963826</v>
      </c>
      <c r="C7" s="107">
        <v>27.147317495963826</v>
      </c>
      <c r="D7" s="105">
        <v>27.147317494193839</v>
      </c>
      <c r="E7" s="106">
        <f t="shared" si="2"/>
        <v>27.14731749537383</v>
      </c>
      <c r="F7" s="120">
        <f t="shared" si="0"/>
        <v>1.0219023691681026E-9</v>
      </c>
      <c r="G7" s="106">
        <f t="shared" si="6"/>
        <v>3.2</v>
      </c>
      <c r="H7" s="106">
        <f t="shared" si="3"/>
        <v>3</v>
      </c>
      <c r="I7" s="120">
        <f t="shared" si="4"/>
        <v>27.147317493485843</v>
      </c>
      <c r="J7" s="120">
        <f t="shared" si="5"/>
        <v>27.147317497261817</v>
      </c>
    </row>
    <row r="8" spans="1:15" ht="16.5" thickBot="1" x14ac:dyDescent="0.3">
      <c r="A8" s="117" t="s">
        <v>113</v>
      </c>
      <c r="B8" s="107">
        <v>31.338365112469127</v>
      </c>
      <c r="C8" s="107">
        <v>31.338365112469127</v>
      </c>
      <c r="D8" s="105">
        <v>31.338365109765355</v>
      </c>
      <c r="E8" s="106">
        <f t="shared" si="2"/>
        <v>31.338365111567867</v>
      </c>
      <c r="F8" s="120">
        <f t="shared" si="0"/>
        <v>1.5610231623451944E-9</v>
      </c>
      <c r="G8" s="106">
        <f t="shared" si="6"/>
        <v>3.2</v>
      </c>
      <c r="H8" s="106">
        <f t="shared" si="3"/>
        <v>3</v>
      </c>
      <c r="I8" s="120">
        <f t="shared" si="4"/>
        <v>31.338365108683846</v>
      </c>
      <c r="J8" s="120">
        <f t="shared" si="5"/>
        <v>31.338365114451889</v>
      </c>
    </row>
    <row r="9" spans="1:15" ht="16.5" thickBot="1" x14ac:dyDescent="0.3">
      <c r="A9" s="117" t="s">
        <v>105</v>
      </c>
      <c r="B9" s="107">
        <v>35.365085811864638</v>
      </c>
      <c r="C9" s="107">
        <v>35.365085811864638</v>
      </c>
      <c r="D9" s="107">
        <v>35.365085811489692</v>
      </c>
      <c r="E9" s="106">
        <f t="shared" si="2"/>
        <v>35.365085811739654</v>
      </c>
      <c r="F9" s="120">
        <f t="shared" si="0"/>
        <v>2.1647534508135376E-10</v>
      </c>
      <c r="G9" s="106">
        <f t="shared" si="6"/>
        <v>3.2</v>
      </c>
      <c r="H9" s="106">
        <f t="shared" si="3"/>
        <v>3</v>
      </c>
      <c r="I9" s="120">
        <f t="shared" si="4"/>
        <v>35.365085811339711</v>
      </c>
      <c r="J9" s="120">
        <f t="shared" si="5"/>
        <v>35.365085812139597</v>
      </c>
    </row>
    <row r="10" spans="1:15" ht="16.5" thickBot="1" x14ac:dyDescent="0.3">
      <c r="A10" s="117" t="s">
        <v>106</v>
      </c>
      <c r="B10" s="107">
        <v>53.156702514192588</v>
      </c>
      <c r="C10" s="107">
        <v>53.156702514192588</v>
      </c>
      <c r="D10" s="105">
        <v>53.156702513826176</v>
      </c>
      <c r="E10" s="106">
        <f t="shared" si="2"/>
        <v>53.156702514070446</v>
      </c>
      <c r="F10" s="120">
        <f t="shared" si="0"/>
        <v>2.1154845834393059E-10</v>
      </c>
      <c r="G10" s="106">
        <f t="shared" si="6"/>
        <v>3.2</v>
      </c>
      <c r="H10" s="106">
        <f t="shared" si="3"/>
        <v>3</v>
      </c>
      <c r="I10" s="120">
        <f t="shared" si="4"/>
        <v>53.156702513679605</v>
      </c>
      <c r="J10" s="120">
        <f t="shared" si="5"/>
        <v>53.156702514461287</v>
      </c>
    </row>
    <row r="11" spans="1:15" ht="16.5" thickBot="1" x14ac:dyDescent="0.3">
      <c r="A11" s="117" t="s">
        <v>107</v>
      </c>
      <c r="B11" s="107">
        <v>48.308072965595436</v>
      </c>
      <c r="C11" s="107">
        <v>48.308072965595436</v>
      </c>
      <c r="D11" s="105">
        <v>48.30807296516295</v>
      </c>
      <c r="E11" s="106">
        <f t="shared" si="2"/>
        <v>48.308072965451267</v>
      </c>
      <c r="F11" s="120">
        <f t="shared" si="0"/>
        <v>2.4969593579347694E-10</v>
      </c>
      <c r="G11" s="106">
        <f t="shared" si="6"/>
        <v>3.2</v>
      </c>
      <c r="H11" s="106">
        <f t="shared" si="3"/>
        <v>3</v>
      </c>
      <c r="I11" s="120">
        <f t="shared" si="4"/>
        <v>48.308072964989947</v>
      </c>
      <c r="J11" s="120">
        <f t="shared" si="5"/>
        <v>48.308072965912586</v>
      </c>
    </row>
    <row r="12" spans="1:15" ht="16.5" thickBot="1" x14ac:dyDescent="0.3">
      <c r="A12" s="118" t="s">
        <v>114</v>
      </c>
      <c r="B12" s="108">
        <v>42.825485384607887</v>
      </c>
      <c r="C12" s="108">
        <v>42.825485384607887</v>
      </c>
      <c r="D12" s="116">
        <v>42.825481812126256</v>
      </c>
      <c r="E12" s="106">
        <f t="shared" si="2"/>
        <v>42.825484193780675</v>
      </c>
      <c r="F12" s="120">
        <f t="shared" si="0"/>
        <v>2.0625732315687855E-6</v>
      </c>
      <c r="G12" s="106">
        <f t="shared" si="6"/>
        <v>3.2</v>
      </c>
      <c r="H12" s="106">
        <f t="shared" si="3"/>
        <v>3</v>
      </c>
      <c r="I12" s="120">
        <f t="shared" si="4"/>
        <v>42.825480383133602</v>
      </c>
      <c r="J12" s="120">
        <f t="shared" si="5"/>
        <v>42.825488004427747</v>
      </c>
    </row>
    <row r="13" spans="1:15" ht="16.5" thickBot="1" x14ac:dyDescent="0.3">
      <c r="A13" s="117" t="s">
        <v>115</v>
      </c>
      <c r="B13" s="107"/>
      <c r="C13" s="107"/>
      <c r="D13" s="105"/>
      <c r="E13" s="106" t="e">
        <f t="shared" si="2"/>
        <v>#DIV/0!</v>
      </c>
      <c r="F13" s="120" t="e">
        <f t="shared" si="0"/>
        <v>#DIV/0!</v>
      </c>
      <c r="G13" s="106">
        <f t="shared" si="6"/>
        <v>3.2</v>
      </c>
      <c r="H13" s="106">
        <f t="shared" si="3"/>
        <v>3</v>
      </c>
      <c r="I13" s="120" t="e">
        <f t="shared" si="4"/>
        <v>#DIV/0!</v>
      </c>
      <c r="J13" s="120" t="e">
        <f t="shared" si="5"/>
        <v>#DIV/0!</v>
      </c>
    </row>
    <row r="14" spans="1:15" ht="16.5" thickBot="1" x14ac:dyDescent="0.3">
      <c r="A14" s="118" t="s">
        <v>137</v>
      </c>
      <c r="B14" s="107"/>
      <c r="C14" s="107"/>
      <c r="D14" s="105"/>
      <c r="E14" s="106" t="e">
        <f t="shared" si="2"/>
        <v>#DIV/0!</v>
      </c>
      <c r="F14" s="120" t="e">
        <f t="shared" si="0"/>
        <v>#DIV/0!</v>
      </c>
      <c r="G14" s="106">
        <f t="shared" si="6"/>
        <v>3.2</v>
      </c>
      <c r="H14" s="106">
        <f t="shared" si="3"/>
        <v>3</v>
      </c>
      <c r="I14" s="120" t="e">
        <f t="shared" si="4"/>
        <v>#DIV/0!</v>
      </c>
      <c r="J14" s="120" t="e">
        <f t="shared" si="5"/>
        <v>#DIV/0!</v>
      </c>
    </row>
    <row r="15" spans="1:15" ht="16.5" thickBot="1" x14ac:dyDescent="0.3">
      <c r="A15" s="117" t="s">
        <v>116</v>
      </c>
      <c r="B15" s="107"/>
      <c r="C15" s="107"/>
      <c r="D15" s="105"/>
      <c r="E15" s="106" t="e">
        <f t="shared" si="2"/>
        <v>#DIV/0!</v>
      </c>
      <c r="F15" s="120" t="e">
        <f t="shared" si="0"/>
        <v>#DIV/0!</v>
      </c>
      <c r="G15" s="106">
        <f t="shared" si="6"/>
        <v>3.2</v>
      </c>
      <c r="H15" s="106">
        <f t="shared" si="3"/>
        <v>3</v>
      </c>
      <c r="I15" s="120" t="e">
        <f t="shared" si="4"/>
        <v>#DIV/0!</v>
      </c>
      <c r="J15" s="120" t="e">
        <f t="shared" si="5"/>
        <v>#DIV/0!</v>
      </c>
    </row>
    <row r="16" spans="1:15" ht="16.5" thickBot="1" x14ac:dyDescent="0.3">
      <c r="A16" s="118" t="s">
        <v>117</v>
      </c>
      <c r="B16" s="107"/>
      <c r="C16" s="107"/>
      <c r="D16" s="105"/>
      <c r="E16" s="106" t="e">
        <f t="shared" si="2"/>
        <v>#DIV/0!</v>
      </c>
      <c r="F16" s="120" t="e">
        <f t="shared" si="0"/>
        <v>#DIV/0!</v>
      </c>
      <c r="G16" s="106">
        <f t="shared" si="6"/>
        <v>3.2</v>
      </c>
      <c r="H16" s="106">
        <f t="shared" si="3"/>
        <v>3</v>
      </c>
      <c r="I16" s="120" t="e">
        <f t="shared" si="4"/>
        <v>#DIV/0!</v>
      </c>
      <c r="J16" s="120" t="e">
        <f t="shared" si="5"/>
        <v>#DIV/0!</v>
      </c>
    </row>
    <row r="17" spans="1:10" ht="16.5" thickBot="1" x14ac:dyDescent="0.3">
      <c r="A17" s="117" t="s">
        <v>118</v>
      </c>
      <c r="B17" s="107"/>
      <c r="C17" s="107"/>
      <c r="D17" s="105"/>
      <c r="E17" s="106" t="e">
        <f t="shared" si="2"/>
        <v>#DIV/0!</v>
      </c>
      <c r="F17" s="120" t="e">
        <f t="shared" si="0"/>
        <v>#DIV/0!</v>
      </c>
      <c r="G17" s="106">
        <f t="shared" si="6"/>
        <v>3.2</v>
      </c>
      <c r="H17" s="106">
        <f t="shared" si="3"/>
        <v>3</v>
      </c>
      <c r="I17" s="120" t="e">
        <f t="shared" si="4"/>
        <v>#DIV/0!</v>
      </c>
      <c r="J17" s="120" t="e">
        <f t="shared" si="5"/>
        <v>#DIV/0!</v>
      </c>
    </row>
    <row r="18" spans="1:10" ht="16.5" thickBot="1" x14ac:dyDescent="0.3">
      <c r="A18" s="118" t="s">
        <v>131</v>
      </c>
      <c r="B18" s="107"/>
      <c r="C18" s="107"/>
      <c r="D18" s="105"/>
      <c r="E18" s="106" t="e">
        <f t="shared" si="2"/>
        <v>#DIV/0!</v>
      </c>
      <c r="F18" s="120" t="e">
        <f t="shared" si="0"/>
        <v>#DIV/0!</v>
      </c>
      <c r="G18" s="106">
        <f t="shared" si="6"/>
        <v>3.2</v>
      </c>
      <c r="H18" s="106">
        <f t="shared" si="3"/>
        <v>3</v>
      </c>
      <c r="I18" s="120" t="e">
        <f t="shared" si="4"/>
        <v>#DIV/0!</v>
      </c>
      <c r="J18" s="120" t="e">
        <f t="shared" si="5"/>
        <v>#DIV/0!</v>
      </c>
    </row>
    <row r="19" spans="1:10" ht="16.5" thickBot="1" x14ac:dyDescent="0.3">
      <c r="A19" s="117" t="s">
        <v>132</v>
      </c>
      <c r="B19" s="107"/>
      <c r="C19" s="107"/>
      <c r="D19" s="105"/>
      <c r="E19" s="106" t="e">
        <f t="shared" si="2"/>
        <v>#DIV/0!</v>
      </c>
      <c r="F19" s="120" t="e">
        <f t="shared" si="0"/>
        <v>#DIV/0!</v>
      </c>
      <c r="G19" s="106">
        <f t="shared" si="6"/>
        <v>3.2</v>
      </c>
      <c r="H19" s="106">
        <f t="shared" si="3"/>
        <v>3</v>
      </c>
      <c r="I19" s="120" t="e">
        <f t="shared" si="4"/>
        <v>#DIV/0!</v>
      </c>
      <c r="J19" s="120" t="e">
        <f t="shared" si="5"/>
        <v>#DIV/0!</v>
      </c>
    </row>
    <row r="20" spans="1:10" ht="16.5" thickBot="1" x14ac:dyDescent="0.3">
      <c r="A20" s="118" t="s">
        <v>133</v>
      </c>
      <c r="B20" s="108"/>
      <c r="C20" s="108"/>
      <c r="D20" s="116"/>
      <c r="E20" s="106" t="e">
        <f t="shared" si="2"/>
        <v>#DIV/0!</v>
      </c>
      <c r="F20" s="120" t="e">
        <f t="shared" si="0"/>
        <v>#DIV/0!</v>
      </c>
      <c r="G20" s="106">
        <f t="shared" si="6"/>
        <v>3.2</v>
      </c>
      <c r="H20" s="106">
        <f t="shared" si="3"/>
        <v>3</v>
      </c>
      <c r="I20" s="120" t="e">
        <f t="shared" si="4"/>
        <v>#DIV/0!</v>
      </c>
      <c r="J20" s="120" t="e">
        <f t="shared" si="5"/>
        <v>#DIV/0!</v>
      </c>
    </row>
    <row r="21" spans="1:10" ht="16.5" thickBot="1" x14ac:dyDescent="0.3">
      <c r="A21" s="119" t="s">
        <v>138</v>
      </c>
      <c r="E21" s="106" t="e">
        <f t="shared" si="2"/>
        <v>#DIV/0!</v>
      </c>
      <c r="F21" s="120" t="e">
        <f t="shared" si="0"/>
        <v>#DIV/0!</v>
      </c>
      <c r="G21" s="106">
        <f t="shared" si="6"/>
        <v>3.2</v>
      </c>
      <c r="H21" s="106">
        <f t="shared" si="3"/>
        <v>3</v>
      </c>
      <c r="I21" s="120" t="e">
        <f t="shared" si="4"/>
        <v>#DIV/0!</v>
      </c>
      <c r="J21" s="120" t="e">
        <f t="shared" si="5"/>
        <v>#DIV/0!</v>
      </c>
    </row>
    <row r="22" spans="1:10" ht="15.75" x14ac:dyDescent="0.25">
      <c r="A22" s="117" t="s">
        <v>139</v>
      </c>
      <c r="E22" s="106" t="e">
        <f t="shared" si="2"/>
        <v>#DIV/0!</v>
      </c>
      <c r="F22" s="120" t="e">
        <f t="shared" si="0"/>
        <v>#DIV/0!</v>
      </c>
      <c r="G22" s="106">
        <f t="shared" si="6"/>
        <v>3.2</v>
      </c>
      <c r="H22" s="106">
        <f t="shared" si="3"/>
        <v>3</v>
      </c>
      <c r="I22" s="120" t="e">
        <f t="shared" si="4"/>
        <v>#DIV/0!</v>
      </c>
      <c r="J22" s="120" t="e">
        <f t="shared" si="5"/>
        <v>#DIV/0!</v>
      </c>
    </row>
  </sheetData>
  <mergeCells count="1">
    <mergeCell ref="B1:D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820652-DFAB-4CD0-AA07-7C1DC0408EA8}">
  <sheetPr codeName="Hoja2"/>
  <dimension ref="A1:D13"/>
  <sheetViews>
    <sheetView workbookViewId="0">
      <selection activeCell="C14" sqref="C14"/>
    </sheetView>
  </sheetViews>
  <sheetFormatPr baseColWidth="10" defaultRowHeight="15" x14ac:dyDescent="0.25"/>
  <sheetData>
    <row r="1" spans="1:4" ht="15.75" thickTop="1" x14ac:dyDescent="0.25">
      <c r="A1" s="49" t="s">
        <v>24</v>
      </c>
      <c r="B1" s="50">
        <v>14</v>
      </c>
    </row>
    <row r="2" spans="1:4" x14ac:dyDescent="0.25">
      <c r="A2" s="51" t="s">
        <v>25</v>
      </c>
      <c r="B2" s="52">
        <v>203</v>
      </c>
    </row>
    <row r="3" spans="1:4" x14ac:dyDescent="0.25">
      <c r="A3" s="51" t="s">
        <v>26</v>
      </c>
      <c r="B3" s="52">
        <v>961</v>
      </c>
    </row>
    <row r="4" spans="1:4" x14ac:dyDescent="0.25">
      <c r="A4" s="51" t="s">
        <v>27</v>
      </c>
      <c r="B4" s="52">
        <v>991</v>
      </c>
    </row>
    <row r="5" spans="1:4" x14ac:dyDescent="0.25">
      <c r="A5" s="53" t="s">
        <v>28</v>
      </c>
      <c r="B5" s="54">
        <v>1160</v>
      </c>
      <c r="D5" t="s">
        <v>15</v>
      </c>
    </row>
    <row r="6" spans="1:4" x14ac:dyDescent="0.25">
      <c r="A6" s="51" t="s">
        <v>29</v>
      </c>
      <c r="B6" s="52">
        <v>1490</v>
      </c>
    </row>
    <row r="7" spans="1:4" x14ac:dyDescent="0.25">
      <c r="A7" s="51" t="s">
        <v>30</v>
      </c>
      <c r="B7" s="52">
        <v>2140</v>
      </c>
    </row>
    <row r="8" spans="1:4" x14ac:dyDescent="0.25">
      <c r="A8" s="51" t="s">
        <v>31</v>
      </c>
      <c r="B8" s="52">
        <v>2550</v>
      </c>
    </row>
    <row r="9" spans="1:4" x14ac:dyDescent="0.25">
      <c r="A9" s="51" t="s">
        <v>32</v>
      </c>
      <c r="B9" s="52">
        <v>323</v>
      </c>
    </row>
    <row r="10" spans="1:4" x14ac:dyDescent="0.25">
      <c r="A10" s="51" t="s">
        <v>33</v>
      </c>
      <c r="B10" s="52">
        <v>49</v>
      </c>
    </row>
    <row r="11" spans="1:4" x14ac:dyDescent="0.25">
      <c r="A11" s="51" t="s">
        <v>34</v>
      </c>
      <c r="B11" s="52">
        <v>1480</v>
      </c>
    </row>
    <row r="12" spans="1:4" ht="15.75" thickBot="1" x14ac:dyDescent="0.3">
      <c r="A12" s="55" t="s">
        <v>35</v>
      </c>
      <c r="B12" s="56">
        <v>1728</v>
      </c>
    </row>
    <row r="13" spans="1:4" ht="15.75" thickTop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9349B-5078-4285-B701-0184E4544B92}">
  <sheetPr codeName="Hoja5"/>
  <dimension ref="A1:CV159"/>
  <sheetViews>
    <sheetView topLeftCell="AO8" workbookViewId="0">
      <selection activeCell="BB30" sqref="BB30"/>
    </sheetView>
  </sheetViews>
  <sheetFormatPr baseColWidth="10" defaultRowHeight="15.75" x14ac:dyDescent="0.25"/>
  <cols>
    <col min="1" max="1" width="25.7109375" style="123" customWidth="1"/>
    <col min="2" max="2" width="15.7109375" style="123" customWidth="1"/>
    <col min="3" max="4" width="11.42578125" style="123"/>
    <col min="5" max="5" width="18.7109375" style="123" customWidth="1"/>
    <col min="6" max="6" width="11.42578125" style="123"/>
    <col min="7" max="7" width="27.7109375" style="123" customWidth="1"/>
    <col min="8" max="18" width="11.42578125" style="123"/>
    <col min="19" max="19" width="15.7109375" style="123" customWidth="1"/>
    <col min="20" max="16384" width="11.42578125" style="123"/>
  </cols>
  <sheetData>
    <row r="1" spans="1:100" x14ac:dyDescent="0.25">
      <c r="C1" s="167" t="s">
        <v>141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9"/>
      <c r="S1" s="156" t="s">
        <v>151</v>
      </c>
      <c r="T1" s="157">
        <v>1</v>
      </c>
      <c r="U1" s="125">
        <v>42837</v>
      </c>
      <c r="V1" s="126">
        <v>0.47187499999999999</v>
      </c>
      <c r="W1" s="125">
        <v>42837</v>
      </c>
      <c r="X1" s="127">
        <v>0.49236111111111108</v>
      </c>
      <c r="CV1" s="123">
        <v>1</v>
      </c>
    </row>
    <row r="2" spans="1:100" x14ac:dyDescent="0.25">
      <c r="A2" s="123">
        <v>10</v>
      </c>
      <c r="C2" s="170" t="s">
        <v>142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2"/>
      <c r="S2" s="124"/>
      <c r="CV2" s="123">
        <v>0</v>
      </c>
    </row>
    <row r="3" spans="1:100" x14ac:dyDescent="0.25">
      <c r="C3" s="173" t="s">
        <v>143</v>
      </c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5"/>
      <c r="S3" s="124"/>
      <c r="CV3" s="123">
        <v>9</v>
      </c>
    </row>
    <row r="4" spans="1:100" x14ac:dyDescent="0.25">
      <c r="S4" s="124" t="s">
        <v>147</v>
      </c>
      <c r="T4" s="124">
        <v>1</v>
      </c>
      <c r="CV4" s="123">
        <v>0</v>
      </c>
    </row>
    <row r="8" spans="1:100" x14ac:dyDescent="0.25">
      <c r="C8" s="128" t="s">
        <v>71</v>
      </c>
      <c r="E8" s="124"/>
      <c r="I8" s="124" t="s">
        <v>63</v>
      </c>
      <c r="J8" s="124" t="s">
        <v>64</v>
      </c>
      <c r="K8" s="124" t="s">
        <v>65</v>
      </c>
      <c r="L8" s="124" t="s">
        <v>66</v>
      </c>
      <c r="M8" s="124" t="s">
        <v>67</v>
      </c>
      <c r="N8" s="124" t="s">
        <v>70</v>
      </c>
      <c r="O8" s="124" t="s">
        <v>68</v>
      </c>
      <c r="P8" s="124" t="s">
        <v>72</v>
      </c>
      <c r="Q8" s="124" t="s">
        <v>69</v>
      </c>
    </row>
    <row r="9" spans="1:100" x14ac:dyDescent="0.25">
      <c r="B9" s="124" t="s">
        <v>148</v>
      </c>
      <c r="C9" s="128" t="s">
        <v>114</v>
      </c>
      <c r="E9" s="124" t="s">
        <v>158</v>
      </c>
      <c r="I9" s="124" t="s">
        <v>108</v>
      </c>
      <c r="J9" s="124" t="s">
        <v>109</v>
      </c>
      <c r="K9" s="124" t="s">
        <v>110</v>
      </c>
      <c r="L9" s="124" t="s">
        <v>111</v>
      </c>
      <c r="M9" s="124" t="s">
        <v>112</v>
      </c>
      <c r="N9" s="124" t="s">
        <v>113</v>
      </c>
      <c r="O9" s="124" t="s">
        <v>105</v>
      </c>
      <c r="P9" s="124" t="s">
        <v>106</v>
      </c>
      <c r="Q9" s="124" t="s">
        <v>107</v>
      </c>
      <c r="S9" s="124" t="s">
        <v>164</v>
      </c>
    </row>
    <row r="10" spans="1:100" x14ac:dyDescent="0.25">
      <c r="B10" s="124" t="s">
        <v>103</v>
      </c>
      <c r="C10" s="129">
        <v>122.3</v>
      </c>
      <c r="E10" s="124">
        <v>122.3</v>
      </c>
      <c r="G10" s="128" t="s">
        <v>162</v>
      </c>
      <c r="H10" s="124">
        <v>-13.4</v>
      </c>
      <c r="I10" s="152">
        <v>117.3</v>
      </c>
      <c r="J10" s="150">
        <v>110.8</v>
      </c>
      <c r="K10" s="150">
        <v>117.3</v>
      </c>
      <c r="L10" s="150">
        <v>118.5</v>
      </c>
      <c r="M10" s="150">
        <v>119</v>
      </c>
      <c r="N10" s="150">
        <v>120.7</v>
      </c>
      <c r="O10" s="150">
        <v>121.5</v>
      </c>
      <c r="P10" s="150">
        <v>122.7</v>
      </c>
      <c r="Q10" s="151">
        <v>122.5</v>
      </c>
      <c r="S10" s="124">
        <v>118.9</v>
      </c>
      <c r="BB10" s="123">
        <v>117.3</v>
      </c>
      <c r="BC10" s="123">
        <v>110.8</v>
      </c>
      <c r="BD10" s="123">
        <v>117.3</v>
      </c>
      <c r="BE10" s="123">
        <v>118.5</v>
      </c>
      <c r="BF10" s="123">
        <v>119</v>
      </c>
      <c r="BG10" s="123">
        <v>120.7</v>
      </c>
      <c r="BH10" s="123">
        <v>121.5</v>
      </c>
      <c r="BI10" s="123">
        <v>122.7</v>
      </c>
      <c r="BJ10" s="123">
        <v>122.5</v>
      </c>
      <c r="BK10" s="123">
        <v>122.3</v>
      </c>
      <c r="CV10" s="123">
        <v>5</v>
      </c>
    </row>
    <row r="11" spans="1:100" x14ac:dyDescent="0.25">
      <c r="B11" s="124" t="s">
        <v>149</v>
      </c>
      <c r="C11" s="129">
        <v>122.6</v>
      </c>
      <c r="E11" s="124">
        <v>122.6</v>
      </c>
      <c r="I11" s="152">
        <v>122</v>
      </c>
      <c r="J11" s="150">
        <v>122.7</v>
      </c>
      <c r="K11" s="150">
        <v>122</v>
      </c>
      <c r="L11" s="150">
        <v>123.3</v>
      </c>
      <c r="M11" s="150">
        <v>122.2</v>
      </c>
      <c r="N11" s="150">
        <v>122.2</v>
      </c>
      <c r="O11" s="150">
        <v>122.9</v>
      </c>
      <c r="P11" s="150">
        <v>123.9</v>
      </c>
      <c r="Q11" s="151">
        <v>123.2</v>
      </c>
      <c r="S11" s="124">
        <v>123.9</v>
      </c>
      <c r="BB11" s="123">
        <v>122.04</v>
      </c>
      <c r="BC11" s="123">
        <v>122.74</v>
      </c>
      <c r="BD11" s="123">
        <v>122.04</v>
      </c>
      <c r="BE11" s="123">
        <v>123.25</v>
      </c>
      <c r="BF11" s="123">
        <v>122.18</v>
      </c>
      <c r="BG11" s="123">
        <v>122.2</v>
      </c>
      <c r="BH11" s="123">
        <v>122.89</v>
      </c>
      <c r="BI11" s="123">
        <v>123.85</v>
      </c>
      <c r="BJ11" s="123">
        <v>123.17</v>
      </c>
      <c r="BK11" s="123">
        <v>122.56</v>
      </c>
    </row>
    <row r="12" spans="1:100" x14ac:dyDescent="0.25">
      <c r="B12" s="124" t="s">
        <v>150</v>
      </c>
      <c r="C12" s="129">
        <v>120.7</v>
      </c>
      <c r="E12" s="124">
        <v>120.68</v>
      </c>
      <c r="I12" s="152">
        <v>117.3</v>
      </c>
      <c r="J12" s="150">
        <v>110.8</v>
      </c>
      <c r="K12" s="150">
        <v>117.3</v>
      </c>
      <c r="L12" s="150">
        <v>118.5</v>
      </c>
      <c r="M12" s="150">
        <v>119</v>
      </c>
      <c r="N12" s="150">
        <v>120.7</v>
      </c>
      <c r="O12" s="150">
        <v>121.5</v>
      </c>
      <c r="P12" s="150">
        <v>122.7</v>
      </c>
      <c r="Q12" s="151">
        <v>122.5</v>
      </c>
      <c r="S12" s="124">
        <v>110.8</v>
      </c>
      <c r="BB12" s="123">
        <v>95.53</v>
      </c>
      <c r="BC12" s="123">
        <v>76.400000000000006</v>
      </c>
      <c r="BD12" s="123">
        <v>95.53</v>
      </c>
      <c r="BE12" s="123">
        <v>96.89</v>
      </c>
      <c r="BF12" s="123">
        <v>100.66</v>
      </c>
      <c r="BG12" s="123">
        <v>111.19</v>
      </c>
      <c r="BH12" s="123">
        <v>116.91</v>
      </c>
      <c r="BI12" s="123">
        <v>121.76</v>
      </c>
      <c r="BJ12" s="123">
        <v>121.65</v>
      </c>
      <c r="BK12" s="123">
        <v>120.68</v>
      </c>
    </row>
    <row r="14" spans="1:100" x14ac:dyDescent="0.25">
      <c r="BB14" s="123">
        <v>22.427009728680247</v>
      </c>
      <c r="BC14" s="123">
        <v>15.643055255691056</v>
      </c>
      <c r="BD14" s="123">
        <v>22.427009728680247</v>
      </c>
      <c r="BE14" s="123">
        <v>29.416085950639012</v>
      </c>
      <c r="BF14" s="123">
        <v>27.147317495963826</v>
      </c>
      <c r="BG14" s="123">
        <v>31.338365112469127</v>
      </c>
      <c r="BH14" s="123">
        <v>35.365085811864638</v>
      </c>
      <c r="BI14" s="123">
        <v>53.156702514192588</v>
      </c>
      <c r="BJ14" s="123">
        <v>48.308072965595436</v>
      </c>
      <c r="BK14" s="123">
        <v>42.825485384607887</v>
      </c>
    </row>
    <row r="15" spans="1:100" x14ac:dyDescent="0.25">
      <c r="E15" s="153" t="s">
        <v>166</v>
      </c>
      <c r="F15" s="154">
        <v>30</v>
      </c>
    </row>
    <row r="16" spans="1:100" x14ac:dyDescent="0.25">
      <c r="C16" s="124" t="s">
        <v>158</v>
      </c>
      <c r="D16" s="124" t="s">
        <v>164</v>
      </c>
      <c r="E16" s="153" t="s">
        <v>167</v>
      </c>
      <c r="F16" s="155">
        <v>6.5</v>
      </c>
    </row>
    <row r="17" spans="1:74" x14ac:dyDescent="0.25">
      <c r="B17" s="124" t="s">
        <v>103</v>
      </c>
      <c r="C17" s="124">
        <v>122.3</v>
      </c>
      <c r="D17" s="124">
        <v>118.9</v>
      </c>
      <c r="E17" s="124" t="s">
        <v>168</v>
      </c>
      <c r="F17" s="124">
        <v>11.999999999999998</v>
      </c>
    </row>
    <row r="18" spans="1:74" x14ac:dyDescent="0.25">
      <c r="B18" s="124" t="s">
        <v>149</v>
      </c>
      <c r="C18" s="124">
        <v>122.6</v>
      </c>
      <c r="D18" s="124">
        <v>123.9</v>
      </c>
    </row>
    <row r="19" spans="1:74" x14ac:dyDescent="0.25">
      <c r="B19" s="124" t="s">
        <v>150</v>
      </c>
      <c r="C19" s="124">
        <v>120.68</v>
      </c>
      <c r="D19" s="124">
        <v>110.8</v>
      </c>
      <c r="AZ19" s="123" t="s">
        <v>163</v>
      </c>
      <c r="BA19" s="123">
        <v>5</v>
      </c>
    </row>
    <row r="20" spans="1:74" x14ac:dyDescent="0.25">
      <c r="B20" s="124" t="s">
        <v>160</v>
      </c>
      <c r="C20" s="124">
        <v>122.56</v>
      </c>
      <c r="BA20" s="123">
        <v>19</v>
      </c>
    </row>
    <row r="21" spans="1:74" x14ac:dyDescent="0.25">
      <c r="AZ21" s="123" t="s">
        <v>161</v>
      </c>
      <c r="BA21" s="123">
        <v>1</v>
      </c>
    </row>
    <row r="22" spans="1:74" x14ac:dyDescent="0.25">
      <c r="AZ22" s="123">
        <v>0</v>
      </c>
      <c r="BA22" s="123">
        <v>10</v>
      </c>
    </row>
    <row r="24" spans="1:74" x14ac:dyDescent="0.25">
      <c r="E24" s="124" t="s">
        <v>160</v>
      </c>
    </row>
    <row r="25" spans="1:74" x14ac:dyDescent="0.25">
      <c r="E25" s="124">
        <v>122.56</v>
      </c>
    </row>
    <row r="27" spans="1:74" x14ac:dyDescent="0.25">
      <c r="A27" s="123" t="s">
        <v>145</v>
      </c>
    </row>
    <row r="28" spans="1:74" x14ac:dyDescent="0.25">
      <c r="A28" s="123" t="s">
        <v>144</v>
      </c>
      <c r="C28" s="123" t="s">
        <v>157</v>
      </c>
      <c r="I28" s="123" t="s">
        <v>154</v>
      </c>
      <c r="J28" s="123" t="s">
        <v>154</v>
      </c>
      <c r="K28" s="123" t="s">
        <v>154</v>
      </c>
      <c r="L28" s="123" t="s">
        <v>154</v>
      </c>
      <c r="M28" s="123" t="s">
        <v>154</v>
      </c>
      <c r="N28" s="123" t="s">
        <v>154</v>
      </c>
      <c r="O28" s="123" t="s">
        <v>154</v>
      </c>
      <c r="P28" s="123" t="s">
        <v>154</v>
      </c>
      <c r="Q28" s="123" t="s">
        <v>154</v>
      </c>
      <c r="S28" s="176" t="s">
        <v>165</v>
      </c>
      <c r="T28" s="168"/>
      <c r="U28" s="168"/>
      <c r="V28" s="168"/>
      <c r="W28" s="168"/>
      <c r="X28" s="168"/>
      <c r="Y28" s="168"/>
      <c r="Z28" s="168"/>
      <c r="AA28" s="168"/>
      <c r="AB28" s="169"/>
      <c r="BB28" s="123" t="s">
        <v>154</v>
      </c>
      <c r="BC28" s="123" t="s">
        <v>154</v>
      </c>
      <c r="BD28" s="123" t="s">
        <v>154</v>
      </c>
      <c r="BE28" s="123" t="s">
        <v>154</v>
      </c>
      <c r="BF28" s="123" t="s">
        <v>154</v>
      </c>
      <c r="BG28" s="123" t="s">
        <v>154</v>
      </c>
      <c r="BH28" s="123" t="s">
        <v>154</v>
      </c>
      <c r="BI28" s="123" t="s">
        <v>154</v>
      </c>
      <c r="BJ28" s="123" t="s">
        <v>154</v>
      </c>
      <c r="BK28" s="123" t="s">
        <v>157</v>
      </c>
    </row>
    <row r="29" spans="1:74" x14ac:dyDescent="0.25">
      <c r="A29" s="123" t="s">
        <v>146</v>
      </c>
      <c r="C29" s="123">
        <v>10</v>
      </c>
      <c r="I29" s="123">
        <v>1</v>
      </c>
      <c r="J29" s="123">
        <v>2</v>
      </c>
      <c r="K29" s="123">
        <v>3</v>
      </c>
      <c r="L29" s="123">
        <v>4</v>
      </c>
      <c r="M29" s="123">
        <v>5</v>
      </c>
      <c r="N29" s="123">
        <v>6</v>
      </c>
      <c r="O29" s="123">
        <v>7</v>
      </c>
      <c r="P29" s="123">
        <v>8</v>
      </c>
      <c r="Q29" s="123">
        <v>9</v>
      </c>
      <c r="S29" s="124">
        <v>22.427009728680247</v>
      </c>
      <c r="T29" s="124">
        <v>15.643055255691056</v>
      </c>
      <c r="U29" s="124">
        <v>22.427009728680247</v>
      </c>
      <c r="V29" s="124">
        <v>29.416085950639012</v>
      </c>
      <c r="W29" s="124">
        <v>27.147317495963826</v>
      </c>
      <c r="X29" s="124">
        <v>31.338365112469127</v>
      </c>
      <c r="Y29" s="124">
        <v>35.365085811864638</v>
      </c>
      <c r="Z29" s="124">
        <v>53.156702514192588</v>
      </c>
      <c r="AA29" s="124">
        <v>48.308072965595436</v>
      </c>
      <c r="AB29" s="124">
        <v>42.825485384607887</v>
      </c>
      <c r="BB29" s="123">
        <v>1</v>
      </c>
      <c r="BC29" s="123">
        <v>2</v>
      </c>
      <c r="BD29" s="123">
        <v>3</v>
      </c>
      <c r="BE29" s="123">
        <v>4</v>
      </c>
      <c r="BF29" s="123">
        <v>5</v>
      </c>
      <c r="BG29" s="123">
        <v>6</v>
      </c>
      <c r="BH29" s="123">
        <v>7</v>
      </c>
      <c r="BI29" s="123">
        <v>8</v>
      </c>
      <c r="BJ29" s="123">
        <v>9</v>
      </c>
      <c r="BK29" s="123">
        <v>10</v>
      </c>
      <c r="BM29" s="124">
        <v>22.427009728680247</v>
      </c>
      <c r="BN29" s="124">
        <v>15.643055255691056</v>
      </c>
      <c r="BO29" s="124">
        <v>22.427009728680247</v>
      </c>
      <c r="BP29" s="124">
        <v>29.416085950639012</v>
      </c>
      <c r="BQ29" s="124">
        <v>27.147317495963826</v>
      </c>
      <c r="BR29" s="124">
        <v>31.338365112469127</v>
      </c>
      <c r="BS29" s="124">
        <v>35.365085811864638</v>
      </c>
      <c r="BT29" s="124">
        <v>53.156702514192588</v>
      </c>
      <c r="BU29" s="124">
        <v>48.308072965595436</v>
      </c>
      <c r="BV29" s="124">
        <v>42.825485384607887</v>
      </c>
    </row>
    <row r="30" spans="1:74" x14ac:dyDescent="0.25">
      <c r="A30" s="124" t="s">
        <v>156</v>
      </c>
      <c r="B30" s="124" t="s">
        <v>155</v>
      </c>
      <c r="C30" s="130" t="s">
        <v>71</v>
      </c>
      <c r="E30" s="124" t="s">
        <v>159</v>
      </c>
      <c r="F30" s="124" t="s">
        <v>71</v>
      </c>
      <c r="I30" s="130" t="s">
        <v>63</v>
      </c>
      <c r="J30" s="130" t="s">
        <v>64</v>
      </c>
      <c r="K30" s="130" t="s">
        <v>65</v>
      </c>
      <c r="L30" s="130" t="s">
        <v>66</v>
      </c>
      <c r="M30" s="130" t="s">
        <v>67</v>
      </c>
      <c r="N30" s="130" t="s">
        <v>70</v>
      </c>
      <c r="O30" s="130" t="s">
        <v>68</v>
      </c>
      <c r="P30" s="130" t="s">
        <v>72</v>
      </c>
      <c r="Q30" s="130" t="s">
        <v>69</v>
      </c>
      <c r="S30" s="124" t="s">
        <v>63</v>
      </c>
      <c r="T30" s="124" t="s">
        <v>64</v>
      </c>
      <c r="U30" s="124" t="s">
        <v>65</v>
      </c>
      <c r="V30" s="124" t="s">
        <v>66</v>
      </c>
      <c r="W30" s="124" t="s">
        <v>67</v>
      </c>
      <c r="X30" s="124" t="s">
        <v>70</v>
      </c>
      <c r="Y30" s="124" t="s">
        <v>68</v>
      </c>
      <c r="Z30" s="124" t="s">
        <v>72</v>
      </c>
      <c r="AA30" s="124" t="s">
        <v>69</v>
      </c>
      <c r="AB30" s="124" t="s">
        <v>71</v>
      </c>
      <c r="BB30" s="131" t="s">
        <v>63</v>
      </c>
      <c r="BC30" s="131" t="s">
        <v>64</v>
      </c>
      <c r="BD30" s="131" t="s">
        <v>65</v>
      </c>
      <c r="BE30" s="131" t="s">
        <v>66</v>
      </c>
      <c r="BF30" s="131" t="s">
        <v>67</v>
      </c>
      <c r="BG30" s="131" t="s">
        <v>70</v>
      </c>
      <c r="BH30" s="131" t="s">
        <v>68</v>
      </c>
      <c r="BI30" s="131" t="s">
        <v>72</v>
      </c>
      <c r="BJ30" s="131" t="s">
        <v>69</v>
      </c>
      <c r="BK30" s="131" t="s">
        <v>71</v>
      </c>
      <c r="BM30" s="124" t="s">
        <v>63</v>
      </c>
      <c r="BN30" s="124" t="s">
        <v>64</v>
      </c>
      <c r="BO30" s="124" t="s">
        <v>65</v>
      </c>
      <c r="BP30" s="124" t="s">
        <v>66</v>
      </c>
      <c r="BQ30" s="124" t="s">
        <v>67</v>
      </c>
      <c r="BR30" s="124" t="s">
        <v>70</v>
      </c>
      <c r="BS30" s="124" t="s">
        <v>68</v>
      </c>
      <c r="BT30" s="124" t="s">
        <v>72</v>
      </c>
      <c r="BU30" s="124" t="s">
        <v>69</v>
      </c>
      <c r="BV30" s="124" t="s">
        <v>71</v>
      </c>
    </row>
    <row r="31" spans="1:74" x14ac:dyDescent="0.25">
      <c r="A31" s="132">
        <v>42837</v>
      </c>
      <c r="B31" s="133">
        <v>0.45833333333333331</v>
      </c>
      <c r="C31" s="134">
        <v>31.58</v>
      </c>
      <c r="E31" s="135" t="s">
        <v>169</v>
      </c>
      <c r="F31" s="135">
        <v>31.58</v>
      </c>
      <c r="I31" s="139">
        <v>23.61</v>
      </c>
      <c r="J31" s="139">
        <v>23.08</v>
      </c>
      <c r="K31" s="139">
        <v>23.61</v>
      </c>
      <c r="L31" s="139">
        <v>23.43</v>
      </c>
      <c r="M31" s="139">
        <v>25.22</v>
      </c>
      <c r="N31" s="139">
        <v>27.07</v>
      </c>
      <c r="O31" s="139">
        <v>23.48</v>
      </c>
      <c r="P31" s="139">
        <v>23.81</v>
      </c>
      <c r="Q31" s="139">
        <v>23.51</v>
      </c>
      <c r="S31" s="139">
        <v>0</v>
      </c>
      <c r="T31" s="139">
        <v>0</v>
      </c>
      <c r="U31" s="139">
        <v>0</v>
      </c>
      <c r="V31" s="139">
        <v>0</v>
      </c>
      <c r="W31" s="139">
        <v>0</v>
      </c>
      <c r="X31" s="139">
        <v>0</v>
      </c>
      <c r="Y31" s="139">
        <v>0</v>
      </c>
      <c r="Z31" s="139">
        <v>0</v>
      </c>
      <c r="AA31" s="139">
        <v>0</v>
      </c>
      <c r="AB31" s="139">
        <v>0</v>
      </c>
      <c r="BB31" s="136">
        <v>23.61</v>
      </c>
      <c r="BC31" s="136">
        <v>23.08</v>
      </c>
      <c r="BD31" s="136">
        <v>23.61</v>
      </c>
      <c r="BE31" s="136">
        <v>23.43</v>
      </c>
      <c r="BF31" s="136">
        <v>25.22</v>
      </c>
      <c r="BG31" s="136">
        <v>27.07</v>
      </c>
      <c r="BH31" s="136">
        <v>23.48</v>
      </c>
      <c r="BI31" s="136">
        <v>23.81</v>
      </c>
      <c r="BJ31" s="136">
        <v>23.51</v>
      </c>
      <c r="BK31" s="136">
        <v>31.58</v>
      </c>
      <c r="BM31" s="139">
        <v>0</v>
      </c>
      <c r="BN31" s="139">
        <v>0</v>
      </c>
      <c r="BO31" s="139">
        <v>0</v>
      </c>
      <c r="BP31" s="139">
        <v>0</v>
      </c>
      <c r="BQ31" s="139">
        <v>0</v>
      </c>
      <c r="BR31" s="139">
        <v>0</v>
      </c>
      <c r="BS31" s="139">
        <v>0</v>
      </c>
      <c r="BT31" s="139">
        <v>0</v>
      </c>
      <c r="BU31" s="139">
        <v>0</v>
      </c>
      <c r="BV31" s="139">
        <v>0</v>
      </c>
    </row>
    <row r="32" spans="1:74" x14ac:dyDescent="0.25">
      <c r="A32" s="137">
        <v>42837</v>
      </c>
      <c r="B32" s="138">
        <v>0.45868055555555554</v>
      </c>
      <c r="C32" s="139">
        <v>31.33</v>
      </c>
      <c r="E32" s="140" t="s">
        <v>169</v>
      </c>
      <c r="F32" s="140">
        <v>31.33</v>
      </c>
      <c r="I32" s="139">
        <v>23.53</v>
      </c>
      <c r="J32" s="139">
        <v>22.95</v>
      </c>
      <c r="K32" s="139">
        <v>23.53</v>
      </c>
      <c r="L32" s="139">
        <v>23.32</v>
      </c>
      <c r="M32" s="139">
        <v>25.95</v>
      </c>
      <c r="N32" s="139">
        <v>26.74</v>
      </c>
      <c r="O32" s="139">
        <v>23.75</v>
      </c>
      <c r="P32" s="139">
        <v>24</v>
      </c>
      <c r="Q32" s="139">
        <v>23.58</v>
      </c>
      <c r="S32" s="139">
        <v>8.7492334431232792E-11</v>
      </c>
      <c r="T32" s="139">
        <v>7.6554373084101334E-11</v>
      </c>
      <c r="U32" s="139">
        <v>8.7492334431232792E-11</v>
      </c>
      <c r="V32" s="139">
        <v>8.3362360627552749E-11</v>
      </c>
      <c r="W32" s="139">
        <v>1.5274605566077598E-10</v>
      </c>
      <c r="X32" s="139">
        <v>1.8321878732391611E-10</v>
      </c>
      <c r="Y32" s="139">
        <v>9.2038600073447841E-11</v>
      </c>
      <c r="Z32" s="139">
        <v>9.7492229987902301E-11</v>
      </c>
      <c r="AA32" s="139">
        <v>8.8505447915870997E-11</v>
      </c>
      <c r="AB32" s="139">
        <v>5.2719344819562893E-10</v>
      </c>
      <c r="BB32" s="136">
        <v>23.53</v>
      </c>
      <c r="BC32" s="136">
        <v>22.95</v>
      </c>
      <c r="BD32" s="136">
        <v>23.53</v>
      </c>
      <c r="BE32" s="136">
        <v>23.32</v>
      </c>
      <c r="BF32" s="136">
        <v>25.95</v>
      </c>
      <c r="BG32" s="136">
        <v>26.74</v>
      </c>
      <c r="BH32" s="136">
        <v>23.75</v>
      </c>
      <c r="BI32" s="136">
        <v>24</v>
      </c>
      <c r="BJ32" s="136">
        <v>23.58</v>
      </c>
      <c r="BK32" s="136">
        <v>31.33</v>
      </c>
      <c r="BM32" s="139">
        <v>8.7492334431232792E-11</v>
      </c>
      <c r="BN32" s="139">
        <v>7.6554373084101334E-11</v>
      </c>
      <c r="BO32" s="139">
        <v>8.7492334431232792E-11</v>
      </c>
      <c r="BP32" s="139">
        <v>8.3362360627552749E-11</v>
      </c>
      <c r="BQ32" s="139">
        <v>1.5274605566077598E-10</v>
      </c>
      <c r="BR32" s="139">
        <v>1.8321878732391611E-10</v>
      </c>
      <c r="BS32" s="139">
        <v>9.2038600073447841E-11</v>
      </c>
      <c r="BT32" s="139">
        <v>9.7492229987902301E-11</v>
      </c>
      <c r="BU32" s="139">
        <v>8.8505447915870997E-11</v>
      </c>
      <c r="BV32" s="139">
        <v>5.2719344819562893E-10</v>
      </c>
    </row>
    <row r="33" spans="1:74" x14ac:dyDescent="0.25">
      <c r="A33" s="137">
        <v>42837</v>
      </c>
      <c r="B33" s="138">
        <v>0.45902777777777781</v>
      </c>
      <c r="C33" s="139">
        <v>31.11</v>
      </c>
      <c r="E33" s="140" t="s">
        <v>169</v>
      </c>
      <c r="F33" s="140">
        <v>31.11</v>
      </c>
      <c r="I33" s="139">
        <v>24.33</v>
      </c>
      <c r="J33" s="139">
        <v>22.85</v>
      </c>
      <c r="K33" s="139">
        <v>24.33</v>
      </c>
      <c r="L33" s="139">
        <v>24.6</v>
      </c>
      <c r="M33" s="139">
        <v>25.82</v>
      </c>
      <c r="N33" s="139">
        <v>26.79</v>
      </c>
      <c r="O33" s="139">
        <v>25.57</v>
      </c>
      <c r="P33" s="139">
        <v>24.19</v>
      </c>
      <c r="Q33" s="139">
        <v>23.95</v>
      </c>
      <c r="S33" s="139">
        <v>1.926812564195564E-10</v>
      </c>
      <c r="T33" s="139">
        <v>1.5136615588882284E-10</v>
      </c>
      <c r="U33" s="139">
        <v>1.926812564195564E-10</v>
      </c>
      <c r="V33" s="139">
        <v>1.9529841755596928E-10</v>
      </c>
      <c r="W33" s="139">
        <v>3.0098762513699257E-10</v>
      </c>
      <c r="X33" s="139">
        <v>3.6855914821520356E-10</v>
      </c>
      <c r="Y33" s="139">
        <v>2.3198766605516553E-10</v>
      </c>
      <c r="Z33" s="139">
        <v>1.9934433387318816E-10</v>
      </c>
      <c r="AA33" s="139">
        <v>1.8488169357541749E-10</v>
      </c>
      <c r="AB33" s="139">
        <v>1.0283460672345794E-9</v>
      </c>
      <c r="BB33" s="136">
        <v>24.33</v>
      </c>
      <c r="BC33" s="136">
        <v>22.85</v>
      </c>
      <c r="BD33" s="136">
        <v>24.33</v>
      </c>
      <c r="BE33" s="136">
        <v>24.6</v>
      </c>
      <c r="BF33" s="136">
        <v>25.82</v>
      </c>
      <c r="BG33" s="136">
        <v>26.79</v>
      </c>
      <c r="BH33" s="136">
        <v>25.57</v>
      </c>
      <c r="BI33" s="136">
        <v>24.19</v>
      </c>
      <c r="BJ33" s="136">
        <v>23.95</v>
      </c>
      <c r="BK33" s="136">
        <v>31.11</v>
      </c>
      <c r="BM33" s="139">
        <v>1.926812564195564E-10</v>
      </c>
      <c r="BN33" s="139">
        <v>1.5136615588882284E-10</v>
      </c>
      <c r="BO33" s="139">
        <v>1.926812564195564E-10</v>
      </c>
      <c r="BP33" s="139">
        <v>1.9529841755596928E-10</v>
      </c>
      <c r="BQ33" s="139">
        <v>3.0098762513699257E-10</v>
      </c>
      <c r="BR33" s="139">
        <v>3.6855914821520356E-10</v>
      </c>
      <c r="BS33" s="139">
        <v>2.3198766605516553E-10</v>
      </c>
      <c r="BT33" s="139">
        <v>1.9934433387318816E-10</v>
      </c>
      <c r="BU33" s="139">
        <v>1.8488169357541749E-10</v>
      </c>
      <c r="BV33" s="139">
        <v>1.0283460672345794E-9</v>
      </c>
    </row>
    <row r="34" spans="1:74" x14ac:dyDescent="0.25">
      <c r="A34" s="137">
        <v>42837</v>
      </c>
      <c r="B34" s="138">
        <v>0.45937500000000003</v>
      </c>
      <c r="C34" s="139">
        <v>30.88</v>
      </c>
      <c r="E34" s="140" t="s">
        <v>169</v>
      </c>
      <c r="F34" s="140">
        <v>30.88</v>
      </c>
      <c r="I34" s="139">
        <v>23.96</v>
      </c>
      <c r="J34" s="139">
        <v>25.03</v>
      </c>
      <c r="K34" s="139">
        <v>23.96</v>
      </c>
      <c r="L34" s="139">
        <v>25.63</v>
      </c>
      <c r="M34" s="139">
        <v>25.38</v>
      </c>
      <c r="N34" s="139">
        <v>26.7</v>
      </c>
      <c r="O34" s="139">
        <v>24.08</v>
      </c>
      <c r="P34" s="139">
        <v>24.11</v>
      </c>
      <c r="Q34" s="139">
        <v>23.84</v>
      </c>
      <c r="S34" s="139">
        <v>2.8927967227040273E-10</v>
      </c>
      <c r="T34" s="139">
        <v>2.7495236313962909E-10</v>
      </c>
      <c r="U34" s="139">
        <v>2.8927967227040273E-10</v>
      </c>
      <c r="V34" s="139">
        <v>3.3719436897804676E-10</v>
      </c>
      <c r="W34" s="139">
        <v>4.3494604137794432E-10</v>
      </c>
      <c r="X34" s="139">
        <v>5.5009817560025388E-10</v>
      </c>
      <c r="Y34" s="139">
        <v>3.3129241192303397E-10</v>
      </c>
      <c r="Z34" s="139">
        <v>2.9933742735482514E-10</v>
      </c>
      <c r="AA34" s="139">
        <v>2.7884753441558087E-10</v>
      </c>
      <c r="AB34" s="139">
        <v>1.5036484640627183E-9</v>
      </c>
      <c r="BB34" s="136">
        <v>23.96</v>
      </c>
      <c r="BC34" s="136">
        <v>25.03</v>
      </c>
      <c r="BD34" s="136">
        <v>23.96</v>
      </c>
      <c r="BE34" s="136">
        <v>25.63</v>
      </c>
      <c r="BF34" s="136">
        <v>25.38</v>
      </c>
      <c r="BG34" s="136">
        <v>26.7</v>
      </c>
      <c r="BH34" s="136">
        <v>24.08</v>
      </c>
      <c r="BI34" s="136">
        <v>24.11</v>
      </c>
      <c r="BJ34" s="136">
        <v>23.84</v>
      </c>
      <c r="BK34" s="136">
        <v>30.88</v>
      </c>
      <c r="BM34" s="139">
        <v>2.8927967227040273E-10</v>
      </c>
      <c r="BN34" s="139">
        <v>2.7495236313962909E-10</v>
      </c>
      <c r="BO34" s="139">
        <v>2.8927967227040273E-10</v>
      </c>
      <c r="BP34" s="139">
        <v>3.3719436897804676E-10</v>
      </c>
      <c r="BQ34" s="139">
        <v>4.3494604137794432E-10</v>
      </c>
      <c r="BR34" s="139">
        <v>5.5009817560025388E-10</v>
      </c>
      <c r="BS34" s="139">
        <v>3.3129241192303397E-10</v>
      </c>
      <c r="BT34" s="139">
        <v>2.9933742735482514E-10</v>
      </c>
      <c r="BU34" s="139">
        <v>2.7884753441558087E-10</v>
      </c>
      <c r="BV34" s="139">
        <v>1.5036484640627183E-9</v>
      </c>
    </row>
    <row r="35" spans="1:74" x14ac:dyDescent="0.25">
      <c r="A35" s="137">
        <v>42837</v>
      </c>
      <c r="B35" s="138">
        <v>0.4597222222222222</v>
      </c>
      <c r="C35" s="139">
        <v>30.66</v>
      </c>
      <c r="E35" s="140" t="s">
        <v>169</v>
      </c>
      <c r="F35" s="140">
        <v>30.66</v>
      </c>
      <c r="I35" s="139">
        <v>24.98</v>
      </c>
      <c r="J35" s="139">
        <v>25.46</v>
      </c>
      <c r="K35" s="139">
        <v>24.98</v>
      </c>
      <c r="L35" s="139">
        <v>25.7</v>
      </c>
      <c r="M35" s="139">
        <v>25.01</v>
      </c>
      <c r="N35" s="139">
        <v>27.87</v>
      </c>
      <c r="O35" s="139">
        <v>24.33</v>
      </c>
      <c r="P35" s="139">
        <v>28.81</v>
      </c>
      <c r="Q35" s="139">
        <v>24.07</v>
      </c>
      <c r="S35" s="139">
        <v>4.1145119990510153E-10</v>
      </c>
      <c r="T35" s="139">
        <v>4.1140125228003157E-10</v>
      </c>
      <c r="U35" s="139">
        <v>4.1145119990510153E-10</v>
      </c>
      <c r="V35" s="139">
        <v>4.8139594413437683E-10</v>
      </c>
      <c r="W35" s="139">
        <v>5.5796442158532612E-10</v>
      </c>
      <c r="X35" s="139">
        <v>7.877657885716569E-10</v>
      </c>
      <c r="Y35" s="139">
        <v>4.364813339113576E-10</v>
      </c>
      <c r="Z35" s="139">
        <v>5.9443796744074736E-10</v>
      </c>
      <c r="AA35" s="139">
        <v>3.7792388570583561E-10</v>
      </c>
      <c r="AB35" s="139">
        <v>1.9554732009238684E-9</v>
      </c>
      <c r="BB35" s="136">
        <v>24.98</v>
      </c>
      <c r="BC35" s="136">
        <v>25.46</v>
      </c>
      <c r="BD35" s="136">
        <v>24.98</v>
      </c>
      <c r="BE35" s="136">
        <v>25.7</v>
      </c>
      <c r="BF35" s="136">
        <v>25.01</v>
      </c>
      <c r="BG35" s="136">
        <v>27.87</v>
      </c>
      <c r="BH35" s="136">
        <v>24.33</v>
      </c>
      <c r="BI35" s="136">
        <v>28.81</v>
      </c>
      <c r="BJ35" s="136">
        <v>24.07</v>
      </c>
      <c r="BK35" s="136">
        <v>30.66</v>
      </c>
      <c r="BM35" s="139">
        <v>4.1145119990510153E-10</v>
      </c>
      <c r="BN35" s="139">
        <v>4.1140125228003157E-10</v>
      </c>
      <c r="BO35" s="139">
        <v>4.1145119990510153E-10</v>
      </c>
      <c r="BP35" s="139">
        <v>4.8139594413437683E-10</v>
      </c>
      <c r="BQ35" s="139">
        <v>5.5796442158532612E-10</v>
      </c>
      <c r="BR35" s="139">
        <v>7.877657885716569E-10</v>
      </c>
      <c r="BS35" s="139">
        <v>4.364813339113576E-10</v>
      </c>
      <c r="BT35" s="139">
        <v>5.9443796744074736E-10</v>
      </c>
      <c r="BU35" s="139">
        <v>3.7792388570583561E-10</v>
      </c>
      <c r="BV35" s="139">
        <v>1.9554732009238684E-9</v>
      </c>
    </row>
    <row r="36" spans="1:74" x14ac:dyDescent="0.25">
      <c r="A36" s="137">
        <v>42837</v>
      </c>
      <c r="B36" s="138">
        <v>0.46006944444444442</v>
      </c>
      <c r="C36" s="139">
        <v>30.47</v>
      </c>
      <c r="E36" s="140" t="s">
        <v>169</v>
      </c>
      <c r="F36" s="140">
        <v>30.47</v>
      </c>
      <c r="I36" s="139">
        <v>25.04</v>
      </c>
      <c r="J36" s="139">
        <v>26.09</v>
      </c>
      <c r="K36" s="139">
        <v>25.04</v>
      </c>
      <c r="L36" s="139">
        <v>26.27</v>
      </c>
      <c r="M36" s="139">
        <v>24.78</v>
      </c>
      <c r="N36" s="139">
        <v>27.51</v>
      </c>
      <c r="O36" s="139">
        <v>24.4</v>
      </c>
      <c r="P36" s="139">
        <v>25.25</v>
      </c>
      <c r="Q36" s="139">
        <v>24.18</v>
      </c>
      <c r="S36" s="139">
        <v>5.3532230278676567E-10</v>
      </c>
      <c r="T36" s="139">
        <v>5.6915148344876249E-10</v>
      </c>
      <c r="U36" s="139">
        <v>5.3532230278676567E-10</v>
      </c>
      <c r="V36" s="139">
        <v>6.4582175957236772E-10</v>
      </c>
      <c r="W36" s="139">
        <v>6.7463732469937603E-10</v>
      </c>
      <c r="X36" s="139">
        <v>1.0065268411507832E-9</v>
      </c>
      <c r="Y36" s="139">
        <v>5.4337943838646957E-10</v>
      </c>
      <c r="Z36" s="139">
        <v>7.2444594559901085E-10</v>
      </c>
      <c r="AA36" s="139">
        <v>4.7954173625264691E-10</v>
      </c>
      <c r="AB36" s="139">
        <v>2.3879571603117146E-9</v>
      </c>
      <c r="BB36" s="136">
        <v>25.04</v>
      </c>
      <c r="BC36" s="136">
        <v>26.09</v>
      </c>
      <c r="BD36" s="136">
        <v>25.04</v>
      </c>
      <c r="BE36" s="136">
        <v>26.27</v>
      </c>
      <c r="BF36" s="136">
        <v>24.78</v>
      </c>
      <c r="BG36" s="136">
        <v>27.51</v>
      </c>
      <c r="BH36" s="136">
        <v>24.4</v>
      </c>
      <c r="BI36" s="136">
        <v>25.25</v>
      </c>
      <c r="BJ36" s="136">
        <v>24.18</v>
      </c>
      <c r="BK36" s="136">
        <v>30.47</v>
      </c>
      <c r="BM36" s="139">
        <v>5.3532230278676567E-10</v>
      </c>
      <c r="BN36" s="139">
        <v>5.6915148344876249E-10</v>
      </c>
      <c r="BO36" s="139">
        <v>5.3532230278676567E-10</v>
      </c>
      <c r="BP36" s="139">
        <v>6.4582175957236772E-10</v>
      </c>
      <c r="BQ36" s="139">
        <v>6.7463732469937603E-10</v>
      </c>
      <c r="BR36" s="139">
        <v>1.0065268411507832E-9</v>
      </c>
      <c r="BS36" s="139">
        <v>5.4337943838646957E-10</v>
      </c>
      <c r="BT36" s="139">
        <v>7.2444594559901085E-10</v>
      </c>
      <c r="BU36" s="139">
        <v>4.7954173625264691E-10</v>
      </c>
      <c r="BV36" s="139">
        <v>2.3879571603117146E-9</v>
      </c>
    </row>
    <row r="37" spans="1:74" x14ac:dyDescent="0.25">
      <c r="A37" s="137">
        <v>42837</v>
      </c>
      <c r="B37" s="138">
        <v>0.4604166666666667</v>
      </c>
      <c r="C37" s="139">
        <v>30.28</v>
      </c>
      <c r="E37" s="140" t="s">
        <v>169</v>
      </c>
      <c r="F37" s="140">
        <v>30.28</v>
      </c>
      <c r="I37" s="139">
        <v>24.59</v>
      </c>
      <c r="J37" s="139">
        <v>25.54</v>
      </c>
      <c r="K37" s="139">
        <v>24.59</v>
      </c>
      <c r="L37" s="139">
        <v>25.47</v>
      </c>
      <c r="M37" s="139">
        <v>24.72</v>
      </c>
      <c r="N37" s="139">
        <v>29.8</v>
      </c>
      <c r="O37" s="139">
        <v>24.24</v>
      </c>
      <c r="P37" s="139">
        <v>24.94</v>
      </c>
      <c r="Q37" s="139">
        <v>25.04</v>
      </c>
      <c r="S37" s="139">
        <v>6.4700091392829216E-10</v>
      </c>
      <c r="T37" s="139">
        <v>7.0813714683672622E-10</v>
      </c>
      <c r="U37" s="139">
        <v>6.4700091392829216E-10</v>
      </c>
      <c r="V37" s="139">
        <v>7.8258519588770343E-10</v>
      </c>
      <c r="W37" s="139">
        <v>7.8970941556980113E-10</v>
      </c>
      <c r="X37" s="139">
        <v>1.3771819618012427E-9</v>
      </c>
      <c r="Y37" s="139">
        <v>6.4641093404996949E-10</v>
      </c>
      <c r="Z37" s="139">
        <v>8.4549739793581961E-10</v>
      </c>
      <c r="AA37" s="139">
        <v>6.0341283913431105E-10</v>
      </c>
      <c r="AB37" s="139">
        <v>2.8019282421678816E-9</v>
      </c>
      <c r="BB37" s="136">
        <v>24.59</v>
      </c>
      <c r="BC37" s="136">
        <v>25.54</v>
      </c>
      <c r="BD37" s="136">
        <v>24.59</v>
      </c>
      <c r="BE37" s="136">
        <v>25.47</v>
      </c>
      <c r="BF37" s="136">
        <v>24.72</v>
      </c>
      <c r="BG37" s="136">
        <v>29.8</v>
      </c>
      <c r="BH37" s="136">
        <v>24.24</v>
      </c>
      <c r="BI37" s="136">
        <v>24.94</v>
      </c>
      <c r="BJ37" s="136">
        <v>25.04</v>
      </c>
      <c r="BK37" s="136">
        <v>30.28</v>
      </c>
      <c r="BM37" s="139">
        <v>6.4700091392829216E-10</v>
      </c>
      <c r="BN37" s="139">
        <v>7.0813714683672622E-10</v>
      </c>
      <c r="BO37" s="139">
        <v>6.4700091392829216E-10</v>
      </c>
      <c r="BP37" s="139">
        <v>7.8258519588770343E-10</v>
      </c>
      <c r="BQ37" s="139">
        <v>7.8970941556980113E-10</v>
      </c>
      <c r="BR37" s="139">
        <v>1.3771819618012427E-9</v>
      </c>
      <c r="BS37" s="139">
        <v>6.4641093404996949E-10</v>
      </c>
      <c r="BT37" s="139">
        <v>8.4549739793581961E-10</v>
      </c>
      <c r="BU37" s="139">
        <v>6.0341283913431105E-10</v>
      </c>
      <c r="BV37" s="139">
        <v>2.8019282421678816E-9</v>
      </c>
    </row>
    <row r="38" spans="1:74" x14ac:dyDescent="0.25">
      <c r="A38" s="137">
        <v>42837</v>
      </c>
      <c r="B38" s="138">
        <v>0.46076388888888892</v>
      </c>
      <c r="C38" s="139">
        <v>30.09</v>
      </c>
      <c r="E38" s="140" t="s">
        <v>169</v>
      </c>
      <c r="F38" s="140">
        <v>30.09</v>
      </c>
      <c r="I38" s="139">
        <v>24.27</v>
      </c>
      <c r="J38" s="139">
        <v>25.06</v>
      </c>
      <c r="K38" s="139">
        <v>24.27</v>
      </c>
      <c r="L38" s="139">
        <v>24.85</v>
      </c>
      <c r="M38" s="139">
        <v>24.59</v>
      </c>
      <c r="N38" s="139">
        <v>28.55</v>
      </c>
      <c r="O38" s="139">
        <v>24.89</v>
      </c>
      <c r="P38" s="139">
        <v>24.99</v>
      </c>
      <c r="Q38" s="139">
        <v>27.71</v>
      </c>
      <c r="S38" s="139">
        <v>7.5074658980103745E-10</v>
      </c>
      <c r="T38" s="139">
        <v>8.3258001275084576E-10</v>
      </c>
      <c r="U38" s="139">
        <v>7.5074658980103745E-10</v>
      </c>
      <c r="V38" s="139">
        <v>9.0115388117078612E-10</v>
      </c>
      <c r="W38" s="139">
        <v>9.0138802671132762E-10</v>
      </c>
      <c r="X38" s="139">
        <v>1.6551340904364443E-9</v>
      </c>
      <c r="Y38" s="139">
        <v>7.6607672187023921E-10</v>
      </c>
      <c r="Z38" s="139">
        <v>9.6795056002805628E-10</v>
      </c>
      <c r="AA38" s="139">
        <v>8.3248378249157801E-10</v>
      </c>
      <c r="AB38" s="139">
        <v>3.1981789074081178E-9</v>
      </c>
      <c r="BB38" s="136">
        <v>24.27</v>
      </c>
      <c r="BC38" s="136">
        <v>25.06</v>
      </c>
      <c r="BD38" s="136">
        <v>24.27</v>
      </c>
      <c r="BE38" s="136">
        <v>24.85</v>
      </c>
      <c r="BF38" s="136">
        <v>24.59</v>
      </c>
      <c r="BG38" s="136">
        <v>28.55</v>
      </c>
      <c r="BH38" s="136">
        <v>24.89</v>
      </c>
      <c r="BI38" s="136">
        <v>24.99</v>
      </c>
      <c r="BJ38" s="136">
        <v>27.71</v>
      </c>
      <c r="BK38" s="136">
        <v>30.09</v>
      </c>
      <c r="BM38" s="139">
        <v>7.5074658980103745E-10</v>
      </c>
      <c r="BN38" s="139">
        <v>8.3258001275084576E-10</v>
      </c>
      <c r="BO38" s="139">
        <v>7.5074658980103745E-10</v>
      </c>
      <c r="BP38" s="139">
        <v>9.0115388117078612E-10</v>
      </c>
      <c r="BQ38" s="139">
        <v>9.0138802671132762E-10</v>
      </c>
      <c r="BR38" s="139">
        <v>1.6551340904364443E-9</v>
      </c>
      <c r="BS38" s="139">
        <v>7.6607672187023921E-10</v>
      </c>
      <c r="BT38" s="139">
        <v>9.6795056002805628E-10</v>
      </c>
      <c r="BU38" s="139">
        <v>8.3248378249157801E-10</v>
      </c>
      <c r="BV38" s="139">
        <v>3.1981789074081178E-9</v>
      </c>
    </row>
    <row r="39" spans="1:74" x14ac:dyDescent="0.25">
      <c r="A39" s="137">
        <v>42837</v>
      </c>
      <c r="B39" s="138">
        <v>0.46111111111111108</v>
      </c>
      <c r="C39" s="139">
        <v>30.03</v>
      </c>
      <c r="E39" s="140" t="s">
        <v>169</v>
      </c>
      <c r="F39" s="140">
        <v>30.03</v>
      </c>
      <c r="I39" s="139">
        <v>24.13</v>
      </c>
      <c r="J39" s="139">
        <v>25.33</v>
      </c>
      <c r="K39" s="139">
        <v>24.13</v>
      </c>
      <c r="L39" s="139">
        <v>24.4</v>
      </c>
      <c r="M39" s="139">
        <v>24.45</v>
      </c>
      <c r="N39" s="139">
        <v>27.29</v>
      </c>
      <c r="O39" s="139">
        <v>23.99</v>
      </c>
      <c r="P39" s="139">
        <v>26.2</v>
      </c>
      <c r="Q39" s="139">
        <v>26.99</v>
      </c>
      <c r="S39" s="139">
        <v>8.5120123043147376E-10</v>
      </c>
      <c r="T39" s="139">
        <v>9.6500501968118051E-10</v>
      </c>
      <c r="U39" s="139">
        <v>8.5120123043147376E-10</v>
      </c>
      <c r="V39" s="139">
        <v>1.0080519856458981E-9</v>
      </c>
      <c r="W39" s="139">
        <v>1.0095239528976787E-9</v>
      </c>
      <c r="X39" s="139">
        <v>1.8630893956834546E-9</v>
      </c>
      <c r="Y39" s="139">
        <v>8.6334472595137195E-10</v>
      </c>
      <c r="Z39" s="139">
        <v>1.1297473884928706E-9</v>
      </c>
      <c r="AA39" s="139">
        <v>1.0265589654869021E-9</v>
      </c>
      <c r="AB39" s="139">
        <v>3.5889928097022827E-9</v>
      </c>
      <c r="BB39" s="136">
        <v>24.13</v>
      </c>
      <c r="BC39" s="136">
        <v>25.33</v>
      </c>
      <c r="BD39" s="136">
        <v>24.13</v>
      </c>
      <c r="BE39" s="136">
        <v>24.4</v>
      </c>
      <c r="BF39" s="136">
        <v>24.45</v>
      </c>
      <c r="BG39" s="136">
        <v>27.29</v>
      </c>
      <c r="BH39" s="136">
        <v>23.99</v>
      </c>
      <c r="BI39" s="136">
        <v>26.2</v>
      </c>
      <c r="BJ39" s="136">
        <v>26.99</v>
      </c>
      <c r="BK39" s="136">
        <v>30.03</v>
      </c>
      <c r="BM39" s="139">
        <v>8.5120123043147376E-10</v>
      </c>
      <c r="BN39" s="139">
        <v>9.6500501968118051E-10</v>
      </c>
      <c r="BO39" s="139">
        <v>8.5120123043147376E-10</v>
      </c>
      <c r="BP39" s="139">
        <v>1.0080519856458981E-9</v>
      </c>
      <c r="BQ39" s="139">
        <v>1.0095239528976787E-9</v>
      </c>
      <c r="BR39" s="139">
        <v>1.8630893956834546E-9</v>
      </c>
      <c r="BS39" s="139">
        <v>8.6334472595137195E-10</v>
      </c>
      <c r="BT39" s="139">
        <v>1.1297473884928706E-9</v>
      </c>
      <c r="BU39" s="139">
        <v>1.0265589654869021E-9</v>
      </c>
      <c r="BV39" s="139">
        <v>3.5889928097022827E-9</v>
      </c>
    </row>
    <row r="40" spans="1:74" x14ac:dyDescent="0.25">
      <c r="A40" s="137">
        <v>42837</v>
      </c>
      <c r="B40" s="138">
        <v>0.4614583333333333</v>
      </c>
      <c r="C40" s="139">
        <v>29.96</v>
      </c>
      <c r="E40" s="140" t="s">
        <v>169</v>
      </c>
      <c r="F40" s="140">
        <v>29.96</v>
      </c>
      <c r="I40" s="139">
        <v>23.77</v>
      </c>
      <c r="J40" s="139">
        <v>18.62</v>
      </c>
      <c r="K40" s="139">
        <v>23.77</v>
      </c>
      <c r="L40" s="139">
        <v>24.05</v>
      </c>
      <c r="M40" s="139">
        <v>24.13</v>
      </c>
      <c r="N40" s="139">
        <v>26.15</v>
      </c>
      <c r="O40" s="139">
        <v>23.23</v>
      </c>
      <c r="P40" s="139">
        <v>23.53</v>
      </c>
      <c r="Q40" s="139">
        <v>23.53</v>
      </c>
      <c r="S40" s="139">
        <v>9.4366466138037719E-10</v>
      </c>
      <c r="T40" s="139">
        <v>9.9325186842179555E-10</v>
      </c>
      <c r="U40" s="139">
        <v>9.4366466138037719E-10</v>
      </c>
      <c r="V40" s="139">
        <v>1.1066731224516404E-9</v>
      </c>
      <c r="W40" s="139">
        <v>1.109978593528115E-9</v>
      </c>
      <c r="X40" s="139">
        <v>2.0230341511680244E-9</v>
      </c>
      <c r="Y40" s="139">
        <v>9.4499732334608868E-10</v>
      </c>
      <c r="Z40" s="139">
        <v>1.2172397229241033E-9</v>
      </c>
      <c r="AA40" s="139">
        <v>1.1140512999181349E-9</v>
      </c>
      <c r="AB40" s="139">
        <v>3.9735580298455875E-9</v>
      </c>
      <c r="BB40" s="136">
        <v>23.77</v>
      </c>
      <c r="BC40" s="136">
        <v>18.62</v>
      </c>
      <c r="BD40" s="136">
        <v>23.77</v>
      </c>
      <c r="BE40" s="136">
        <v>24.05</v>
      </c>
      <c r="BF40" s="136">
        <v>24.13</v>
      </c>
      <c r="BG40" s="136">
        <v>26.15</v>
      </c>
      <c r="BH40" s="136">
        <v>23.23</v>
      </c>
      <c r="BI40" s="136">
        <v>23.53</v>
      </c>
      <c r="BJ40" s="136">
        <v>23.53</v>
      </c>
      <c r="BK40" s="136">
        <v>29.96</v>
      </c>
      <c r="BM40" s="139">
        <v>9.4366466138037719E-10</v>
      </c>
      <c r="BN40" s="139">
        <v>9.9325186842179555E-10</v>
      </c>
      <c r="BO40" s="139">
        <v>9.4366466138037719E-10</v>
      </c>
      <c r="BP40" s="139">
        <v>1.1066731224516404E-9</v>
      </c>
      <c r="BQ40" s="139">
        <v>1.109978593528115E-9</v>
      </c>
      <c r="BR40" s="139">
        <v>2.0230341511680244E-9</v>
      </c>
      <c r="BS40" s="139">
        <v>9.4499732334608868E-10</v>
      </c>
      <c r="BT40" s="139">
        <v>1.2172397229241033E-9</v>
      </c>
      <c r="BU40" s="139">
        <v>1.1140512999181349E-9</v>
      </c>
      <c r="BV40" s="139">
        <v>3.9735580298455875E-9</v>
      </c>
    </row>
    <row r="41" spans="1:74" x14ac:dyDescent="0.25">
      <c r="A41" s="137">
        <v>42837</v>
      </c>
      <c r="B41" s="138">
        <v>0.46180555555555558</v>
      </c>
      <c r="C41" s="139">
        <v>29.8</v>
      </c>
      <c r="E41" s="140" t="s">
        <v>169</v>
      </c>
      <c r="F41" s="140">
        <v>29.8</v>
      </c>
      <c r="I41" s="139">
        <v>23.44</v>
      </c>
      <c r="J41" s="139">
        <v>18.399999999999999</v>
      </c>
      <c r="K41" s="139">
        <v>23.44</v>
      </c>
      <c r="L41" s="139">
        <v>23.81</v>
      </c>
      <c r="M41" s="139">
        <v>23.79</v>
      </c>
      <c r="N41" s="139">
        <v>25.63</v>
      </c>
      <c r="O41" s="139">
        <v>23.05</v>
      </c>
      <c r="P41" s="139">
        <v>23.14</v>
      </c>
      <c r="Q41" s="139">
        <v>23.02</v>
      </c>
      <c r="S41" s="139">
        <v>1.0293625267557982E-9</v>
      </c>
      <c r="T41" s="139">
        <v>1.0201034582403082E-9</v>
      </c>
      <c r="U41" s="139">
        <v>1.0293625267557982E-9</v>
      </c>
      <c r="V41" s="139">
        <v>1.199992106993374E-9</v>
      </c>
      <c r="W41" s="139">
        <v>1.2028688162826999E-9</v>
      </c>
      <c r="X41" s="139">
        <v>2.1649301025901018E-9</v>
      </c>
      <c r="Y41" s="139">
        <v>1.0233348768514959E-9</v>
      </c>
      <c r="Z41" s="139">
        <v>1.2972176243548368E-9</v>
      </c>
      <c r="AA41" s="139">
        <v>1.1918495814983884E-9</v>
      </c>
      <c r="AB41" s="139">
        <v>4.344213150496047E-9</v>
      </c>
      <c r="BB41" s="136">
        <v>23.44</v>
      </c>
      <c r="BC41" s="136">
        <v>18.399999999999999</v>
      </c>
      <c r="BD41" s="136">
        <v>23.44</v>
      </c>
      <c r="BE41" s="136">
        <v>23.81</v>
      </c>
      <c r="BF41" s="136">
        <v>23.79</v>
      </c>
      <c r="BG41" s="136">
        <v>25.63</v>
      </c>
      <c r="BH41" s="136">
        <v>23.05</v>
      </c>
      <c r="BI41" s="136">
        <v>23.14</v>
      </c>
      <c r="BJ41" s="136">
        <v>23.02</v>
      </c>
      <c r="BK41" s="136">
        <v>29.8</v>
      </c>
      <c r="BM41" s="139">
        <v>1.0293625267557982E-9</v>
      </c>
      <c r="BN41" s="139">
        <v>1.0201034582403082E-9</v>
      </c>
      <c r="BO41" s="139">
        <v>1.0293625267557982E-9</v>
      </c>
      <c r="BP41" s="139">
        <v>1.199992106993374E-9</v>
      </c>
      <c r="BQ41" s="139">
        <v>1.2028688162826999E-9</v>
      </c>
      <c r="BR41" s="139">
        <v>2.1649301025901018E-9</v>
      </c>
      <c r="BS41" s="139">
        <v>1.0233348768514959E-9</v>
      </c>
      <c r="BT41" s="139">
        <v>1.2972176243548368E-9</v>
      </c>
      <c r="BU41" s="139">
        <v>1.1918495814983884E-9</v>
      </c>
      <c r="BV41" s="139">
        <v>4.344213150496047E-9</v>
      </c>
    </row>
    <row r="42" spans="1:74" x14ac:dyDescent="0.25">
      <c r="A42" s="137">
        <v>42837</v>
      </c>
      <c r="B42" s="138">
        <v>0.4621527777777778</v>
      </c>
      <c r="C42" s="139">
        <v>29.62</v>
      </c>
      <c r="E42" s="140" t="s">
        <v>169</v>
      </c>
      <c r="F42" s="140">
        <v>29.62</v>
      </c>
      <c r="I42" s="139">
        <v>23.19</v>
      </c>
      <c r="J42" s="139">
        <v>18.38</v>
      </c>
      <c r="K42" s="139">
        <v>23.19</v>
      </c>
      <c r="L42" s="139">
        <v>23.69</v>
      </c>
      <c r="M42" s="139">
        <v>23.54</v>
      </c>
      <c r="N42" s="139">
        <v>25.05</v>
      </c>
      <c r="O42" s="139">
        <v>22.75</v>
      </c>
      <c r="P42" s="139">
        <v>22.86</v>
      </c>
      <c r="Q42" s="139">
        <v>22.66</v>
      </c>
      <c r="S42" s="139">
        <v>1.1102665286379512E-9</v>
      </c>
      <c r="T42" s="139">
        <v>1.0468316762101567E-9</v>
      </c>
      <c r="U42" s="139">
        <v>1.1102665286379512E-9</v>
      </c>
      <c r="V42" s="139">
        <v>1.2907678901320308E-9</v>
      </c>
      <c r="W42" s="139">
        <v>1.2905628413747876E-9</v>
      </c>
      <c r="X42" s="139">
        <v>2.2890867578548796E-9</v>
      </c>
      <c r="Y42" s="139">
        <v>1.096443735574332E-9</v>
      </c>
      <c r="Z42" s="139">
        <v>1.3722018661299554E-9</v>
      </c>
      <c r="AA42" s="139">
        <v>1.2634589764620655E-9</v>
      </c>
      <c r="AB42" s="139">
        <v>4.6998199073227119E-9</v>
      </c>
      <c r="BB42" s="136">
        <v>23.19</v>
      </c>
      <c r="BC42" s="136">
        <v>18.38</v>
      </c>
      <c r="BD42" s="136">
        <v>23.19</v>
      </c>
      <c r="BE42" s="136">
        <v>23.69</v>
      </c>
      <c r="BF42" s="136">
        <v>23.54</v>
      </c>
      <c r="BG42" s="136">
        <v>25.05</v>
      </c>
      <c r="BH42" s="136">
        <v>22.75</v>
      </c>
      <c r="BI42" s="136">
        <v>22.86</v>
      </c>
      <c r="BJ42" s="136">
        <v>22.66</v>
      </c>
      <c r="BK42" s="136">
        <v>29.62</v>
      </c>
      <c r="BM42" s="139">
        <v>1.1102665286379512E-9</v>
      </c>
      <c r="BN42" s="139">
        <v>1.0468316762101567E-9</v>
      </c>
      <c r="BO42" s="139">
        <v>1.1102665286379512E-9</v>
      </c>
      <c r="BP42" s="139">
        <v>1.2907678901320308E-9</v>
      </c>
      <c r="BQ42" s="139">
        <v>1.2905628413747876E-9</v>
      </c>
      <c r="BR42" s="139">
        <v>2.2890867578548796E-9</v>
      </c>
      <c r="BS42" s="139">
        <v>1.096443735574332E-9</v>
      </c>
      <c r="BT42" s="139">
        <v>1.3722018661299554E-9</v>
      </c>
      <c r="BU42" s="139">
        <v>1.2634589764620655E-9</v>
      </c>
      <c r="BV42" s="139">
        <v>4.6998199073227119E-9</v>
      </c>
    </row>
    <row r="43" spans="1:74" x14ac:dyDescent="0.25">
      <c r="A43" s="137">
        <v>42837</v>
      </c>
      <c r="B43" s="138">
        <v>0.46249999999999997</v>
      </c>
      <c r="C43" s="139">
        <v>29.42</v>
      </c>
      <c r="E43" s="140" t="s">
        <v>169</v>
      </c>
      <c r="F43" s="140">
        <v>29.42</v>
      </c>
      <c r="I43" s="139">
        <v>22.41</v>
      </c>
      <c r="J43" s="139">
        <v>18.41</v>
      </c>
      <c r="K43" s="139">
        <v>22.41</v>
      </c>
      <c r="L43" s="139">
        <v>21.13</v>
      </c>
      <c r="M43" s="139">
        <v>23.36</v>
      </c>
      <c r="N43" s="139">
        <v>24.85</v>
      </c>
      <c r="O43" s="139">
        <v>22.94</v>
      </c>
      <c r="P43" s="139">
        <v>23.03</v>
      </c>
      <c r="Q43" s="139">
        <v>22.83</v>
      </c>
      <c r="S43" s="139">
        <v>1.177870156797665E-9</v>
      </c>
      <c r="T43" s="139">
        <v>1.073745165335971E-9</v>
      </c>
      <c r="U43" s="139">
        <v>1.177870156797665E-9</v>
      </c>
      <c r="V43" s="139">
        <v>1.3411144735746209E-9</v>
      </c>
      <c r="W43" s="139">
        <v>1.3746965444283107E-9</v>
      </c>
      <c r="X43" s="139">
        <v>2.4076554431379625E-9</v>
      </c>
      <c r="Y43" s="139">
        <v>1.1728220384862356E-9</v>
      </c>
      <c r="Z43" s="139">
        <v>1.450179491271303E-9</v>
      </c>
      <c r="AA43" s="139">
        <v>1.337927030347611E-9</v>
      </c>
      <c r="AB43" s="139">
        <v>5.0394217236313044E-9</v>
      </c>
      <c r="BB43" s="136">
        <v>22.41</v>
      </c>
      <c r="BC43" s="136">
        <v>18.41</v>
      </c>
      <c r="BD43" s="136">
        <v>22.41</v>
      </c>
      <c r="BE43" s="136">
        <v>21.13</v>
      </c>
      <c r="BF43" s="136">
        <v>23.36</v>
      </c>
      <c r="BG43" s="136">
        <v>24.85</v>
      </c>
      <c r="BH43" s="136">
        <v>22.94</v>
      </c>
      <c r="BI43" s="136">
        <v>23.03</v>
      </c>
      <c r="BJ43" s="136">
        <v>22.83</v>
      </c>
      <c r="BK43" s="136">
        <v>29.42</v>
      </c>
      <c r="BM43" s="139">
        <v>1.177870156797665E-9</v>
      </c>
      <c r="BN43" s="139">
        <v>1.073745165335971E-9</v>
      </c>
      <c r="BO43" s="139">
        <v>1.177870156797665E-9</v>
      </c>
      <c r="BP43" s="139">
        <v>1.3411144735746209E-9</v>
      </c>
      <c r="BQ43" s="139">
        <v>1.3746965444283107E-9</v>
      </c>
      <c r="BR43" s="139">
        <v>2.4076554431379625E-9</v>
      </c>
      <c r="BS43" s="139">
        <v>1.1728220384862356E-9</v>
      </c>
      <c r="BT43" s="139">
        <v>1.450179491271303E-9</v>
      </c>
      <c r="BU43" s="139">
        <v>1.337927030347611E-9</v>
      </c>
      <c r="BV43" s="139">
        <v>5.0394217236313044E-9</v>
      </c>
    </row>
    <row r="44" spans="1:74" x14ac:dyDescent="0.25">
      <c r="A44" s="137">
        <v>42837</v>
      </c>
      <c r="B44" s="138">
        <v>0.46284722222222219</v>
      </c>
      <c r="C44" s="139">
        <v>29.23</v>
      </c>
      <c r="E44" s="140" t="s">
        <v>169</v>
      </c>
      <c r="F44" s="140">
        <v>29.23</v>
      </c>
      <c r="I44" s="139">
        <v>19</v>
      </c>
      <c r="J44" s="139">
        <v>18.41</v>
      </c>
      <c r="K44" s="139">
        <v>19</v>
      </c>
      <c r="L44" s="139">
        <v>18.920000000000002</v>
      </c>
      <c r="M44" s="139">
        <v>22.21</v>
      </c>
      <c r="N44" s="139">
        <v>25.1</v>
      </c>
      <c r="O44" s="139">
        <v>23.09</v>
      </c>
      <c r="P44" s="139">
        <v>23.12</v>
      </c>
      <c r="Q44" s="139">
        <v>22.93</v>
      </c>
      <c r="S44" s="139">
        <v>1.2086999068907391E-9</v>
      </c>
      <c r="T44" s="139">
        <v>1.1006586544617853E-9</v>
      </c>
      <c r="U44" s="139">
        <v>1.2086999068907391E-9</v>
      </c>
      <c r="V44" s="139">
        <v>1.3713815173123165E-9</v>
      </c>
      <c r="W44" s="139">
        <v>1.4392575081089873E-9</v>
      </c>
      <c r="X44" s="139">
        <v>2.5332497647134413E-9</v>
      </c>
      <c r="Y44" s="139">
        <v>1.2518844404497548E-9</v>
      </c>
      <c r="Z44" s="139">
        <v>1.5297899276238617E-9</v>
      </c>
      <c r="AA44" s="139">
        <v>1.4141296680374757E-9</v>
      </c>
      <c r="AB44" s="139">
        <v>5.3644865688028498E-9</v>
      </c>
      <c r="BB44" s="136">
        <v>19</v>
      </c>
      <c r="BC44" s="136">
        <v>18.41</v>
      </c>
      <c r="BD44" s="136">
        <v>19</v>
      </c>
      <c r="BE44" s="136">
        <v>18.920000000000002</v>
      </c>
      <c r="BF44" s="136">
        <v>22.21</v>
      </c>
      <c r="BG44" s="136">
        <v>25.1</v>
      </c>
      <c r="BH44" s="136">
        <v>23.09</v>
      </c>
      <c r="BI44" s="136">
        <v>23.12</v>
      </c>
      <c r="BJ44" s="136">
        <v>22.93</v>
      </c>
      <c r="BK44" s="136">
        <v>29.23</v>
      </c>
      <c r="BM44" s="139">
        <v>1.2086999068907391E-9</v>
      </c>
      <c r="BN44" s="139">
        <v>1.1006586544617853E-9</v>
      </c>
      <c r="BO44" s="139">
        <v>1.2086999068907391E-9</v>
      </c>
      <c r="BP44" s="139">
        <v>1.3713815173123165E-9</v>
      </c>
      <c r="BQ44" s="139">
        <v>1.4392575081089873E-9</v>
      </c>
      <c r="BR44" s="139">
        <v>2.5332497647134413E-9</v>
      </c>
      <c r="BS44" s="139">
        <v>1.2518844404497548E-9</v>
      </c>
      <c r="BT44" s="139">
        <v>1.5297899276238617E-9</v>
      </c>
      <c r="BU44" s="139">
        <v>1.4141296680374757E-9</v>
      </c>
      <c r="BV44" s="139">
        <v>5.3644865688028498E-9</v>
      </c>
    </row>
    <row r="45" spans="1:74" x14ac:dyDescent="0.25">
      <c r="A45" s="137">
        <v>42837</v>
      </c>
      <c r="B45" s="138">
        <v>0.46319444444444446</v>
      </c>
      <c r="C45" s="139">
        <v>29.04</v>
      </c>
      <c r="E45" s="140" t="s">
        <v>169</v>
      </c>
      <c r="F45" s="140">
        <v>29.04</v>
      </c>
      <c r="I45" s="139">
        <v>18.739999999999998</v>
      </c>
      <c r="J45" s="139">
        <v>18.43</v>
      </c>
      <c r="K45" s="139">
        <v>18.739999999999998</v>
      </c>
      <c r="L45" s="139">
        <v>18.84</v>
      </c>
      <c r="M45" s="139">
        <v>20.43</v>
      </c>
      <c r="N45" s="139">
        <v>20.12</v>
      </c>
      <c r="O45" s="139">
        <v>20.66</v>
      </c>
      <c r="P45" s="139">
        <v>23.04</v>
      </c>
      <c r="Q45" s="139">
        <v>22.87</v>
      </c>
      <c r="S45" s="139">
        <v>1.2377381277668047E-9</v>
      </c>
      <c r="T45" s="139">
        <v>1.1276963706090644E-9</v>
      </c>
      <c r="U45" s="139">
        <v>1.2377381277668047E-9</v>
      </c>
      <c r="V45" s="139">
        <v>1.4010961252430952E-9</v>
      </c>
      <c r="W45" s="139">
        <v>1.482109400370506E-9</v>
      </c>
      <c r="X45" s="139">
        <v>2.5731494990768402E-9</v>
      </c>
      <c r="Y45" s="139">
        <v>1.2970669141358698E-9</v>
      </c>
      <c r="Z45" s="139">
        <v>1.6079473097559092E-9</v>
      </c>
      <c r="AA45" s="139">
        <v>1.4892867663419768E-9</v>
      </c>
      <c r="AB45" s="139">
        <v>5.6756367113874289E-9</v>
      </c>
      <c r="BB45" s="136">
        <v>18.739999999999998</v>
      </c>
      <c r="BC45" s="136">
        <v>18.43</v>
      </c>
      <c r="BD45" s="136">
        <v>18.739999999999998</v>
      </c>
      <c r="BE45" s="136">
        <v>18.84</v>
      </c>
      <c r="BF45" s="136">
        <v>20.43</v>
      </c>
      <c r="BG45" s="136">
        <v>20.12</v>
      </c>
      <c r="BH45" s="136">
        <v>20.66</v>
      </c>
      <c r="BI45" s="136">
        <v>23.04</v>
      </c>
      <c r="BJ45" s="136">
        <v>22.87</v>
      </c>
      <c r="BK45" s="136">
        <v>29.04</v>
      </c>
      <c r="BM45" s="139">
        <v>1.2377381277668047E-9</v>
      </c>
      <c r="BN45" s="139">
        <v>1.1276963706090644E-9</v>
      </c>
      <c r="BO45" s="139">
        <v>1.2377381277668047E-9</v>
      </c>
      <c r="BP45" s="139">
        <v>1.4010961252430952E-9</v>
      </c>
      <c r="BQ45" s="139">
        <v>1.482109400370506E-9</v>
      </c>
      <c r="BR45" s="139">
        <v>2.5731494990768402E-9</v>
      </c>
      <c r="BS45" s="139">
        <v>1.2970669141358698E-9</v>
      </c>
      <c r="BT45" s="139">
        <v>1.6079473097559092E-9</v>
      </c>
      <c r="BU45" s="139">
        <v>1.4892867663419768E-9</v>
      </c>
      <c r="BV45" s="139">
        <v>5.6756367113874289E-9</v>
      </c>
    </row>
    <row r="46" spans="1:74" x14ac:dyDescent="0.25">
      <c r="A46" s="137">
        <v>42837</v>
      </c>
      <c r="B46" s="138">
        <v>0.46354166666666669</v>
      </c>
      <c r="C46" s="139">
        <v>28.87</v>
      </c>
      <c r="E46" s="140" t="s">
        <v>169</v>
      </c>
      <c r="F46" s="140">
        <v>28.87</v>
      </c>
      <c r="I46" s="139">
        <v>18.850000000000001</v>
      </c>
      <c r="J46" s="139">
        <v>18.47</v>
      </c>
      <c r="K46" s="139">
        <v>18.850000000000001</v>
      </c>
      <c r="L46" s="139">
        <v>19.02</v>
      </c>
      <c r="M46" s="139">
        <v>20.239999999999998</v>
      </c>
      <c r="N46" s="139">
        <v>20</v>
      </c>
      <c r="O46" s="139">
        <v>20.2</v>
      </c>
      <c r="P46" s="139">
        <v>24.23</v>
      </c>
      <c r="Q46" s="139">
        <v>23.99</v>
      </c>
      <c r="S46" s="139">
        <v>1.2675212349432552E-9</v>
      </c>
      <c r="T46" s="139">
        <v>1.1549842636636278E-9</v>
      </c>
      <c r="U46" s="139">
        <v>1.2675212349432552E-9</v>
      </c>
      <c r="V46" s="139">
        <v>1.4320681789969341E-9</v>
      </c>
      <c r="W46" s="139">
        <v>1.5231269775869968E-9</v>
      </c>
      <c r="X46" s="139">
        <v>2.6119618549082746E-9</v>
      </c>
      <c r="Y46" s="139">
        <v>1.3377084399440747E-9</v>
      </c>
      <c r="Z46" s="139">
        <v>1.7107418395551162E-9</v>
      </c>
      <c r="AA46" s="139">
        <v>1.5865547704231095E-9</v>
      </c>
      <c r="AB46" s="139">
        <v>5.9748425089175893E-9</v>
      </c>
      <c r="BB46" s="136">
        <v>18.850000000000001</v>
      </c>
      <c r="BC46" s="136">
        <v>18.47</v>
      </c>
      <c r="BD46" s="136">
        <v>18.850000000000001</v>
      </c>
      <c r="BE46" s="136">
        <v>19.02</v>
      </c>
      <c r="BF46" s="136">
        <v>20.239999999999998</v>
      </c>
      <c r="BG46" s="136">
        <v>20</v>
      </c>
      <c r="BH46" s="136">
        <v>20.2</v>
      </c>
      <c r="BI46" s="136">
        <v>24.23</v>
      </c>
      <c r="BJ46" s="136">
        <v>23.99</v>
      </c>
      <c r="BK46" s="136">
        <v>28.87</v>
      </c>
      <c r="BM46" s="139">
        <v>1.2675212349432552E-9</v>
      </c>
      <c r="BN46" s="139">
        <v>1.1549842636636278E-9</v>
      </c>
      <c r="BO46" s="139">
        <v>1.2675212349432552E-9</v>
      </c>
      <c r="BP46" s="139">
        <v>1.4320681789969341E-9</v>
      </c>
      <c r="BQ46" s="139">
        <v>1.5231269775869968E-9</v>
      </c>
      <c r="BR46" s="139">
        <v>2.6119618549082746E-9</v>
      </c>
      <c r="BS46" s="139">
        <v>1.3377084399440747E-9</v>
      </c>
      <c r="BT46" s="139">
        <v>1.7107418395551162E-9</v>
      </c>
      <c r="BU46" s="139">
        <v>1.5865547704231095E-9</v>
      </c>
      <c r="BV46" s="139">
        <v>5.9748425089175893E-9</v>
      </c>
    </row>
    <row r="47" spans="1:74" x14ac:dyDescent="0.25">
      <c r="A47" s="137">
        <v>42837</v>
      </c>
      <c r="B47" s="138">
        <v>0.46388888888888885</v>
      </c>
      <c r="C47" s="139">
        <v>28.7</v>
      </c>
      <c r="E47" s="140" t="s">
        <v>169</v>
      </c>
      <c r="F47" s="140">
        <v>28.7</v>
      </c>
      <c r="I47" s="139">
        <v>18.899999999999999</v>
      </c>
      <c r="J47" s="139">
        <v>18.52</v>
      </c>
      <c r="K47" s="139">
        <v>18.899999999999999</v>
      </c>
      <c r="L47" s="139">
        <v>19.18</v>
      </c>
      <c r="M47" s="139">
        <v>20.23</v>
      </c>
      <c r="N47" s="139">
        <v>20</v>
      </c>
      <c r="O47" s="139">
        <v>20.62</v>
      </c>
      <c r="P47" s="139">
        <v>24.13</v>
      </c>
      <c r="Q47" s="139">
        <v>23.9</v>
      </c>
      <c r="S47" s="139">
        <v>1.2976492142469731E-9</v>
      </c>
      <c r="T47" s="139">
        <v>1.1825881356276657E-9</v>
      </c>
      <c r="U47" s="139">
        <v>1.2976492142469731E-9</v>
      </c>
      <c r="V47" s="139">
        <v>1.4642025648627851E-9</v>
      </c>
      <c r="W47" s="139">
        <v>1.5640502169937363E-9</v>
      </c>
      <c r="X47" s="139">
        <v>2.650774210739709E-9</v>
      </c>
      <c r="Y47" s="139">
        <v>1.3824766782215545E-9</v>
      </c>
      <c r="Z47" s="139">
        <v>1.8111964801855525E-9</v>
      </c>
      <c r="AA47" s="139">
        <v>1.6818278063212719E-9</v>
      </c>
      <c r="AB47" s="139">
        <v>6.2625624775861689E-9</v>
      </c>
      <c r="BB47" s="136">
        <v>18.899999999999999</v>
      </c>
      <c r="BC47" s="136">
        <v>18.52</v>
      </c>
      <c r="BD47" s="136">
        <v>18.899999999999999</v>
      </c>
      <c r="BE47" s="136">
        <v>19.18</v>
      </c>
      <c r="BF47" s="136">
        <v>20.23</v>
      </c>
      <c r="BG47" s="136">
        <v>20</v>
      </c>
      <c r="BH47" s="136">
        <v>20.62</v>
      </c>
      <c r="BI47" s="136">
        <v>24.13</v>
      </c>
      <c r="BJ47" s="136">
        <v>23.9</v>
      </c>
      <c r="BK47" s="136">
        <v>28.7</v>
      </c>
      <c r="BM47" s="139">
        <v>1.2976492142469731E-9</v>
      </c>
      <c r="BN47" s="139">
        <v>1.1825881356276657E-9</v>
      </c>
      <c r="BO47" s="139">
        <v>1.2976492142469731E-9</v>
      </c>
      <c r="BP47" s="139">
        <v>1.4642025648627851E-9</v>
      </c>
      <c r="BQ47" s="139">
        <v>1.5640502169937363E-9</v>
      </c>
      <c r="BR47" s="139">
        <v>2.650774210739709E-9</v>
      </c>
      <c r="BS47" s="139">
        <v>1.3824766782215545E-9</v>
      </c>
      <c r="BT47" s="139">
        <v>1.8111964801855525E-9</v>
      </c>
      <c r="BU47" s="139">
        <v>1.6818278063212719E-9</v>
      </c>
      <c r="BV47" s="139">
        <v>6.2625624775861689E-9</v>
      </c>
    </row>
    <row r="48" spans="1:74" x14ac:dyDescent="0.25">
      <c r="A48" s="137">
        <v>42837</v>
      </c>
      <c r="B48" s="138">
        <v>0.46423611111111113</v>
      </c>
      <c r="C48" s="139">
        <v>28.68</v>
      </c>
      <c r="E48" s="140" t="s">
        <v>169</v>
      </c>
      <c r="F48" s="140">
        <v>28.68</v>
      </c>
      <c r="I48" s="139">
        <v>19.27</v>
      </c>
      <c r="J48" s="139">
        <v>18.86</v>
      </c>
      <c r="K48" s="139">
        <v>19.27</v>
      </c>
      <c r="L48" s="139">
        <v>19.399999999999999</v>
      </c>
      <c r="M48" s="139">
        <v>20.29</v>
      </c>
      <c r="N48" s="139">
        <v>20.190000000000001</v>
      </c>
      <c r="O48" s="139">
        <v>21.39</v>
      </c>
      <c r="P48" s="139">
        <v>29.36</v>
      </c>
      <c r="Q48" s="139">
        <v>23.9</v>
      </c>
      <c r="S48" s="139">
        <v>1.3304564775621184E-9</v>
      </c>
      <c r="T48" s="139">
        <v>1.2124398999568575E-9</v>
      </c>
      <c r="U48" s="139">
        <v>1.3304564775621184E-9</v>
      </c>
      <c r="V48" s="139">
        <v>1.4980067136323843E-9</v>
      </c>
      <c r="W48" s="139">
        <v>1.6055427553694573E-9</v>
      </c>
      <c r="X48" s="139">
        <v>2.691322263632401E-9</v>
      </c>
      <c r="Y48" s="139">
        <v>1.4359294221826874E-9</v>
      </c>
      <c r="Z48" s="139">
        <v>2.1461387848938153E-9</v>
      </c>
      <c r="AA48" s="139">
        <v>1.7771008422194344E-9</v>
      </c>
      <c r="AB48" s="139">
        <v>6.5489604930790843E-9</v>
      </c>
      <c r="BB48" s="136">
        <v>19.27</v>
      </c>
      <c r="BC48" s="136">
        <v>18.86</v>
      </c>
      <c r="BD48" s="136">
        <v>19.27</v>
      </c>
      <c r="BE48" s="136">
        <v>19.399999999999999</v>
      </c>
      <c r="BF48" s="136">
        <v>20.29</v>
      </c>
      <c r="BG48" s="136">
        <v>20.190000000000001</v>
      </c>
      <c r="BH48" s="136">
        <v>21.39</v>
      </c>
      <c r="BI48" s="136">
        <v>29.36</v>
      </c>
      <c r="BJ48" s="136">
        <v>23.9</v>
      </c>
      <c r="BK48" s="136">
        <v>28.68</v>
      </c>
      <c r="BM48" s="139">
        <v>1.3304564775621184E-9</v>
      </c>
      <c r="BN48" s="139">
        <v>1.2124398999568575E-9</v>
      </c>
      <c r="BO48" s="139">
        <v>1.3304564775621184E-9</v>
      </c>
      <c r="BP48" s="139">
        <v>1.4980067136323843E-9</v>
      </c>
      <c r="BQ48" s="139">
        <v>1.6055427553694573E-9</v>
      </c>
      <c r="BR48" s="139">
        <v>2.691322263632401E-9</v>
      </c>
      <c r="BS48" s="139">
        <v>1.4359294221826874E-9</v>
      </c>
      <c r="BT48" s="139">
        <v>2.1461387848938153E-9</v>
      </c>
      <c r="BU48" s="139">
        <v>1.7771008422194344E-9</v>
      </c>
      <c r="BV48" s="139">
        <v>6.5489604930790843E-9</v>
      </c>
    </row>
    <row r="49" spans="1:74" x14ac:dyDescent="0.25">
      <c r="A49" s="137">
        <v>42837</v>
      </c>
      <c r="B49" s="138">
        <v>0.46458333333333335</v>
      </c>
      <c r="C49" s="139">
        <v>28.84</v>
      </c>
      <c r="E49" s="140" t="s">
        <v>169</v>
      </c>
      <c r="F49" s="140">
        <v>28.84</v>
      </c>
      <c r="I49" s="139">
        <v>19.54</v>
      </c>
      <c r="J49" s="139">
        <v>19.41</v>
      </c>
      <c r="K49" s="139">
        <v>19.54</v>
      </c>
      <c r="L49" s="139">
        <v>19.559999999999999</v>
      </c>
      <c r="M49" s="139">
        <v>20.5</v>
      </c>
      <c r="N49" s="139">
        <v>20.260000000000002</v>
      </c>
      <c r="O49" s="139">
        <v>21.95</v>
      </c>
      <c r="P49" s="139">
        <v>31.03</v>
      </c>
      <c r="Q49" s="139">
        <v>30.77</v>
      </c>
      <c r="S49" s="139">
        <v>1.3653680977659769E-9</v>
      </c>
      <c r="T49" s="139">
        <v>1.2463219753373912E-9</v>
      </c>
      <c r="U49" s="139">
        <v>1.3653680977659769E-9</v>
      </c>
      <c r="V49" s="139">
        <v>1.5330794785533827E-9</v>
      </c>
      <c r="W49" s="139">
        <v>1.6490909348672614E-9</v>
      </c>
      <c r="X49" s="139">
        <v>2.7325291693830512E-9</v>
      </c>
      <c r="Y49" s="139">
        <v>1.4967387222150057E-9</v>
      </c>
      <c r="Z49" s="139">
        <v>2.6381443377743817E-9</v>
      </c>
      <c r="AA49" s="139">
        <v>2.2405157539091087E-9</v>
      </c>
      <c r="AB49" s="139">
        <v>6.8461065723868705E-9</v>
      </c>
      <c r="BB49" s="136">
        <v>19.54</v>
      </c>
      <c r="BC49" s="136">
        <v>19.41</v>
      </c>
      <c r="BD49" s="136">
        <v>19.54</v>
      </c>
      <c r="BE49" s="136">
        <v>19.559999999999999</v>
      </c>
      <c r="BF49" s="136">
        <v>20.5</v>
      </c>
      <c r="BG49" s="136">
        <v>20.260000000000002</v>
      </c>
      <c r="BH49" s="136">
        <v>21.95</v>
      </c>
      <c r="BI49" s="136">
        <v>31.03</v>
      </c>
      <c r="BJ49" s="136">
        <v>30.77</v>
      </c>
      <c r="BK49" s="136">
        <v>28.84</v>
      </c>
      <c r="BM49" s="139">
        <v>1.3653680977659769E-9</v>
      </c>
      <c r="BN49" s="139">
        <v>1.2463219753373912E-9</v>
      </c>
      <c r="BO49" s="139">
        <v>1.3653680977659769E-9</v>
      </c>
      <c r="BP49" s="139">
        <v>1.5330794785533827E-9</v>
      </c>
      <c r="BQ49" s="139">
        <v>1.6490909348672614E-9</v>
      </c>
      <c r="BR49" s="139">
        <v>2.7325291693830512E-9</v>
      </c>
      <c r="BS49" s="139">
        <v>1.4967387222150057E-9</v>
      </c>
      <c r="BT49" s="139">
        <v>2.6381443377743817E-9</v>
      </c>
      <c r="BU49" s="139">
        <v>2.2405157539091087E-9</v>
      </c>
      <c r="BV49" s="139">
        <v>6.8461065723868705E-9</v>
      </c>
    </row>
    <row r="50" spans="1:74" x14ac:dyDescent="0.25">
      <c r="A50" s="137">
        <v>42837</v>
      </c>
      <c r="B50" s="138">
        <v>0.46493055555555557</v>
      </c>
      <c r="C50" s="139">
        <v>28.84</v>
      </c>
      <c r="E50" s="140" t="s">
        <v>169</v>
      </c>
      <c r="F50" s="140">
        <v>28.84</v>
      </c>
      <c r="I50" s="139">
        <v>19.73</v>
      </c>
      <c r="J50" s="139">
        <v>19.829999999999998</v>
      </c>
      <c r="K50" s="139">
        <v>19.73</v>
      </c>
      <c r="L50" s="139">
        <v>19.829999999999998</v>
      </c>
      <c r="M50" s="139">
        <v>20.69</v>
      </c>
      <c r="N50" s="139">
        <v>20.55</v>
      </c>
      <c r="O50" s="139">
        <v>22.72</v>
      </c>
      <c r="P50" s="139">
        <v>44.58</v>
      </c>
      <c r="Q50" s="139">
        <v>46.36</v>
      </c>
      <c r="S50" s="139">
        <v>1.4018409732787053E-9</v>
      </c>
      <c r="T50" s="139">
        <v>1.2836444132578944E-9</v>
      </c>
      <c r="U50" s="139">
        <v>1.4018409732787053E-9</v>
      </c>
      <c r="V50" s="139">
        <v>1.570401916473886E-9</v>
      </c>
      <c r="W50" s="139">
        <v>1.6945865984988738E-9</v>
      </c>
      <c r="X50" s="139">
        <v>2.7765816130334519E-9</v>
      </c>
      <c r="Y50" s="139">
        <v>1.5693443030943927E-9</v>
      </c>
      <c r="Z50" s="139">
        <v>1.3780320084125909E-8</v>
      </c>
      <c r="AA50" s="139">
        <v>1.902739646605686E-8</v>
      </c>
      <c r="AB50" s="139">
        <v>7.1432526516946566E-9</v>
      </c>
      <c r="BB50" s="136">
        <v>19.73</v>
      </c>
      <c r="BC50" s="136">
        <v>19.829999999999998</v>
      </c>
      <c r="BD50" s="136">
        <v>19.73</v>
      </c>
      <c r="BE50" s="136">
        <v>19.829999999999998</v>
      </c>
      <c r="BF50" s="136">
        <v>20.69</v>
      </c>
      <c r="BG50" s="136">
        <v>20.55</v>
      </c>
      <c r="BH50" s="136">
        <v>22.72</v>
      </c>
      <c r="BI50" s="136">
        <v>44.58</v>
      </c>
      <c r="BJ50" s="136">
        <v>46.36</v>
      </c>
      <c r="BK50" s="136">
        <v>28.84</v>
      </c>
      <c r="BM50" s="139">
        <v>1.4018409732787053E-9</v>
      </c>
      <c r="BN50" s="139">
        <v>1.2836444132578944E-9</v>
      </c>
      <c r="BO50" s="139">
        <v>1.4018409732787053E-9</v>
      </c>
      <c r="BP50" s="139">
        <v>1.570401916473886E-9</v>
      </c>
      <c r="BQ50" s="139">
        <v>1.6945865984988738E-9</v>
      </c>
      <c r="BR50" s="139">
        <v>2.7765816130334519E-9</v>
      </c>
      <c r="BS50" s="139">
        <v>1.5693443030943927E-9</v>
      </c>
      <c r="BT50" s="139">
        <v>1.3780320084125909E-8</v>
      </c>
      <c r="BU50" s="139">
        <v>1.902739646605686E-8</v>
      </c>
      <c r="BV50" s="139">
        <v>7.1432526516946566E-9</v>
      </c>
    </row>
    <row r="51" spans="1:74" x14ac:dyDescent="0.25">
      <c r="A51" s="137">
        <v>42837</v>
      </c>
      <c r="B51" s="138">
        <v>0.46527777777777773</v>
      </c>
      <c r="C51" s="139">
        <v>30.14</v>
      </c>
      <c r="E51" s="140" t="s">
        <v>169</v>
      </c>
      <c r="F51" s="140">
        <v>30.14</v>
      </c>
      <c r="I51" s="139">
        <v>19.8</v>
      </c>
      <c r="J51" s="139">
        <v>19.37</v>
      </c>
      <c r="K51" s="139">
        <v>19.8</v>
      </c>
      <c r="L51" s="139">
        <v>20.49</v>
      </c>
      <c r="M51" s="139">
        <v>21.07</v>
      </c>
      <c r="N51" s="139">
        <v>20.91</v>
      </c>
      <c r="O51" s="139">
        <v>23.71</v>
      </c>
      <c r="P51" s="139">
        <v>55.96</v>
      </c>
      <c r="Q51" s="139">
        <v>58.38</v>
      </c>
      <c r="S51" s="139">
        <v>1.4389064853437511E-9</v>
      </c>
      <c r="T51" s="139">
        <v>1.3172158559041921E-9</v>
      </c>
      <c r="U51" s="139">
        <v>1.4389064853437511E-9</v>
      </c>
      <c r="V51" s="139">
        <v>1.6138499379382009E-9</v>
      </c>
      <c r="W51" s="139">
        <v>1.7442424009199203E-9</v>
      </c>
      <c r="X51" s="139">
        <v>2.824441316598194E-9</v>
      </c>
      <c r="Y51" s="139">
        <v>1.6605390882103747E-9</v>
      </c>
      <c r="Z51" s="139">
        <v>1.6687849176866017E-7</v>
      </c>
      <c r="AA51" s="139">
        <v>2.8630957616454263E-7</v>
      </c>
      <c r="AB51" s="139">
        <v>7.5440916833884951E-9</v>
      </c>
      <c r="BB51" s="136">
        <v>19.8</v>
      </c>
      <c r="BC51" s="136">
        <v>19.37</v>
      </c>
      <c r="BD51" s="136">
        <v>19.8</v>
      </c>
      <c r="BE51" s="136">
        <v>20.49</v>
      </c>
      <c r="BF51" s="136">
        <v>21.07</v>
      </c>
      <c r="BG51" s="136">
        <v>20.91</v>
      </c>
      <c r="BH51" s="136">
        <v>23.71</v>
      </c>
      <c r="BI51" s="136">
        <v>55.96</v>
      </c>
      <c r="BJ51" s="136">
        <v>58.38</v>
      </c>
      <c r="BK51" s="136">
        <v>30.14</v>
      </c>
      <c r="BM51" s="139">
        <v>1.4389064853437511E-9</v>
      </c>
      <c r="BN51" s="139">
        <v>1.3172158559041921E-9</v>
      </c>
      <c r="BO51" s="139">
        <v>1.4389064853437511E-9</v>
      </c>
      <c r="BP51" s="139">
        <v>1.6138499379382009E-9</v>
      </c>
      <c r="BQ51" s="139">
        <v>1.7442424009199203E-9</v>
      </c>
      <c r="BR51" s="139">
        <v>2.824441316598194E-9</v>
      </c>
      <c r="BS51" s="139">
        <v>1.6605390882103747E-9</v>
      </c>
      <c r="BT51" s="139">
        <v>1.6687849176866017E-7</v>
      </c>
      <c r="BU51" s="139">
        <v>2.8630957616454263E-7</v>
      </c>
      <c r="BV51" s="139">
        <v>7.5440916833884951E-9</v>
      </c>
    </row>
    <row r="52" spans="1:74" x14ac:dyDescent="0.25">
      <c r="A52" s="137">
        <v>42837</v>
      </c>
      <c r="B52" s="138">
        <v>0.46562500000000001</v>
      </c>
      <c r="C52" s="139">
        <v>33.369999999999997</v>
      </c>
      <c r="E52" s="140" t="s">
        <v>169</v>
      </c>
      <c r="F52" s="140">
        <v>33.369999999999997</v>
      </c>
      <c r="I52" s="139">
        <v>20.05</v>
      </c>
      <c r="J52" s="139">
        <v>19.7</v>
      </c>
      <c r="K52" s="139">
        <v>20.05</v>
      </c>
      <c r="L52" s="139">
        <v>20.8</v>
      </c>
      <c r="M52" s="139">
        <v>21.36</v>
      </c>
      <c r="N52" s="139">
        <v>21.56</v>
      </c>
      <c r="O52" s="139">
        <v>27.72</v>
      </c>
      <c r="P52" s="139">
        <v>81.349999999999994</v>
      </c>
      <c r="Q52" s="139">
        <v>84.58</v>
      </c>
      <c r="S52" s="139">
        <v>1.4781682670742545E-9</v>
      </c>
      <c r="T52" s="139">
        <v>1.3534376539079417E-9</v>
      </c>
      <c r="U52" s="139">
        <v>1.4781682670742545E-9</v>
      </c>
      <c r="V52" s="139">
        <v>1.6605126529780505E-9</v>
      </c>
      <c r="W52" s="139">
        <v>1.7973271787798564E-9</v>
      </c>
      <c r="X52" s="139">
        <v>2.8800279029622738E-9</v>
      </c>
      <c r="Y52" s="139">
        <v>1.8901380946288086E-9</v>
      </c>
      <c r="Z52" s="139">
        <v>5.3129564750633044E-5</v>
      </c>
      <c r="AA52" s="139">
        <v>1.117080670396797E-4</v>
      </c>
      <c r="AB52" s="139">
        <v>8.3873681960828655E-9</v>
      </c>
      <c r="BB52" s="136">
        <v>20.05</v>
      </c>
      <c r="BC52" s="136">
        <v>19.7</v>
      </c>
      <c r="BD52" s="136">
        <v>20.05</v>
      </c>
      <c r="BE52" s="136">
        <v>20.8</v>
      </c>
      <c r="BF52" s="136">
        <v>21.36</v>
      </c>
      <c r="BG52" s="136">
        <v>21.56</v>
      </c>
      <c r="BH52" s="136">
        <v>27.72</v>
      </c>
      <c r="BI52" s="136">
        <v>81.349999999999994</v>
      </c>
      <c r="BJ52" s="136">
        <v>84.58</v>
      </c>
      <c r="BK52" s="136">
        <v>33.369999999999997</v>
      </c>
      <c r="BM52" s="139">
        <v>1.4781682670742545E-9</v>
      </c>
      <c r="BN52" s="139">
        <v>1.3534376539079417E-9</v>
      </c>
      <c r="BO52" s="139">
        <v>1.4781682670742545E-9</v>
      </c>
      <c r="BP52" s="139">
        <v>1.6605126529780505E-9</v>
      </c>
      <c r="BQ52" s="139">
        <v>1.7973271787798564E-9</v>
      </c>
      <c r="BR52" s="139">
        <v>2.8800279029622738E-9</v>
      </c>
      <c r="BS52" s="139">
        <v>1.8901380946288086E-9</v>
      </c>
      <c r="BT52" s="139">
        <v>5.3129564750633044E-5</v>
      </c>
      <c r="BU52" s="139">
        <v>1.117080670396797E-4</v>
      </c>
      <c r="BV52" s="139">
        <v>8.3873681960828655E-9</v>
      </c>
    </row>
    <row r="53" spans="1:74" x14ac:dyDescent="0.25">
      <c r="A53" s="137">
        <v>42837</v>
      </c>
      <c r="B53" s="138">
        <v>0.46597222222222223</v>
      </c>
      <c r="C53" s="139">
        <v>50.05</v>
      </c>
      <c r="E53" s="140" t="s">
        <v>169</v>
      </c>
      <c r="F53" s="140">
        <v>50.05</v>
      </c>
      <c r="I53" s="139">
        <v>20.48</v>
      </c>
      <c r="J53" s="139">
        <v>22.07</v>
      </c>
      <c r="K53" s="139">
        <v>20.48</v>
      </c>
      <c r="L53" s="139">
        <v>21.22</v>
      </c>
      <c r="M53" s="139">
        <v>21.77</v>
      </c>
      <c r="N53" s="139">
        <v>28.38</v>
      </c>
      <c r="O53" s="139">
        <v>46.68</v>
      </c>
      <c r="P53" s="139">
        <v>95.31</v>
      </c>
      <c r="Q53" s="139">
        <v>94.9</v>
      </c>
      <c r="S53" s="139">
        <v>1.5215163608621652E-9</v>
      </c>
      <c r="T53" s="139">
        <v>1.4159506054188276E-9</v>
      </c>
      <c r="U53" s="139">
        <v>1.5215163608621652E-9</v>
      </c>
      <c r="V53" s="139">
        <v>1.711913467884374E-9</v>
      </c>
      <c r="W53" s="139">
        <v>1.8556676596329043E-9</v>
      </c>
      <c r="X53" s="139">
        <v>3.1473100826607591E-9</v>
      </c>
      <c r="Y53" s="139">
        <v>1.9960631226609511E-8</v>
      </c>
      <c r="Z53" s="139">
        <v>1.3712952576633247E-3</v>
      </c>
      <c r="AA53" s="139">
        <v>1.3111245265494272E-3</v>
      </c>
      <c r="AB53" s="139">
        <v>4.764914992658647E-8</v>
      </c>
      <c r="BB53" s="136">
        <v>20.48</v>
      </c>
      <c r="BC53" s="136">
        <v>22.07</v>
      </c>
      <c r="BD53" s="136">
        <v>20.48</v>
      </c>
      <c r="BE53" s="136">
        <v>21.22</v>
      </c>
      <c r="BF53" s="136">
        <v>21.77</v>
      </c>
      <c r="BG53" s="136">
        <v>28.38</v>
      </c>
      <c r="BH53" s="136">
        <v>46.68</v>
      </c>
      <c r="BI53" s="136">
        <v>95.31</v>
      </c>
      <c r="BJ53" s="136">
        <v>94.9</v>
      </c>
      <c r="BK53" s="136">
        <v>50.05</v>
      </c>
      <c r="BM53" s="139">
        <v>1.5215163608621652E-9</v>
      </c>
      <c r="BN53" s="139">
        <v>1.4159506054188276E-9</v>
      </c>
      <c r="BO53" s="139">
        <v>1.5215163608621652E-9</v>
      </c>
      <c r="BP53" s="139">
        <v>1.711913467884374E-9</v>
      </c>
      <c r="BQ53" s="139">
        <v>1.8556676596329043E-9</v>
      </c>
      <c r="BR53" s="139">
        <v>3.1473100826607591E-9</v>
      </c>
      <c r="BS53" s="139">
        <v>1.9960631226609511E-8</v>
      </c>
      <c r="BT53" s="139">
        <v>1.3712952576633247E-3</v>
      </c>
      <c r="BU53" s="139">
        <v>1.3111245265494272E-3</v>
      </c>
      <c r="BV53" s="139">
        <v>4.764914992658647E-8</v>
      </c>
    </row>
    <row r="54" spans="1:74" x14ac:dyDescent="0.25">
      <c r="A54" s="137">
        <v>42837</v>
      </c>
      <c r="B54" s="138">
        <v>0.46631944444444445</v>
      </c>
      <c r="C54" s="139">
        <v>64.58</v>
      </c>
      <c r="E54" s="140" t="s">
        <v>169</v>
      </c>
      <c r="F54" s="140">
        <v>64.58</v>
      </c>
      <c r="I54" s="139">
        <v>22.05</v>
      </c>
      <c r="J54" s="139">
        <v>22.53</v>
      </c>
      <c r="K54" s="139">
        <v>22.05</v>
      </c>
      <c r="L54" s="139">
        <v>22.7</v>
      </c>
      <c r="M54" s="139">
        <v>23.75</v>
      </c>
      <c r="N54" s="139">
        <v>38.159999999999997</v>
      </c>
      <c r="O54" s="139">
        <v>60.47</v>
      </c>
      <c r="P54" s="139">
        <v>104.76</v>
      </c>
      <c r="Q54" s="139">
        <v>102.45</v>
      </c>
      <c r="S54" s="139">
        <v>1.5837420914507343E-9</v>
      </c>
      <c r="T54" s="139">
        <v>1.4854482369794953E-9</v>
      </c>
      <c r="U54" s="139">
        <v>1.5837420914507343E-9</v>
      </c>
      <c r="V54" s="139">
        <v>1.7841854564216703E-9</v>
      </c>
      <c r="W54" s="139">
        <v>1.9477062597063521E-9</v>
      </c>
      <c r="X54" s="139">
        <v>5.6881072954635567E-9</v>
      </c>
      <c r="Y54" s="139">
        <v>4.5244459061445572E-7</v>
      </c>
      <c r="Z54" s="139">
        <v>1.2984979239448883E-2</v>
      </c>
      <c r="AA54" s="139">
        <v>8.1340402094940631E-3</v>
      </c>
      <c r="AB54" s="139">
        <v>1.1618667245617396E-6</v>
      </c>
      <c r="BB54" s="136">
        <v>22.05</v>
      </c>
      <c r="BC54" s="136">
        <v>22.53</v>
      </c>
      <c r="BD54" s="136">
        <v>22.05</v>
      </c>
      <c r="BE54" s="136">
        <v>22.7</v>
      </c>
      <c r="BF54" s="136">
        <v>23.75</v>
      </c>
      <c r="BG54" s="136">
        <v>38.159999999999997</v>
      </c>
      <c r="BH54" s="136">
        <v>60.47</v>
      </c>
      <c r="BI54" s="136">
        <v>104.76</v>
      </c>
      <c r="BJ54" s="136">
        <v>102.45</v>
      </c>
      <c r="BK54" s="136">
        <v>64.58</v>
      </c>
      <c r="BM54" s="139">
        <v>1.5837420914507343E-9</v>
      </c>
      <c r="BN54" s="139">
        <v>1.4854482369794953E-9</v>
      </c>
      <c r="BO54" s="139">
        <v>1.5837420914507343E-9</v>
      </c>
      <c r="BP54" s="139">
        <v>1.7841854564216703E-9</v>
      </c>
      <c r="BQ54" s="139">
        <v>1.9477062597063521E-9</v>
      </c>
      <c r="BR54" s="139">
        <v>5.6881072954635567E-9</v>
      </c>
      <c r="BS54" s="139">
        <v>4.5244459061445572E-7</v>
      </c>
      <c r="BT54" s="139">
        <v>1.2984979239448883E-2</v>
      </c>
      <c r="BU54" s="139">
        <v>8.1340402094940631E-3</v>
      </c>
      <c r="BV54" s="139">
        <v>1.1618667245617396E-6</v>
      </c>
    </row>
    <row r="55" spans="1:74" x14ac:dyDescent="0.25">
      <c r="A55" s="137">
        <v>42837</v>
      </c>
      <c r="B55" s="138">
        <v>0.46666666666666662</v>
      </c>
      <c r="C55" s="139">
        <v>76</v>
      </c>
      <c r="E55" s="140" t="s">
        <v>169</v>
      </c>
      <c r="F55" s="140">
        <v>76</v>
      </c>
      <c r="I55" s="139">
        <v>25.62</v>
      </c>
      <c r="J55" s="139">
        <v>23.91</v>
      </c>
      <c r="K55" s="139">
        <v>25.62</v>
      </c>
      <c r="L55" s="139">
        <v>26.28</v>
      </c>
      <c r="M55" s="139">
        <v>27.54</v>
      </c>
      <c r="N55" s="139">
        <v>47.18</v>
      </c>
      <c r="O55" s="139">
        <v>70.650000000000006</v>
      </c>
      <c r="P55" s="139">
        <v>108.48</v>
      </c>
      <c r="Q55" s="139">
        <v>109.33</v>
      </c>
      <c r="S55" s="139">
        <v>1.7253116912407033E-9</v>
      </c>
      <c r="T55" s="139">
        <v>1.580940899907807E-9</v>
      </c>
      <c r="U55" s="139">
        <v>1.7253116912407033E-9</v>
      </c>
      <c r="V55" s="139">
        <v>1.9489903125103991E-9</v>
      </c>
      <c r="W55" s="139">
        <v>2.1679836914596287E-9</v>
      </c>
      <c r="X55" s="139">
        <v>2.5963534067882783E-8</v>
      </c>
      <c r="Y55" s="139">
        <v>4.9603002786442415E-6</v>
      </c>
      <c r="Z55" s="139">
        <v>4.0335777384147509E-2</v>
      </c>
      <c r="AA55" s="139">
        <v>4.1397698019581146E-2</v>
      </c>
      <c r="AB55" s="139">
        <v>1.6613343887129671E-5</v>
      </c>
      <c r="BB55" s="136">
        <v>25.62</v>
      </c>
      <c r="BC55" s="136">
        <v>23.91</v>
      </c>
      <c r="BD55" s="136">
        <v>25.62</v>
      </c>
      <c r="BE55" s="136">
        <v>26.28</v>
      </c>
      <c r="BF55" s="136">
        <v>27.54</v>
      </c>
      <c r="BG55" s="136">
        <v>47.18</v>
      </c>
      <c r="BH55" s="136">
        <v>70.650000000000006</v>
      </c>
      <c r="BI55" s="136">
        <v>108.48</v>
      </c>
      <c r="BJ55" s="136">
        <v>109.33</v>
      </c>
      <c r="BK55" s="136">
        <v>76</v>
      </c>
      <c r="BM55" s="139">
        <v>1.7253116912407033E-9</v>
      </c>
      <c r="BN55" s="139">
        <v>1.580940899907807E-9</v>
      </c>
      <c r="BO55" s="139">
        <v>1.7253116912407033E-9</v>
      </c>
      <c r="BP55" s="139">
        <v>1.9489903125103991E-9</v>
      </c>
      <c r="BQ55" s="139">
        <v>2.1679836914596287E-9</v>
      </c>
      <c r="BR55" s="139">
        <v>2.5963534067882783E-8</v>
      </c>
      <c r="BS55" s="139">
        <v>4.9603002786442415E-6</v>
      </c>
      <c r="BT55" s="139">
        <v>4.0335777384147509E-2</v>
      </c>
      <c r="BU55" s="139">
        <v>4.1397698019581146E-2</v>
      </c>
      <c r="BV55" s="139">
        <v>1.6613343887129671E-5</v>
      </c>
    </row>
    <row r="56" spans="1:74" x14ac:dyDescent="0.25">
      <c r="A56" s="137">
        <v>42837</v>
      </c>
      <c r="B56" s="138">
        <v>0.4670138888888889</v>
      </c>
      <c r="C56" s="139">
        <v>84.79</v>
      </c>
      <c r="E56" s="140" t="s">
        <v>169</v>
      </c>
      <c r="F56" s="140">
        <v>84.79</v>
      </c>
      <c r="I56" s="139">
        <v>30.57</v>
      </c>
      <c r="J56" s="139">
        <v>26.19</v>
      </c>
      <c r="K56" s="139">
        <v>30.57</v>
      </c>
      <c r="L56" s="139">
        <v>31.32</v>
      </c>
      <c r="M56" s="139">
        <v>32.65</v>
      </c>
      <c r="N56" s="139">
        <v>55.41</v>
      </c>
      <c r="O56" s="139">
        <v>78.52</v>
      </c>
      <c r="P56" s="139">
        <v>111.65</v>
      </c>
      <c r="Q56" s="139">
        <v>111.14</v>
      </c>
      <c r="S56" s="139">
        <v>2.1678694961561191E-9</v>
      </c>
      <c r="T56" s="139">
        <v>1.7423656059934383E-9</v>
      </c>
      <c r="U56" s="139">
        <v>2.1678694961561191E-9</v>
      </c>
      <c r="V56" s="139">
        <v>2.4749712494220098E-9</v>
      </c>
      <c r="W56" s="139">
        <v>2.8824306707151798E-9</v>
      </c>
      <c r="X56" s="139">
        <v>1.6085050569012874E-7</v>
      </c>
      <c r="Y56" s="139">
        <v>3.2564172242682094E-5</v>
      </c>
      <c r="Z56" s="139">
        <v>9.7086318167763391E-2</v>
      </c>
      <c r="AA56" s="139">
        <v>9.1860342323415431E-2</v>
      </c>
      <c r="AB56" s="139">
        <v>1.3355520582009764E-4</v>
      </c>
      <c r="BB56" s="136">
        <v>30.57</v>
      </c>
      <c r="BC56" s="136">
        <v>26.19</v>
      </c>
      <c r="BD56" s="136">
        <v>30.57</v>
      </c>
      <c r="BE56" s="136">
        <v>31.32</v>
      </c>
      <c r="BF56" s="136">
        <v>32.65</v>
      </c>
      <c r="BG56" s="136">
        <v>55.41</v>
      </c>
      <c r="BH56" s="136">
        <v>78.52</v>
      </c>
      <c r="BI56" s="136">
        <v>111.65</v>
      </c>
      <c r="BJ56" s="136">
        <v>111.14</v>
      </c>
      <c r="BK56" s="136">
        <v>84.79</v>
      </c>
      <c r="BM56" s="139">
        <v>2.1678694961561191E-9</v>
      </c>
      <c r="BN56" s="139">
        <v>1.7423656059934383E-9</v>
      </c>
      <c r="BO56" s="139">
        <v>2.1678694961561191E-9</v>
      </c>
      <c r="BP56" s="139">
        <v>2.4749712494220098E-9</v>
      </c>
      <c r="BQ56" s="139">
        <v>2.8824306707151798E-9</v>
      </c>
      <c r="BR56" s="139">
        <v>1.6085050569012874E-7</v>
      </c>
      <c r="BS56" s="139">
        <v>3.2564172242682094E-5</v>
      </c>
      <c r="BT56" s="139">
        <v>9.7086318167763391E-2</v>
      </c>
      <c r="BU56" s="139">
        <v>9.1860342323415431E-2</v>
      </c>
      <c r="BV56" s="139">
        <v>1.3355520582009764E-4</v>
      </c>
    </row>
    <row r="57" spans="1:74" x14ac:dyDescent="0.25">
      <c r="A57" s="137">
        <v>42837</v>
      </c>
      <c r="B57" s="138">
        <v>0.46736111111111112</v>
      </c>
      <c r="C57" s="139">
        <v>91.52</v>
      </c>
      <c r="E57" s="140" t="s">
        <v>169</v>
      </c>
      <c r="F57" s="140">
        <v>91.52</v>
      </c>
      <c r="I57" s="139">
        <v>36.32</v>
      </c>
      <c r="J57" s="139">
        <v>29.21</v>
      </c>
      <c r="K57" s="139">
        <v>36.32</v>
      </c>
      <c r="L57" s="139">
        <v>37.08</v>
      </c>
      <c r="M57" s="139">
        <v>38.89</v>
      </c>
      <c r="N57" s="139">
        <v>62.74</v>
      </c>
      <c r="O57" s="139">
        <v>84.27</v>
      </c>
      <c r="P57" s="139">
        <v>113.85</v>
      </c>
      <c r="Q57" s="139">
        <v>113.59</v>
      </c>
      <c r="S57" s="139">
        <v>3.8311672626261371E-9</v>
      </c>
      <c r="T57" s="139">
        <v>2.0659369138677308E-9</v>
      </c>
      <c r="U57" s="139">
        <v>3.8311672626261371E-9</v>
      </c>
      <c r="V57" s="139">
        <v>4.4563614206992086E-9</v>
      </c>
      <c r="W57" s="139">
        <v>5.8882993581315691E-9</v>
      </c>
      <c r="X57" s="139">
        <v>8.9025763582780289E-7</v>
      </c>
      <c r="Y57" s="139">
        <v>1.3630984811542754E-4</v>
      </c>
      <c r="Z57" s="139">
        <v>0.19126877264225339</v>
      </c>
      <c r="AA57" s="139">
        <v>0.18056981636792388</v>
      </c>
      <c r="AB57" s="139">
        <v>6.8432486059080537E-4</v>
      </c>
      <c r="BB57" s="136">
        <v>36.32</v>
      </c>
      <c r="BC57" s="136">
        <v>29.21</v>
      </c>
      <c r="BD57" s="136">
        <v>36.32</v>
      </c>
      <c r="BE57" s="136">
        <v>37.08</v>
      </c>
      <c r="BF57" s="136">
        <v>38.89</v>
      </c>
      <c r="BG57" s="136">
        <v>62.74</v>
      </c>
      <c r="BH57" s="136">
        <v>84.27</v>
      </c>
      <c r="BI57" s="136">
        <v>113.85</v>
      </c>
      <c r="BJ57" s="136">
        <v>113.59</v>
      </c>
      <c r="BK57" s="136">
        <v>91.52</v>
      </c>
      <c r="BM57" s="139">
        <v>3.8311672626261371E-9</v>
      </c>
      <c r="BN57" s="139">
        <v>2.0659369138677308E-9</v>
      </c>
      <c r="BO57" s="139">
        <v>3.8311672626261371E-9</v>
      </c>
      <c r="BP57" s="139">
        <v>4.4563614206992086E-9</v>
      </c>
      <c r="BQ57" s="139">
        <v>5.8882993581315691E-9</v>
      </c>
      <c r="BR57" s="139">
        <v>8.9025763582780289E-7</v>
      </c>
      <c r="BS57" s="139">
        <v>1.3630984811542754E-4</v>
      </c>
      <c r="BT57" s="139">
        <v>0.19126877264225339</v>
      </c>
      <c r="BU57" s="139">
        <v>0.18056981636792388</v>
      </c>
      <c r="BV57" s="139">
        <v>6.8432486059080537E-4</v>
      </c>
    </row>
    <row r="58" spans="1:74" x14ac:dyDescent="0.25">
      <c r="A58" s="137">
        <v>42837</v>
      </c>
      <c r="B58" s="138">
        <v>0.46770833333333334</v>
      </c>
      <c r="C58" s="139">
        <v>96.76</v>
      </c>
      <c r="E58" s="140" t="s">
        <v>169</v>
      </c>
      <c r="F58" s="140">
        <v>96.76</v>
      </c>
      <c r="I58" s="139">
        <v>42.21</v>
      </c>
      <c r="J58" s="139">
        <v>32.72</v>
      </c>
      <c r="K58" s="139">
        <v>42.21</v>
      </c>
      <c r="L58" s="139">
        <v>43.17</v>
      </c>
      <c r="M58" s="139">
        <v>45.44</v>
      </c>
      <c r="N58" s="139">
        <v>69.25</v>
      </c>
      <c r="O58" s="139">
        <v>89.19</v>
      </c>
      <c r="P58" s="139">
        <v>115.8</v>
      </c>
      <c r="Q58" s="139">
        <v>114.64</v>
      </c>
      <c r="S58" s="139">
        <v>1.0287263630693816E-8</v>
      </c>
      <c r="T58" s="139">
        <v>2.7919927226616022E-9</v>
      </c>
      <c r="U58" s="139">
        <v>1.0287263630693816E-8</v>
      </c>
      <c r="V58" s="139">
        <v>1.2509589596590571E-8</v>
      </c>
      <c r="W58" s="139">
        <v>1.9470495702326941E-8</v>
      </c>
      <c r="X58" s="139">
        <v>4.1559103990651644E-6</v>
      </c>
      <c r="Y58" s="139">
        <v>4.5839448087301604E-4</v>
      </c>
      <c r="Z58" s="139">
        <v>0.33882923397557274</v>
      </c>
      <c r="AA58" s="139">
        <v>0.29354160487897291</v>
      </c>
      <c r="AB58" s="139">
        <v>2.5249697288034657E-3</v>
      </c>
      <c r="BB58" s="136">
        <v>42.21</v>
      </c>
      <c r="BC58" s="136">
        <v>32.72</v>
      </c>
      <c r="BD58" s="136">
        <v>42.21</v>
      </c>
      <c r="BE58" s="136">
        <v>43.17</v>
      </c>
      <c r="BF58" s="136">
        <v>45.44</v>
      </c>
      <c r="BG58" s="136">
        <v>69.25</v>
      </c>
      <c r="BH58" s="136">
        <v>89.19</v>
      </c>
      <c r="BI58" s="136">
        <v>115.8</v>
      </c>
      <c r="BJ58" s="136">
        <v>114.64</v>
      </c>
      <c r="BK58" s="136">
        <v>96.76</v>
      </c>
      <c r="BM58" s="139">
        <v>1.0287263630693816E-8</v>
      </c>
      <c r="BN58" s="139">
        <v>2.7919927226616022E-9</v>
      </c>
      <c r="BO58" s="139">
        <v>1.0287263630693816E-8</v>
      </c>
      <c r="BP58" s="139">
        <v>1.2509589596590571E-8</v>
      </c>
      <c r="BQ58" s="139">
        <v>1.9470495702326941E-8</v>
      </c>
      <c r="BR58" s="139">
        <v>4.1559103990651644E-6</v>
      </c>
      <c r="BS58" s="139">
        <v>4.5839448087301604E-4</v>
      </c>
      <c r="BT58" s="139">
        <v>0.33882923397557274</v>
      </c>
      <c r="BU58" s="139">
        <v>0.29354160487897291</v>
      </c>
      <c r="BV58" s="139">
        <v>2.5249697288034657E-3</v>
      </c>
    </row>
    <row r="59" spans="1:74" x14ac:dyDescent="0.25">
      <c r="A59" s="137">
        <v>42837</v>
      </c>
      <c r="B59" s="138">
        <v>0.4680555555555555</v>
      </c>
      <c r="C59" s="139">
        <v>100.94</v>
      </c>
      <c r="E59" s="140" t="s">
        <v>169</v>
      </c>
      <c r="F59" s="140">
        <v>100.94</v>
      </c>
      <c r="I59" s="139">
        <v>48.18</v>
      </c>
      <c r="J59" s="139">
        <v>36.46</v>
      </c>
      <c r="K59" s="139">
        <v>48.18</v>
      </c>
      <c r="L59" s="139">
        <v>49.25</v>
      </c>
      <c r="M59" s="139">
        <v>51.79</v>
      </c>
      <c r="N59" s="139">
        <v>75.08</v>
      </c>
      <c r="O59" s="139">
        <v>93.49</v>
      </c>
      <c r="P59" s="139">
        <v>117.68</v>
      </c>
      <c r="Q59" s="139">
        <v>117.08</v>
      </c>
      <c r="S59" s="139">
        <v>3.5812513629464149E-8</v>
      </c>
      <c r="T59" s="139">
        <v>4.5097824621609749E-9</v>
      </c>
      <c r="U59" s="139">
        <v>3.5812513629464149E-8</v>
      </c>
      <c r="V59" s="139">
        <v>4.5166117228964113E-8</v>
      </c>
      <c r="W59" s="139">
        <v>7.808026397973336E-8</v>
      </c>
      <c r="X59" s="139">
        <v>1.665763720754732E-5</v>
      </c>
      <c r="Y59" s="139">
        <v>1.3252964797500842E-3</v>
      </c>
      <c r="Z59" s="139">
        <v>0.56632326405059774</v>
      </c>
      <c r="AA59" s="139">
        <v>0.49168062200669282</v>
      </c>
      <c r="AB59" s="139">
        <v>7.3441148469233219E-3</v>
      </c>
      <c r="BB59" s="136">
        <v>48.18</v>
      </c>
      <c r="BC59" s="136">
        <v>36.46</v>
      </c>
      <c r="BD59" s="136">
        <v>48.18</v>
      </c>
      <c r="BE59" s="136">
        <v>49.25</v>
      </c>
      <c r="BF59" s="136">
        <v>51.79</v>
      </c>
      <c r="BG59" s="136">
        <v>75.08</v>
      </c>
      <c r="BH59" s="136">
        <v>93.49</v>
      </c>
      <c r="BI59" s="136">
        <v>117.68</v>
      </c>
      <c r="BJ59" s="136">
        <v>117.08</v>
      </c>
      <c r="BK59" s="136">
        <v>100.94</v>
      </c>
      <c r="BM59" s="139">
        <v>3.5812513629464149E-8</v>
      </c>
      <c r="BN59" s="139">
        <v>4.5097824621609749E-9</v>
      </c>
      <c r="BO59" s="139">
        <v>3.5812513629464149E-8</v>
      </c>
      <c r="BP59" s="139">
        <v>4.5166117228964113E-8</v>
      </c>
      <c r="BQ59" s="139">
        <v>7.808026397973336E-8</v>
      </c>
      <c r="BR59" s="139">
        <v>1.665763720754732E-5</v>
      </c>
      <c r="BS59" s="139">
        <v>1.3252964797500842E-3</v>
      </c>
      <c r="BT59" s="139">
        <v>0.56632326405059774</v>
      </c>
      <c r="BU59" s="139">
        <v>0.49168062200669282</v>
      </c>
      <c r="BV59" s="139">
        <v>7.3441148469233219E-3</v>
      </c>
    </row>
    <row r="60" spans="1:74" x14ac:dyDescent="0.25">
      <c r="A60" s="137">
        <v>42837</v>
      </c>
      <c r="B60" s="138">
        <v>0.46840277777777778</v>
      </c>
      <c r="C60" s="139">
        <v>104.4</v>
      </c>
      <c r="E60" s="140" t="s">
        <v>169</v>
      </c>
      <c r="F60" s="140">
        <v>104.4</v>
      </c>
      <c r="I60" s="139">
        <v>53.99</v>
      </c>
      <c r="J60" s="139">
        <v>40.299999999999997</v>
      </c>
      <c r="K60" s="139">
        <v>53.99</v>
      </c>
      <c r="L60" s="139">
        <v>55.12</v>
      </c>
      <c r="M60" s="139">
        <v>58.07</v>
      </c>
      <c r="N60" s="139">
        <v>80.36</v>
      </c>
      <c r="O60" s="139">
        <v>97.23</v>
      </c>
      <c r="P60" s="139">
        <v>118.94</v>
      </c>
      <c r="Q60" s="139">
        <v>116.65</v>
      </c>
      <c r="S60" s="139">
        <v>1.330805177105974E-7</v>
      </c>
      <c r="T60" s="139">
        <v>8.6686013176743252E-9</v>
      </c>
      <c r="U60" s="139">
        <v>1.330805177105974E-7</v>
      </c>
      <c r="V60" s="139">
        <v>1.7134015585299291E-7</v>
      </c>
      <c r="W60" s="139">
        <v>3.2694880646920163E-7</v>
      </c>
      <c r="X60" s="139">
        <v>5.8824375095761036E-5</v>
      </c>
      <c r="Y60" s="139">
        <v>3.3763169946831222E-3</v>
      </c>
      <c r="Z60" s="139">
        <v>0.87039076468995691</v>
      </c>
      <c r="AA60" s="139">
        <v>0.67114158932919588</v>
      </c>
      <c r="AB60" s="139">
        <v>1.8033925294434504E-2</v>
      </c>
      <c r="BB60" s="136">
        <v>53.99</v>
      </c>
      <c r="BC60" s="136">
        <v>40.299999999999997</v>
      </c>
      <c r="BD60" s="136">
        <v>53.99</v>
      </c>
      <c r="BE60" s="136">
        <v>55.12</v>
      </c>
      <c r="BF60" s="136">
        <v>58.07</v>
      </c>
      <c r="BG60" s="136">
        <v>80.36</v>
      </c>
      <c r="BH60" s="136">
        <v>97.23</v>
      </c>
      <c r="BI60" s="136">
        <v>118.94</v>
      </c>
      <c r="BJ60" s="136">
        <v>116.65</v>
      </c>
      <c r="BK60" s="136">
        <v>104.4</v>
      </c>
      <c r="BM60" s="139">
        <v>1.330805177105974E-7</v>
      </c>
      <c r="BN60" s="139">
        <v>8.6686013176743252E-9</v>
      </c>
      <c r="BO60" s="139">
        <v>1.330805177105974E-7</v>
      </c>
      <c r="BP60" s="139">
        <v>1.7134015585299291E-7</v>
      </c>
      <c r="BQ60" s="139">
        <v>3.2694880646920163E-7</v>
      </c>
      <c r="BR60" s="139">
        <v>5.8824375095761036E-5</v>
      </c>
      <c r="BS60" s="139">
        <v>3.3763169946831222E-3</v>
      </c>
      <c r="BT60" s="139">
        <v>0.87039076468995691</v>
      </c>
      <c r="BU60" s="139">
        <v>0.67114158932919588</v>
      </c>
      <c r="BV60" s="139">
        <v>1.8033925294434504E-2</v>
      </c>
    </row>
    <row r="61" spans="1:74" x14ac:dyDescent="0.25">
      <c r="A61" s="137">
        <v>42837</v>
      </c>
      <c r="B61" s="138">
        <v>0.46875</v>
      </c>
      <c r="C61" s="139">
        <v>107.29</v>
      </c>
      <c r="E61" s="140" t="s">
        <v>169</v>
      </c>
      <c r="F61" s="140">
        <v>107.29</v>
      </c>
      <c r="I61" s="139">
        <v>59.47</v>
      </c>
      <c r="J61" s="139">
        <v>44.2</v>
      </c>
      <c r="K61" s="139">
        <v>59.47</v>
      </c>
      <c r="L61" s="139">
        <v>60.74</v>
      </c>
      <c r="M61" s="139">
        <v>64.010000000000005</v>
      </c>
      <c r="N61" s="139">
        <v>85.04</v>
      </c>
      <c r="O61" s="139">
        <v>100.46</v>
      </c>
      <c r="P61" s="139">
        <v>120.03</v>
      </c>
      <c r="Q61" s="139">
        <v>118.84</v>
      </c>
      <c r="S61" s="139">
        <v>4.7661473771771347E-7</v>
      </c>
      <c r="T61" s="139">
        <v>1.8877291041021959E-8</v>
      </c>
      <c r="U61" s="139">
        <v>4.7661473771771347E-7</v>
      </c>
      <c r="V61" s="139">
        <v>6.315649417295786E-7</v>
      </c>
      <c r="W61" s="139">
        <v>1.3041185343569008E-6</v>
      </c>
      <c r="X61" s="139">
        <v>1.8269547797742551E-4</v>
      </c>
      <c r="Y61" s="139">
        <v>7.6912097335179704E-3</v>
      </c>
      <c r="Z61" s="139">
        <v>1.2612046669841224</v>
      </c>
      <c r="AA61" s="139">
        <v>0.96828766863698279</v>
      </c>
      <c r="AB61" s="139">
        <v>3.8829455819135654E-2</v>
      </c>
      <c r="BB61" s="136">
        <v>59.47</v>
      </c>
      <c r="BC61" s="136">
        <v>44.2</v>
      </c>
      <c r="BD61" s="136">
        <v>59.47</v>
      </c>
      <c r="BE61" s="136">
        <v>60.74</v>
      </c>
      <c r="BF61" s="136">
        <v>64.010000000000005</v>
      </c>
      <c r="BG61" s="136">
        <v>85.04</v>
      </c>
      <c r="BH61" s="136">
        <v>100.46</v>
      </c>
      <c r="BI61" s="136">
        <v>120.03</v>
      </c>
      <c r="BJ61" s="136">
        <v>118.84</v>
      </c>
      <c r="BK61" s="136">
        <v>107.29</v>
      </c>
      <c r="BM61" s="139">
        <v>4.7661473771771347E-7</v>
      </c>
      <c r="BN61" s="139">
        <v>1.8877291041021959E-8</v>
      </c>
      <c r="BO61" s="139">
        <v>4.7661473771771347E-7</v>
      </c>
      <c r="BP61" s="139">
        <v>6.315649417295786E-7</v>
      </c>
      <c r="BQ61" s="139">
        <v>1.3041185343569008E-6</v>
      </c>
      <c r="BR61" s="139">
        <v>1.8269547797742551E-4</v>
      </c>
      <c r="BS61" s="139">
        <v>7.6912097335179704E-3</v>
      </c>
      <c r="BT61" s="139">
        <v>1.2612046669841224</v>
      </c>
      <c r="BU61" s="139">
        <v>0.96828766863698279</v>
      </c>
      <c r="BV61" s="139">
        <v>3.8829455819135654E-2</v>
      </c>
    </row>
    <row r="62" spans="1:74" x14ac:dyDescent="0.25">
      <c r="A62" s="137">
        <v>42837</v>
      </c>
      <c r="B62" s="138">
        <v>0.46909722222222222</v>
      </c>
      <c r="C62" s="139">
        <v>109.78</v>
      </c>
      <c r="E62" s="140" t="s">
        <v>169</v>
      </c>
      <c r="F62" s="140">
        <v>109.78</v>
      </c>
      <c r="I62" s="139">
        <v>64.64</v>
      </c>
      <c r="J62" s="139">
        <v>48.11</v>
      </c>
      <c r="K62" s="139">
        <v>64.64</v>
      </c>
      <c r="L62" s="139">
        <v>66.08</v>
      </c>
      <c r="M62" s="139">
        <v>69.55</v>
      </c>
      <c r="N62" s="139">
        <v>89.27</v>
      </c>
      <c r="O62" s="139">
        <v>103.33</v>
      </c>
      <c r="P62" s="139">
        <v>121.26</v>
      </c>
      <c r="Q62" s="139">
        <v>118.92</v>
      </c>
      <c r="S62" s="139">
        <v>1.6063326228282042E-6</v>
      </c>
      <c r="T62" s="139">
        <v>4.3994420517141293E-8</v>
      </c>
      <c r="U62" s="139">
        <v>1.6063326228282042E-6</v>
      </c>
      <c r="V62" s="139">
        <v>2.2054390987802362E-6</v>
      </c>
      <c r="W62" s="139">
        <v>4.8033285143682663E-6</v>
      </c>
      <c r="X62" s="139">
        <v>5.1076811112887822E-4</v>
      </c>
      <c r="Y62" s="139">
        <v>1.6046662805071513E-2</v>
      </c>
      <c r="Z62" s="139">
        <v>1.7799688748931299</v>
      </c>
      <c r="AA62" s="139">
        <v>1.2709581060139401</v>
      </c>
      <c r="AB62" s="139">
        <v>7.5724667325590744E-2</v>
      </c>
      <c r="BB62" s="136">
        <v>64.64</v>
      </c>
      <c r="BC62" s="136">
        <v>48.11</v>
      </c>
      <c r="BD62" s="136">
        <v>64.64</v>
      </c>
      <c r="BE62" s="136">
        <v>66.08</v>
      </c>
      <c r="BF62" s="136">
        <v>69.55</v>
      </c>
      <c r="BG62" s="136">
        <v>89.27</v>
      </c>
      <c r="BH62" s="136">
        <v>103.33</v>
      </c>
      <c r="BI62" s="136">
        <v>121.26</v>
      </c>
      <c r="BJ62" s="136">
        <v>118.92</v>
      </c>
      <c r="BK62" s="136">
        <v>109.78</v>
      </c>
      <c r="BM62" s="139">
        <v>1.6063326228282042E-6</v>
      </c>
      <c r="BN62" s="139">
        <v>4.3994420517141293E-8</v>
      </c>
      <c r="BO62" s="139">
        <v>1.6063326228282042E-6</v>
      </c>
      <c r="BP62" s="139">
        <v>2.2054390987802362E-6</v>
      </c>
      <c r="BQ62" s="139">
        <v>4.8033285143682663E-6</v>
      </c>
      <c r="BR62" s="139">
        <v>5.1076811112887822E-4</v>
      </c>
      <c r="BS62" s="139">
        <v>1.6046662805071513E-2</v>
      </c>
      <c r="BT62" s="139">
        <v>1.7799688748931299</v>
      </c>
      <c r="BU62" s="139">
        <v>1.2709581060139401</v>
      </c>
      <c r="BV62" s="139">
        <v>7.5724667325590744E-2</v>
      </c>
    </row>
    <row r="63" spans="1:74" x14ac:dyDescent="0.25">
      <c r="A63" s="137">
        <v>42837</v>
      </c>
      <c r="B63" s="138">
        <v>0.4694444444444445</v>
      </c>
      <c r="C63" s="139">
        <v>111.93</v>
      </c>
      <c r="E63" s="140" t="s">
        <v>169</v>
      </c>
      <c r="F63" s="140">
        <v>111.93</v>
      </c>
      <c r="I63" s="139">
        <v>69.540000000000006</v>
      </c>
      <c r="J63" s="139">
        <v>51.99</v>
      </c>
      <c r="K63" s="139">
        <v>69.540000000000006</v>
      </c>
      <c r="L63" s="139">
        <v>71.08</v>
      </c>
      <c r="M63" s="139">
        <v>74.680000000000007</v>
      </c>
      <c r="N63" s="139">
        <v>93.1</v>
      </c>
      <c r="O63" s="139">
        <v>105.9</v>
      </c>
      <c r="P63" s="139">
        <v>122.33</v>
      </c>
      <c r="Q63" s="139">
        <v>120.43</v>
      </c>
      <c r="S63" s="139">
        <v>5.0974946432140698E-6</v>
      </c>
      <c r="T63" s="139">
        <v>1.0536638207506174E-7</v>
      </c>
      <c r="U63" s="139">
        <v>5.0974946432140698E-6</v>
      </c>
      <c r="V63" s="139">
        <v>7.1824661855378717E-6</v>
      </c>
      <c r="W63" s="139">
        <v>1.6205038874370379E-5</v>
      </c>
      <c r="X63" s="139">
        <v>1.3032147073594349E-3</v>
      </c>
      <c r="Y63" s="139">
        <v>3.1146421407081626E-2</v>
      </c>
      <c r="Z63" s="139">
        <v>2.4436661037580003</v>
      </c>
      <c r="AA63" s="139">
        <v>1.6994770286291261</v>
      </c>
      <c r="AB63" s="139">
        <v>0.13625457400311503</v>
      </c>
      <c r="BB63" s="136">
        <v>69.540000000000006</v>
      </c>
      <c r="BC63" s="136">
        <v>51.99</v>
      </c>
      <c r="BD63" s="136">
        <v>69.540000000000006</v>
      </c>
      <c r="BE63" s="136">
        <v>71.08</v>
      </c>
      <c r="BF63" s="136">
        <v>74.680000000000007</v>
      </c>
      <c r="BG63" s="136">
        <v>93.1</v>
      </c>
      <c r="BH63" s="136">
        <v>105.9</v>
      </c>
      <c r="BI63" s="136">
        <v>122.33</v>
      </c>
      <c r="BJ63" s="136">
        <v>120.43</v>
      </c>
      <c r="BK63" s="136">
        <v>111.93</v>
      </c>
      <c r="BM63" s="139">
        <v>5.0974946432140698E-6</v>
      </c>
      <c r="BN63" s="139">
        <v>1.0536638207506174E-7</v>
      </c>
      <c r="BO63" s="139">
        <v>5.0974946432140698E-6</v>
      </c>
      <c r="BP63" s="139">
        <v>7.1824661855378717E-6</v>
      </c>
      <c r="BQ63" s="139">
        <v>1.6205038874370379E-5</v>
      </c>
      <c r="BR63" s="139">
        <v>1.3032147073594349E-3</v>
      </c>
      <c r="BS63" s="139">
        <v>3.1146421407081626E-2</v>
      </c>
      <c r="BT63" s="139">
        <v>2.4436661037580003</v>
      </c>
      <c r="BU63" s="139">
        <v>1.6994770286291261</v>
      </c>
      <c r="BV63" s="139">
        <v>0.13625457400311503</v>
      </c>
    </row>
    <row r="64" spans="1:74" x14ac:dyDescent="0.25">
      <c r="A64" s="137">
        <v>42837</v>
      </c>
      <c r="B64" s="138">
        <v>0.46979166666666666</v>
      </c>
      <c r="C64" s="139">
        <v>113.83</v>
      </c>
      <c r="E64" s="140" t="s">
        <v>169</v>
      </c>
      <c r="F64" s="140">
        <v>113.83</v>
      </c>
      <c r="I64" s="139">
        <v>74.150000000000006</v>
      </c>
      <c r="J64" s="139">
        <v>55.8</v>
      </c>
      <c r="K64" s="139">
        <v>74.150000000000006</v>
      </c>
      <c r="L64" s="139">
        <v>75.73</v>
      </c>
      <c r="M64" s="139">
        <v>79.459999999999994</v>
      </c>
      <c r="N64" s="139">
        <v>96.56</v>
      </c>
      <c r="O64" s="139">
        <v>108.22</v>
      </c>
      <c r="P64" s="139">
        <v>123.3</v>
      </c>
      <c r="Q64" s="139">
        <v>121.88</v>
      </c>
      <c r="S64" s="139">
        <v>1.5189326461621899E-5</v>
      </c>
      <c r="T64" s="139">
        <v>2.5292684340838107E-7</v>
      </c>
      <c r="U64" s="139">
        <v>1.5189326461621899E-5</v>
      </c>
      <c r="V64" s="139">
        <v>2.170257945786014E-5</v>
      </c>
      <c r="W64" s="139">
        <v>5.0479450197003445E-5</v>
      </c>
      <c r="X64" s="139">
        <v>3.0610169100009276E-3</v>
      </c>
      <c r="Y64" s="139">
        <v>5.6907853636169473E-2</v>
      </c>
      <c r="Z64" s="139">
        <v>3.2734595574767811</v>
      </c>
      <c r="AA64" s="139">
        <v>2.2978472942827479</v>
      </c>
      <c r="AB64" s="139">
        <v>0.23000429940648601</v>
      </c>
      <c r="BB64" s="136">
        <v>74.150000000000006</v>
      </c>
      <c r="BC64" s="136">
        <v>55.8</v>
      </c>
      <c r="BD64" s="136">
        <v>74.150000000000006</v>
      </c>
      <c r="BE64" s="136">
        <v>75.73</v>
      </c>
      <c r="BF64" s="136">
        <v>79.459999999999994</v>
      </c>
      <c r="BG64" s="136">
        <v>96.56</v>
      </c>
      <c r="BH64" s="136">
        <v>108.22</v>
      </c>
      <c r="BI64" s="136">
        <v>123.3</v>
      </c>
      <c r="BJ64" s="136">
        <v>121.88</v>
      </c>
      <c r="BK64" s="136">
        <v>113.83</v>
      </c>
      <c r="BM64" s="139">
        <v>1.5189326461621899E-5</v>
      </c>
      <c r="BN64" s="139">
        <v>2.5292684340838107E-7</v>
      </c>
      <c r="BO64" s="139">
        <v>1.5189326461621899E-5</v>
      </c>
      <c r="BP64" s="139">
        <v>2.170257945786014E-5</v>
      </c>
      <c r="BQ64" s="139">
        <v>5.0479450197003445E-5</v>
      </c>
      <c r="BR64" s="139">
        <v>3.0610169100009276E-3</v>
      </c>
      <c r="BS64" s="139">
        <v>5.6907853636169473E-2</v>
      </c>
      <c r="BT64" s="139">
        <v>3.2734595574767811</v>
      </c>
      <c r="BU64" s="139">
        <v>2.2978472942827479</v>
      </c>
      <c r="BV64" s="139">
        <v>0.23000429940648601</v>
      </c>
    </row>
    <row r="65" spans="1:74" x14ac:dyDescent="0.25">
      <c r="A65" s="137">
        <v>42837</v>
      </c>
      <c r="B65" s="138">
        <v>0.47013888888888888</v>
      </c>
      <c r="C65" s="139">
        <v>115.46</v>
      </c>
      <c r="E65" s="140" t="s">
        <v>169</v>
      </c>
      <c r="F65" s="140">
        <v>115.46</v>
      </c>
      <c r="I65" s="139">
        <v>78.459999999999994</v>
      </c>
      <c r="J65" s="139">
        <v>59.56</v>
      </c>
      <c r="K65" s="139">
        <v>78.459999999999994</v>
      </c>
      <c r="L65" s="139">
        <v>80.13</v>
      </c>
      <c r="M65" s="139">
        <v>83.92</v>
      </c>
      <c r="N65" s="139">
        <v>99.69</v>
      </c>
      <c r="O65" s="139">
        <v>110.29</v>
      </c>
      <c r="P65" s="139">
        <v>124.26</v>
      </c>
      <c r="Q65" s="139">
        <v>122.96</v>
      </c>
      <c r="S65" s="139">
        <v>4.2414459103742928E-5</v>
      </c>
      <c r="T65" s="139">
        <v>6.03654492618367E-7</v>
      </c>
      <c r="U65" s="139">
        <v>4.2414459103742928E-5</v>
      </c>
      <c r="V65" s="139">
        <v>6.1694292208211576E-5</v>
      </c>
      <c r="W65" s="139">
        <v>1.4619224644805788E-4</v>
      </c>
      <c r="X65" s="139">
        <v>6.6748659280117797E-3</v>
      </c>
      <c r="Y65" s="139">
        <v>9.84003920118907E-2</v>
      </c>
      <c r="Z65" s="139">
        <v>4.3085302318723047</v>
      </c>
      <c r="AA65" s="139">
        <v>3.065155785682395</v>
      </c>
      <c r="AB65" s="139">
        <v>0.36645318854688802</v>
      </c>
      <c r="BB65" s="136">
        <v>78.459999999999994</v>
      </c>
      <c r="BC65" s="136">
        <v>59.56</v>
      </c>
      <c r="BD65" s="136">
        <v>78.459999999999994</v>
      </c>
      <c r="BE65" s="136">
        <v>80.13</v>
      </c>
      <c r="BF65" s="136">
        <v>83.92</v>
      </c>
      <c r="BG65" s="136">
        <v>99.69</v>
      </c>
      <c r="BH65" s="136">
        <v>110.29</v>
      </c>
      <c r="BI65" s="136">
        <v>124.26</v>
      </c>
      <c r="BJ65" s="136">
        <v>122.96</v>
      </c>
      <c r="BK65" s="136">
        <v>115.46</v>
      </c>
      <c r="BM65" s="139">
        <v>4.2414459103742928E-5</v>
      </c>
      <c r="BN65" s="139">
        <v>6.03654492618367E-7</v>
      </c>
      <c r="BO65" s="139">
        <v>4.2414459103742928E-5</v>
      </c>
      <c r="BP65" s="139">
        <v>6.1694292208211576E-5</v>
      </c>
      <c r="BQ65" s="139">
        <v>1.4619224644805788E-4</v>
      </c>
      <c r="BR65" s="139">
        <v>6.6748659280117797E-3</v>
      </c>
      <c r="BS65" s="139">
        <v>9.84003920118907E-2</v>
      </c>
      <c r="BT65" s="139">
        <v>4.3085302318723047</v>
      </c>
      <c r="BU65" s="139">
        <v>3.065155785682395</v>
      </c>
      <c r="BV65" s="139">
        <v>0.36645318854688802</v>
      </c>
    </row>
    <row r="66" spans="1:74" x14ac:dyDescent="0.25">
      <c r="A66" s="137">
        <v>42837</v>
      </c>
      <c r="B66" s="138">
        <v>0.4704861111111111</v>
      </c>
      <c r="C66" s="139">
        <v>116.96</v>
      </c>
      <c r="E66" s="140" t="s">
        <v>169</v>
      </c>
      <c r="F66" s="140">
        <v>116.96</v>
      </c>
      <c r="I66" s="139">
        <v>82.44</v>
      </c>
      <c r="J66" s="139">
        <v>63.18</v>
      </c>
      <c r="K66" s="139">
        <v>82.44</v>
      </c>
      <c r="L66" s="139">
        <v>84.16</v>
      </c>
      <c r="M66" s="139">
        <v>88.03</v>
      </c>
      <c r="N66" s="139">
        <v>102.55</v>
      </c>
      <c r="O66" s="139">
        <v>112.22</v>
      </c>
      <c r="P66" s="139">
        <v>125.34</v>
      </c>
      <c r="Q66" s="139">
        <v>123.14</v>
      </c>
      <c r="S66" s="139">
        <v>1.1048669322704048E-4</v>
      </c>
      <c r="T66" s="139">
        <v>1.4108337710316091E-6</v>
      </c>
      <c r="U66" s="139">
        <v>1.1048669322704048E-4</v>
      </c>
      <c r="V66" s="139">
        <v>1.6284525114212503E-4</v>
      </c>
      <c r="W66" s="139">
        <v>3.9277914842552605E-4</v>
      </c>
      <c r="X66" s="139">
        <v>1.3656707733291468E-2</v>
      </c>
      <c r="Y66" s="139">
        <v>0.16311018408439007</v>
      </c>
      <c r="Z66" s="139">
        <v>5.6358330128600773</v>
      </c>
      <c r="AA66" s="139">
        <v>3.8649347999897308</v>
      </c>
      <c r="AB66" s="139">
        <v>0.55919236737977385</v>
      </c>
      <c r="BB66" s="136">
        <v>82.44</v>
      </c>
      <c r="BC66" s="136">
        <v>63.18</v>
      </c>
      <c r="BD66" s="136">
        <v>82.44</v>
      </c>
      <c r="BE66" s="136">
        <v>84.16</v>
      </c>
      <c r="BF66" s="136">
        <v>88.03</v>
      </c>
      <c r="BG66" s="136">
        <v>102.55</v>
      </c>
      <c r="BH66" s="136">
        <v>112.22</v>
      </c>
      <c r="BI66" s="136">
        <v>125.34</v>
      </c>
      <c r="BJ66" s="136">
        <v>123.14</v>
      </c>
      <c r="BK66" s="136">
        <v>116.96</v>
      </c>
      <c r="BM66" s="139">
        <v>1.1048669322704048E-4</v>
      </c>
      <c r="BN66" s="139">
        <v>1.4108337710316091E-6</v>
      </c>
      <c r="BO66" s="139">
        <v>1.1048669322704048E-4</v>
      </c>
      <c r="BP66" s="139">
        <v>1.6284525114212503E-4</v>
      </c>
      <c r="BQ66" s="139">
        <v>3.9277914842552605E-4</v>
      </c>
      <c r="BR66" s="139">
        <v>1.3656707733291468E-2</v>
      </c>
      <c r="BS66" s="139">
        <v>0.16311018408439007</v>
      </c>
      <c r="BT66" s="139">
        <v>5.6358330128600773</v>
      </c>
      <c r="BU66" s="139">
        <v>3.8649347999897308</v>
      </c>
      <c r="BV66" s="139">
        <v>0.55919236737977385</v>
      </c>
    </row>
    <row r="67" spans="1:74" x14ac:dyDescent="0.25">
      <c r="A67" s="137">
        <v>42837</v>
      </c>
      <c r="B67" s="138">
        <v>0.47083333333333338</v>
      </c>
      <c r="C67" s="139">
        <v>118.38</v>
      </c>
      <c r="E67" s="140" t="s">
        <v>169</v>
      </c>
      <c r="F67" s="140">
        <v>118.38</v>
      </c>
      <c r="I67" s="139">
        <v>86.18</v>
      </c>
      <c r="J67" s="139">
        <v>66.739999999999995</v>
      </c>
      <c r="K67" s="139">
        <v>86.18</v>
      </c>
      <c r="L67" s="139">
        <v>87.83</v>
      </c>
      <c r="M67" s="139">
        <v>91.83</v>
      </c>
      <c r="N67" s="139">
        <v>105.17</v>
      </c>
      <c r="O67" s="139">
        <v>114.03</v>
      </c>
      <c r="P67" s="139">
        <v>126.5</v>
      </c>
      <c r="Q67" s="139">
        <v>123.55</v>
      </c>
      <c r="S67" s="139">
        <v>2.7154013279121251E-4</v>
      </c>
      <c r="T67" s="139">
        <v>3.2430216442707747E-6</v>
      </c>
      <c r="U67" s="139">
        <v>2.7154013279121251E-4</v>
      </c>
      <c r="V67" s="139">
        <v>3.9833391434060151E-4</v>
      </c>
      <c r="W67" s="139">
        <v>9.8429992628810839E-4</v>
      </c>
      <c r="X67" s="139">
        <v>2.6420214246597715E-2</v>
      </c>
      <c r="Y67" s="139">
        <v>0.26127819792619256</v>
      </c>
      <c r="Z67" s="139">
        <v>7.3695172651227381</v>
      </c>
      <c r="AA67" s="139">
        <v>4.743896606969078</v>
      </c>
      <c r="AB67" s="139">
        <v>0.82647454707825974</v>
      </c>
      <c r="BB67" s="136">
        <v>86.18</v>
      </c>
      <c r="BC67" s="136">
        <v>66.739999999999995</v>
      </c>
      <c r="BD67" s="136">
        <v>86.18</v>
      </c>
      <c r="BE67" s="136">
        <v>87.83</v>
      </c>
      <c r="BF67" s="136">
        <v>91.83</v>
      </c>
      <c r="BG67" s="136">
        <v>105.17</v>
      </c>
      <c r="BH67" s="136">
        <v>114.03</v>
      </c>
      <c r="BI67" s="136">
        <v>126.5</v>
      </c>
      <c r="BJ67" s="136">
        <v>123.55</v>
      </c>
      <c r="BK67" s="136">
        <v>118.38</v>
      </c>
      <c r="BM67" s="139">
        <v>2.7154013279121251E-4</v>
      </c>
      <c r="BN67" s="139">
        <v>3.2430216442707747E-6</v>
      </c>
      <c r="BO67" s="139">
        <v>2.7154013279121251E-4</v>
      </c>
      <c r="BP67" s="139">
        <v>3.9833391434060151E-4</v>
      </c>
      <c r="BQ67" s="139">
        <v>9.8429992628810839E-4</v>
      </c>
      <c r="BR67" s="139">
        <v>2.6420214246597715E-2</v>
      </c>
      <c r="BS67" s="139">
        <v>0.26127819792619256</v>
      </c>
      <c r="BT67" s="139">
        <v>7.3695172651227381</v>
      </c>
      <c r="BU67" s="139">
        <v>4.743896606969078</v>
      </c>
      <c r="BV67" s="139">
        <v>0.82647454707825974</v>
      </c>
    </row>
    <row r="68" spans="1:74" x14ac:dyDescent="0.25">
      <c r="A68" s="137">
        <v>42837</v>
      </c>
      <c r="B68" s="138">
        <v>0.47118055555555555</v>
      </c>
      <c r="C68" s="139">
        <v>119.61</v>
      </c>
      <c r="E68" s="140" t="s">
        <v>169</v>
      </c>
      <c r="F68" s="140">
        <v>119.61</v>
      </c>
      <c r="I68" s="139">
        <v>89.65</v>
      </c>
      <c r="J68" s="139">
        <v>70.2</v>
      </c>
      <c r="K68" s="139">
        <v>89.65</v>
      </c>
      <c r="L68" s="139">
        <v>91.32</v>
      </c>
      <c r="M68" s="139">
        <v>95.26</v>
      </c>
      <c r="N68" s="139">
        <v>107.54</v>
      </c>
      <c r="O68" s="139">
        <v>115.44</v>
      </c>
      <c r="P68" s="139">
        <v>124.78</v>
      </c>
      <c r="Q68" s="139">
        <v>123.52</v>
      </c>
      <c r="S68" s="139">
        <v>6.2961183789766442E-4</v>
      </c>
      <c r="T68" s="139">
        <v>7.3071742250912738E-6</v>
      </c>
      <c r="U68" s="139">
        <v>6.2961183789766442E-4</v>
      </c>
      <c r="V68" s="139">
        <v>9.2431485125221225E-4</v>
      </c>
      <c r="W68" s="139">
        <v>2.2873767012875591E-3</v>
      </c>
      <c r="X68" s="139">
        <v>4.8447957421925439E-2</v>
      </c>
      <c r="Y68" s="139">
        <v>0.39710016136814674</v>
      </c>
      <c r="Z68" s="139">
        <v>8.5362462962632417</v>
      </c>
      <c r="AA68" s="139">
        <v>5.6168076834293306</v>
      </c>
      <c r="AB68" s="139">
        <v>1.1812634310599546</v>
      </c>
      <c r="BB68" s="136">
        <v>89.65</v>
      </c>
      <c r="BC68" s="136">
        <v>70.2</v>
      </c>
      <c r="BD68" s="136">
        <v>89.65</v>
      </c>
      <c r="BE68" s="136">
        <v>91.32</v>
      </c>
      <c r="BF68" s="136">
        <v>95.26</v>
      </c>
      <c r="BG68" s="136">
        <v>107.54</v>
      </c>
      <c r="BH68" s="136">
        <v>115.44</v>
      </c>
      <c r="BI68" s="136">
        <v>124.78</v>
      </c>
      <c r="BJ68" s="136">
        <v>123.52</v>
      </c>
      <c r="BK68" s="136">
        <v>119.61</v>
      </c>
      <c r="BM68" s="139">
        <v>6.2961183789766442E-4</v>
      </c>
      <c r="BN68" s="139">
        <v>7.3071742250912738E-6</v>
      </c>
      <c r="BO68" s="139">
        <v>6.2961183789766442E-4</v>
      </c>
      <c r="BP68" s="139">
        <v>9.2431485125221225E-4</v>
      </c>
      <c r="BQ68" s="139">
        <v>2.2873767012875591E-3</v>
      </c>
      <c r="BR68" s="139">
        <v>4.8447957421925439E-2</v>
      </c>
      <c r="BS68" s="139">
        <v>0.39710016136814674</v>
      </c>
      <c r="BT68" s="139">
        <v>8.5362462962632417</v>
      </c>
      <c r="BU68" s="139">
        <v>5.6168076834293306</v>
      </c>
      <c r="BV68" s="139">
        <v>1.1812634310599546</v>
      </c>
    </row>
    <row r="69" spans="1:74" x14ac:dyDescent="0.25">
      <c r="A69" s="137">
        <v>42837</v>
      </c>
      <c r="B69" s="138">
        <v>0.47152777777777777</v>
      </c>
      <c r="C69" s="139">
        <v>120.16</v>
      </c>
      <c r="E69" s="140" t="s">
        <v>169</v>
      </c>
      <c r="F69" s="140">
        <v>120.16</v>
      </c>
      <c r="I69" s="139">
        <v>92.79</v>
      </c>
      <c r="J69" s="139">
        <v>73.44</v>
      </c>
      <c r="K69" s="139">
        <v>92.79</v>
      </c>
      <c r="L69" s="139">
        <v>94.23</v>
      </c>
      <c r="M69" s="139">
        <v>98.08</v>
      </c>
      <c r="N69" s="139">
        <v>109.53</v>
      </c>
      <c r="O69" s="139">
        <v>115.64</v>
      </c>
      <c r="P69" s="139">
        <v>121.87</v>
      </c>
      <c r="Q69" s="139">
        <v>121.46</v>
      </c>
      <c r="S69" s="139">
        <v>1.3674651045356135E-3</v>
      </c>
      <c r="T69" s="139">
        <v>1.587696076263339E-5</v>
      </c>
      <c r="U69" s="139">
        <v>1.3674651045356135E-3</v>
      </c>
      <c r="V69" s="139">
        <v>1.9522601492442853E-3</v>
      </c>
      <c r="W69" s="139">
        <v>4.7817991385876203E-3</v>
      </c>
      <c r="X69" s="139">
        <v>8.327928312746391E-2</v>
      </c>
      <c r="Y69" s="139">
        <v>0.53932321674054273</v>
      </c>
      <c r="Z69" s="139">
        <v>9.133240348495379</v>
      </c>
      <c r="AA69" s="139">
        <v>6.1600204952378634</v>
      </c>
      <c r="AB69" s="139">
        <v>1.5839526516594882</v>
      </c>
      <c r="BB69" s="136">
        <v>92.79</v>
      </c>
      <c r="BC69" s="136">
        <v>73.44</v>
      </c>
      <c r="BD69" s="136">
        <v>92.79</v>
      </c>
      <c r="BE69" s="136">
        <v>94.23</v>
      </c>
      <c r="BF69" s="136">
        <v>98.08</v>
      </c>
      <c r="BG69" s="136">
        <v>109.53</v>
      </c>
      <c r="BH69" s="136">
        <v>115.64</v>
      </c>
      <c r="BI69" s="136">
        <v>121.87</v>
      </c>
      <c r="BJ69" s="136">
        <v>121.46</v>
      </c>
      <c r="BK69" s="136">
        <v>120.16</v>
      </c>
      <c r="BM69" s="139">
        <v>1.3674651045356135E-3</v>
      </c>
      <c r="BN69" s="139">
        <v>1.587696076263339E-5</v>
      </c>
      <c r="BO69" s="139">
        <v>1.3674651045356135E-3</v>
      </c>
      <c r="BP69" s="139">
        <v>1.9522601492442853E-3</v>
      </c>
      <c r="BQ69" s="139">
        <v>4.7817991385876203E-3</v>
      </c>
      <c r="BR69" s="139">
        <v>8.327928312746391E-2</v>
      </c>
      <c r="BS69" s="139">
        <v>0.53932321674054273</v>
      </c>
      <c r="BT69" s="139">
        <v>9.133240348495379</v>
      </c>
      <c r="BU69" s="139">
        <v>6.1600204952378634</v>
      </c>
      <c r="BV69" s="139">
        <v>1.5839526516594882</v>
      </c>
    </row>
    <row r="70" spans="1:74" x14ac:dyDescent="0.25">
      <c r="A70" s="141">
        <v>42837</v>
      </c>
      <c r="B70" s="142">
        <v>0.47187499999999999</v>
      </c>
      <c r="C70" s="143">
        <v>120.68</v>
      </c>
      <c r="E70" s="144" t="s">
        <v>169</v>
      </c>
      <c r="F70" s="158">
        <v>120.68</v>
      </c>
      <c r="I70" s="143">
        <v>95.53</v>
      </c>
      <c r="J70" s="143">
        <v>76.400000000000006</v>
      </c>
      <c r="K70" s="143">
        <v>95.53</v>
      </c>
      <c r="L70" s="143">
        <v>96.89</v>
      </c>
      <c r="M70" s="143">
        <v>100.66</v>
      </c>
      <c r="N70" s="143">
        <v>111.19</v>
      </c>
      <c r="O70" s="143">
        <v>116.91</v>
      </c>
      <c r="P70" s="143">
        <v>123.56</v>
      </c>
      <c r="Q70" s="143">
        <v>122.79</v>
      </c>
      <c r="S70" s="145">
        <v>2.7541251568615347E-3</v>
      </c>
      <c r="T70" s="145">
        <v>3.2819168569593545E-5</v>
      </c>
      <c r="U70" s="145">
        <v>2.7541251568615347E-3</v>
      </c>
      <c r="V70" s="145">
        <v>3.848835074112697E-3</v>
      </c>
      <c r="W70" s="145">
        <v>9.300046507199131E-3</v>
      </c>
      <c r="X70" s="145">
        <v>0.13432625731284795</v>
      </c>
      <c r="Y70" s="145">
        <v>0.72985612843742931</v>
      </c>
      <c r="Z70" s="145">
        <v>10.014228371701195</v>
      </c>
      <c r="AA70" s="145">
        <v>6.8978737618758128</v>
      </c>
      <c r="AB70" s="145">
        <v>2.0378629167485824</v>
      </c>
      <c r="BB70" s="136">
        <v>95.53</v>
      </c>
      <c r="BC70" s="136">
        <v>76.400000000000006</v>
      </c>
      <c r="BD70" s="136">
        <v>95.53</v>
      </c>
      <c r="BE70" s="136">
        <v>96.89</v>
      </c>
      <c r="BF70" s="136">
        <v>100.66</v>
      </c>
      <c r="BG70" s="136">
        <v>111.19</v>
      </c>
      <c r="BH70" s="136">
        <v>116.91</v>
      </c>
      <c r="BI70" s="136">
        <v>123.56</v>
      </c>
      <c r="BJ70" s="136">
        <v>122.79</v>
      </c>
      <c r="BK70" s="136">
        <v>120.68</v>
      </c>
      <c r="BM70" s="145">
        <v>2.7541251568615347E-3</v>
      </c>
      <c r="BN70" s="145">
        <v>3.2819168569593545E-5</v>
      </c>
      <c r="BO70" s="145">
        <v>2.7541251568615347E-3</v>
      </c>
      <c r="BP70" s="145">
        <v>3.848835074112697E-3</v>
      </c>
      <c r="BQ70" s="145">
        <v>9.300046507199131E-3</v>
      </c>
      <c r="BR70" s="145">
        <v>0.13432625731284795</v>
      </c>
      <c r="BS70" s="145">
        <v>0.72985612843742931</v>
      </c>
      <c r="BT70" s="145">
        <v>10.014228371701195</v>
      </c>
      <c r="BU70" s="145">
        <v>6.8978737618758128</v>
      </c>
      <c r="BV70" s="145">
        <v>2.0378629167485824</v>
      </c>
    </row>
    <row r="71" spans="1:74" x14ac:dyDescent="0.25">
      <c r="A71" s="141">
        <v>42837</v>
      </c>
      <c r="B71" s="142">
        <v>0.47222222222222227</v>
      </c>
      <c r="C71" s="143">
        <v>120.88</v>
      </c>
      <c r="E71" s="144" t="s">
        <v>169</v>
      </c>
      <c r="F71" s="158">
        <v>120.88</v>
      </c>
      <c r="I71" s="143">
        <v>97.82</v>
      </c>
      <c r="J71" s="143">
        <v>79.16</v>
      </c>
      <c r="K71" s="143">
        <v>97.82</v>
      </c>
      <c r="L71" s="143">
        <v>99.34</v>
      </c>
      <c r="M71" s="143">
        <v>103</v>
      </c>
      <c r="N71" s="143">
        <v>112.62</v>
      </c>
      <c r="O71" s="143">
        <v>117.7</v>
      </c>
      <c r="P71" s="143">
        <v>123.26</v>
      </c>
      <c r="Q71" s="143">
        <v>123.17</v>
      </c>
      <c r="S71" s="145">
        <v>5.1035956998876086E-3</v>
      </c>
      <c r="T71" s="145">
        <v>6.4805910343725953E-5</v>
      </c>
      <c r="U71" s="145">
        <v>5.1035956998876086E-3</v>
      </c>
      <c r="V71" s="145">
        <v>7.182868920180812E-3</v>
      </c>
      <c r="W71" s="145">
        <v>1.7044129601761548E-2</v>
      </c>
      <c r="X71" s="145">
        <v>0.20527913339730269</v>
      </c>
      <c r="Y71" s="145">
        <v>0.95840022324486718</v>
      </c>
      <c r="Z71" s="145">
        <v>10.836414233308663</v>
      </c>
      <c r="AA71" s="145">
        <v>7.7031965794649491</v>
      </c>
      <c r="AB71" s="145">
        <v>2.5131653135767231</v>
      </c>
      <c r="BB71" s="136">
        <v>97.82</v>
      </c>
      <c r="BC71" s="136">
        <v>79.16</v>
      </c>
      <c r="BD71" s="136">
        <v>97.82</v>
      </c>
      <c r="BE71" s="136">
        <v>99.34</v>
      </c>
      <c r="BF71" s="136">
        <v>103</v>
      </c>
      <c r="BG71" s="136">
        <v>112.62</v>
      </c>
      <c r="BH71" s="136">
        <v>117.7</v>
      </c>
      <c r="BI71" s="136">
        <v>123.26</v>
      </c>
      <c r="BJ71" s="136">
        <v>123.17</v>
      </c>
      <c r="BK71" s="136">
        <v>120.88</v>
      </c>
      <c r="BM71" s="145">
        <v>5.1035956998876086E-3</v>
      </c>
      <c r="BN71" s="145">
        <v>6.4805910343725953E-5</v>
      </c>
      <c r="BO71" s="145">
        <v>5.1035956998876086E-3</v>
      </c>
      <c r="BP71" s="145">
        <v>7.182868920180812E-3</v>
      </c>
      <c r="BQ71" s="145">
        <v>1.7044129601761548E-2</v>
      </c>
      <c r="BR71" s="145">
        <v>0.20527913339730269</v>
      </c>
      <c r="BS71" s="145">
        <v>0.95840022324486718</v>
      </c>
      <c r="BT71" s="145">
        <v>10.836414233308663</v>
      </c>
      <c r="BU71" s="145">
        <v>7.7031965794649491</v>
      </c>
      <c r="BV71" s="145">
        <v>2.5131653135767231</v>
      </c>
    </row>
    <row r="72" spans="1:74" x14ac:dyDescent="0.25">
      <c r="A72" s="141">
        <v>42837</v>
      </c>
      <c r="B72" s="142">
        <v>0.47256944444444443</v>
      </c>
      <c r="C72" s="143">
        <v>121.32</v>
      </c>
      <c r="E72" s="144" t="s">
        <v>169</v>
      </c>
      <c r="F72" s="158">
        <v>121.32</v>
      </c>
      <c r="I72" s="143">
        <v>100.1</v>
      </c>
      <c r="J72" s="143">
        <v>81.78</v>
      </c>
      <c r="K72" s="143">
        <v>100.1</v>
      </c>
      <c r="L72" s="143">
        <v>101.51</v>
      </c>
      <c r="M72" s="143">
        <v>105.13</v>
      </c>
      <c r="N72" s="143">
        <v>113.9</v>
      </c>
      <c r="O72" s="143">
        <v>117.93</v>
      </c>
      <c r="P72" s="143">
        <v>122.65</v>
      </c>
      <c r="Q72" s="143">
        <v>122.02</v>
      </c>
      <c r="S72" s="145">
        <v>9.0752368735090155E-3</v>
      </c>
      <c r="T72" s="145">
        <v>1.2328087989471953E-4</v>
      </c>
      <c r="U72" s="145">
        <v>9.0752368735090155E-3</v>
      </c>
      <c r="V72" s="145">
        <v>1.2677898117343427E-2</v>
      </c>
      <c r="W72" s="145">
        <v>2.9690619583992266E-2</v>
      </c>
      <c r="X72" s="145">
        <v>0.3005521692954653</v>
      </c>
      <c r="Y72" s="145">
        <v>1.1993741220574314</v>
      </c>
      <c r="Z72" s="145">
        <v>11.550861212564216</v>
      </c>
      <c r="AA72" s="145">
        <v>8.3211702961872049</v>
      </c>
      <c r="AB72" s="145">
        <v>3.0391462504883346</v>
      </c>
      <c r="BB72" s="136">
        <v>100.1</v>
      </c>
      <c r="BC72" s="136">
        <v>81.78</v>
      </c>
      <c r="BD72" s="136">
        <v>100.1</v>
      </c>
      <c r="BE72" s="136">
        <v>101.51</v>
      </c>
      <c r="BF72" s="136">
        <v>105.13</v>
      </c>
      <c r="BG72" s="136">
        <v>113.9</v>
      </c>
      <c r="BH72" s="136">
        <v>117.93</v>
      </c>
      <c r="BI72" s="136">
        <v>122.65</v>
      </c>
      <c r="BJ72" s="136">
        <v>122.02</v>
      </c>
      <c r="BK72" s="136">
        <v>121.32</v>
      </c>
      <c r="BM72" s="145">
        <v>9.0752368735090155E-3</v>
      </c>
      <c r="BN72" s="145">
        <v>1.2328087989471953E-4</v>
      </c>
      <c r="BO72" s="145">
        <v>9.0752368735090155E-3</v>
      </c>
      <c r="BP72" s="145">
        <v>1.2677898117343427E-2</v>
      </c>
      <c r="BQ72" s="145">
        <v>2.9690619583992266E-2</v>
      </c>
      <c r="BR72" s="145">
        <v>0.3005521692954653</v>
      </c>
      <c r="BS72" s="145">
        <v>1.1993741220574314</v>
      </c>
      <c r="BT72" s="145">
        <v>11.550861212564216</v>
      </c>
      <c r="BU72" s="145">
        <v>8.3211702961872049</v>
      </c>
      <c r="BV72" s="145">
        <v>3.0391462504883346</v>
      </c>
    </row>
    <row r="73" spans="1:74" x14ac:dyDescent="0.25">
      <c r="A73" s="141">
        <v>42837</v>
      </c>
      <c r="B73" s="142">
        <v>0.47291666666666665</v>
      </c>
      <c r="C73" s="143">
        <v>121.51</v>
      </c>
      <c r="E73" s="144" t="s">
        <v>169</v>
      </c>
      <c r="F73" s="158">
        <v>121.51</v>
      </c>
      <c r="I73" s="143">
        <v>102.2</v>
      </c>
      <c r="J73" s="143">
        <v>84.22</v>
      </c>
      <c r="K73" s="143">
        <v>102.2</v>
      </c>
      <c r="L73" s="143">
        <v>103.52</v>
      </c>
      <c r="M73" s="143">
        <v>107.03</v>
      </c>
      <c r="N73" s="143">
        <v>114.96</v>
      </c>
      <c r="O73" s="143">
        <v>118.77</v>
      </c>
      <c r="P73" s="143">
        <v>123.85</v>
      </c>
      <c r="Q73" s="143">
        <v>123.02</v>
      </c>
      <c r="S73" s="145">
        <v>1.5516484631974694E-2</v>
      </c>
      <c r="T73" s="145">
        <v>2.2583898883599772E-4</v>
      </c>
      <c r="U73" s="145">
        <v>1.5516484631974694E-2</v>
      </c>
      <c r="V73" s="145">
        <v>2.1407008881945952E-2</v>
      </c>
      <c r="W73" s="145">
        <v>4.9277713439381449E-2</v>
      </c>
      <c r="X73" s="145">
        <v>0.422162369749156</v>
      </c>
      <c r="Y73" s="145">
        <v>1.4917691641296718</v>
      </c>
      <c r="Z73" s="145">
        <v>12.492685757309117</v>
      </c>
      <c r="AA73" s="145">
        <v>9.0991531119897431</v>
      </c>
      <c r="AB73" s="145">
        <v>3.5886491702045964</v>
      </c>
      <c r="BB73" s="136">
        <v>102.2</v>
      </c>
      <c r="BC73" s="136">
        <v>84.22</v>
      </c>
      <c r="BD73" s="136">
        <v>102.2</v>
      </c>
      <c r="BE73" s="136">
        <v>103.52</v>
      </c>
      <c r="BF73" s="136">
        <v>107.03</v>
      </c>
      <c r="BG73" s="136">
        <v>114.96</v>
      </c>
      <c r="BH73" s="136">
        <v>118.77</v>
      </c>
      <c r="BI73" s="136">
        <v>123.85</v>
      </c>
      <c r="BJ73" s="136">
        <v>123.02</v>
      </c>
      <c r="BK73" s="136">
        <v>121.51</v>
      </c>
      <c r="BM73" s="145">
        <v>1.5516484631974694E-2</v>
      </c>
      <c r="BN73" s="145">
        <v>2.2583898883599772E-4</v>
      </c>
      <c r="BO73" s="145">
        <v>1.5516484631974694E-2</v>
      </c>
      <c r="BP73" s="145">
        <v>2.1407008881945952E-2</v>
      </c>
      <c r="BQ73" s="145">
        <v>4.9277713439381449E-2</v>
      </c>
      <c r="BR73" s="145">
        <v>0.422162369749156</v>
      </c>
      <c r="BS73" s="145">
        <v>1.4917691641296718</v>
      </c>
      <c r="BT73" s="145">
        <v>12.492685757309117</v>
      </c>
      <c r="BU73" s="145">
        <v>9.0991531119897431</v>
      </c>
      <c r="BV73" s="145">
        <v>3.5886491702045964</v>
      </c>
    </row>
    <row r="74" spans="1:74" x14ac:dyDescent="0.25">
      <c r="A74" s="141">
        <v>42837</v>
      </c>
      <c r="B74" s="142">
        <v>0.47326388888888887</v>
      </c>
      <c r="C74" s="143">
        <v>121.62</v>
      </c>
      <c r="E74" s="144" t="s">
        <v>169</v>
      </c>
      <c r="F74" s="158">
        <v>121.62</v>
      </c>
      <c r="I74" s="143">
        <v>104.16</v>
      </c>
      <c r="J74" s="143">
        <v>86.59</v>
      </c>
      <c r="K74" s="143">
        <v>104.16</v>
      </c>
      <c r="L74" s="143">
        <v>105.36</v>
      </c>
      <c r="M74" s="143">
        <v>108.78</v>
      </c>
      <c r="N74" s="143">
        <v>115.91</v>
      </c>
      <c r="O74" s="143">
        <v>118.89</v>
      </c>
      <c r="P74" s="143">
        <v>122.64</v>
      </c>
      <c r="Q74" s="143">
        <v>122.46</v>
      </c>
      <c r="S74" s="145">
        <v>2.5631580525366057E-2</v>
      </c>
      <c r="T74" s="145">
        <v>4.0283765937771526E-4</v>
      </c>
      <c r="U74" s="145">
        <v>2.5631580525366057E-2</v>
      </c>
      <c r="V74" s="145">
        <v>3.4741302204553362E-2</v>
      </c>
      <c r="W74" s="145">
        <v>7.8584621665082927E-2</v>
      </c>
      <c r="X74" s="145">
        <v>0.57350804115422127</v>
      </c>
      <c r="Y74" s="145">
        <v>1.7923560328713113</v>
      </c>
      <c r="Z74" s="145">
        <v>13.205489554110212</v>
      </c>
      <c r="AA74" s="145">
        <v>9.7830175247876667</v>
      </c>
      <c r="AB74" s="145">
        <v>4.1522478982923534</v>
      </c>
      <c r="BB74" s="136">
        <v>104.16</v>
      </c>
      <c r="BC74" s="136">
        <v>86.59</v>
      </c>
      <c r="BD74" s="136">
        <v>104.16</v>
      </c>
      <c r="BE74" s="136">
        <v>105.36</v>
      </c>
      <c r="BF74" s="136">
        <v>108.78</v>
      </c>
      <c r="BG74" s="136">
        <v>115.91</v>
      </c>
      <c r="BH74" s="136">
        <v>118.89</v>
      </c>
      <c r="BI74" s="136">
        <v>122.64</v>
      </c>
      <c r="BJ74" s="136">
        <v>122.46</v>
      </c>
      <c r="BK74" s="136">
        <v>121.62</v>
      </c>
      <c r="BM74" s="145">
        <v>2.5631580525366057E-2</v>
      </c>
      <c r="BN74" s="145">
        <v>4.0283765937771526E-4</v>
      </c>
      <c r="BO74" s="145">
        <v>2.5631580525366057E-2</v>
      </c>
      <c r="BP74" s="145">
        <v>3.4741302204553362E-2</v>
      </c>
      <c r="BQ74" s="145">
        <v>7.8584621665082927E-2</v>
      </c>
      <c r="BR74" s="145">
        <v>0.57350804115422127</v>
      </c>
      <c r="BS74" s="145">
        <v>1.7923560328713113</v>
      </c>
      <c r="BT74" s="145">
        <v>13.205489554110212</v>
      </c>
      <c r="BU74" s="145">
        <v>9.7830175247876667</v>
      </c>
      <c r="BV74" s="145">
        <v>4.1522478982923534</v>
      </c>
    </row>
    <row r="75" spans="1:74" x14ac:dyDescent="0.25">
      <c r="A75" s="141">
        <v>42837</v>
      </c>
      <c r="B75" s="142">
        <v>0.47361111111111115</v>
      </c>
      <c r="C75" s="143">
        <v>121.92</v>
      </c>
      <c r="E75" s="144" t="s">
        <v>169</v>
      </c>
      <c r="F75" s="158">
        <v>121.92</v>
      </c>
      <c r="I75" s="143">
        <v>105.86</v>
      </c>
      <c r="J75" s="143">
        <v>88.75</v>
      </c>
      <c r="K75" s="143">
        <v>105.86</v>
      </c>
      <c r="L75" s="143">
        <v>107.01</v>
      </c>
      <c r="M75" s="143">
        <v>110.3</v>
      </c>
      <c r="N75" s="143">
        <v>116.74</v>
      </c>
      <c r="O75" s="143">
        <v>119.49</v>
      </c>
      <c r="P75" s="143">
        <v>123.59</v>
      </c>
      <c r="Q75" s="143">
        <v>122.6</v>
      </c>
      <c r="S75" s="145">
        <v>4.0592903708407013E-2</v>
      </c>
      <c r="T75" s="145">
        <v>6.9388926826315111E-4</v>
      </c>
      <c r="U75" s="145">
        <v>4.0592903708407013E-2</v>
      </c>
      <c r="V75" s="145">
        <v>5.4238401538380575E-2</v>
      </c>
      <c r="W75" s="145">
        <v>0.1201728102202165</v>
      </c>
      <c r="X75" s="145">
        <v>0.75672682847813788</v>
      </c>
      <c r="Y75" s="145">
        <v>2.1374759347914325</v>
      </c>
      <c r="Z75" s="145">
        <v>14.092584294555296</v>
      </c>
      <c r="AA75" s="145">
        <v>10.489286297099044</v>
      </c>
      <c r="AB75" s="145">
        <v>4.7561548158457443</v>
      </c>
      <c r="BB75" s="136">
        <v>105.86</v>
      </c>
      <c r="BC75" s="136">
        <v>88.75</v>
      </c>
      <c r="BD75" s="136">
        <v>105.86</v>
      </c>
      <c r="BE75" s="136">
        <v>107.01</v>
      </c>
      <c r="BF75" s="136">
        <v>110.3</v>
      </c>
      <c r="BG75" s="136">
        <v>116.74</v>
      </c>
      <c r="BH75" s="136">
        <v>119.49</v>
      </c>
      <c r="BI75" s="136">
        <v>123.59</v>
      </c>
      <c r="BJ75" s="136">
        <v>122.6</v>
      </c>
      <c r="BK75" s="136">
        <v>121.92</v>
      </c>
      <c r="BM75" s="145">
        <v>4.0592903708407013E-2</v>
      </c>
      <c r="BN75" s="145">
        <v>6.9388926826315111E-4</v>
      </c>
      <c r="BO75" s="145">
        <v>4.0592903708407013E-2</v>
      </c>
      <c r="BP75" s="145">
        <v>5.4238401538380575E-2</v>
      </c>
      <c r="BQ75" s="145">
        <v>0.1201728102202165</v>
      </c>
      <c r="BR75" s="145">
        <v>0.75672682847813788</v>
      </c>
      <c r="BS75" s="145">
        <v>2.1374759347914325</v>
      </c>
      <c r="BT75" s="145">
        <v>14.092584294555296</v>
      </c>
      <c r="BU75" s="145">
        <v>10.489286297099044</v>
      </c>
      <c r="BV75" s="145">
        <v>4.7561548158457443</v>
      </c>
    </row>
    <row r="76" spans="1:74" x14ac:dyDescent="0.25">
      <c r="A76" s="141">
        <v>42837</v>
      </c>
      <c r="B76" s="142">
        <v>0.47395833333333331</v>
      </c>
      <c r="C76" s="143">
        <v>121.91</v>
      </c>
      <c r="E76" s="144" t="s">
        <v>169</v>
      </c>
      <c r="F76" s="158">
        <v>121.91</v>
      </c>
      <c r="I76" s="143">
        <v>107.42</v>
      </c>
      <c r="J76" s="143">
        <v>90.85</v>
      </c>
      <c r="K76" s="143">
        <v>107.42</v>
      </c>
      <c r="L76" s="143">
        <v>108.51</v>
      </c>
      <c r="M76" s="143">
        <v>111.62</v>
      </c>
      <c r="N76" s="143">
        <v>117.41</v>
      </c>
      <c r="O76" s="143">
        <v>119.94</v>
      </c>
      <c r="P76" s="143">
        <v>123.29</v>
      </c>
      <c r="Q76" s="143">
        <v>122.98</v>
      </c>
      <c r="S76" s="145">
        <v>6.2020329728279019E-2</v>
      </c>
      <c r="T76" s="145">
        <v>1.1659197064061125E-3</v>
      </c>
      <c r="U76" s="145">
        <v>6.2020329728279019E-2</v>
      </c>
      <c r="V76" s="145">
        <v>8.1778786358650796E-2</v>
      </c>
      <c r="W76" s="145">
        <v>0.17653268302899214</v>
      </c>
      <c r="X76" s="145">
        <v>0.97050827155393105</v>
      </c>
      <c r="Y76" s="145">
        <v>2.5202742382470609</v>
      </c>
      <c r="Z76" s="145">
        <v>14.920469276290062</v>
      </c>
      <c r="AA76" s="145">
        <v>11.260136523573825</v>
      </c>
      <c r="AB76" s="145">
        <v>5.3586727860316437</v>
      </c>
      <c r="BB76" s="136">
        <v>107.42</v>
      </c>
      <c r="BC76" s="136">
        <v>90.85</v>
      </c>
      <c r="BD76" s="136">
        <v>107.42</v>
      </c>
      <c r="BE76" s="136">
        <v>108.51</v>
      </c>
      <c r="BF76" s="136">
        <v>111.62</v>
      </c>
      <c r="BG76" s="136">
        <v>117.41</v>
      </c>
      <c r="BH76" s="136">
        <v>119.94</v>
      </c>
      <c r="BI76" s="136">
        <v>123.29</v>
      </c>
      <c r="BJ76" s="136">
        <v>122.98</v>
      </c>
      <c r="BK76" s="136">
        <v>121.91</v>
      </c>
      <c r="BM76" s="145">
        <v>6.2020329728279019E-2</v>
      </c>
      <c r="BN76" s="145">
        <v>1.1659197064061125E-3</v>
      </c>
      <c r="BO76" s="145">
        <v>6.2020329728279019E-2</v>
      </c>
      <c r="BP76" s="145">
        <v>8.1778786358650796E-2</v>
      </c>
      <c r="BQ76" s="145">
        <v>0.17653268302899214</v>
      </c>
      <c r="BR76" s="145">
        <v>0.97050827155393105</v>
      </c>
      <c r="BS76" s="145">
        <v>2.5202742382470609</v>
      </c>
      <c r="BT76" s="145">
        <v>14.920469276290062</v>
      </c>
      <c r="BU76" s="145">
        <v>11.260136523573825</v>
      </c>
      <c r="BV76" s="145">
        <v>5.3586727860316437</v>
      </c>
    </row>
    <row r="77" spans="1:74" x14ac:dyDescent="0.25">
      <c r="A77" s="141">
        <v>42837</v>
      </c>
      <c r="B77" s="142">
        <v>0.47430555555555554</v>
      </c>
      <c r="C77" s="143">
        <v>122.16</v>
      </c>
      <c r="E77" s="144" t="s">
        <v>169</v>
      </c>
      <c r="F77" s="158">
        <v>122.16</v>
      </c>
      <c r="I77" s="143">
        <v>108.79</v>
      </c>
      <c r="J77" s="143">
        <v>92.75</v>
      </c>
      <c r="K77" s="143">
        <v>108.79</v>
      </c>
      <c r="L77" s="143">
        <v>109.93</v>
      </c>
      <c r="M77" s="143">
        <v>112.76</v>
      </c>
      <c r="N77" s="143">
        <v>118.07</v>
      </c>
      <c r="O77" s="143">
        <v>119.94</v>
      </c>
      <c r="P77" s="143">
        <v>122.73</v>
      </c>
      <c r="Q77" s="143">
        <v>122.3</v>
      </c>
      <c r="S77" s="145">
        <v>9.1394797354767937E-2</v>
      </c>
      <c r="T77" s="145">
        <v>1.8970082936344719E-3</v>
      </c>
      <c r="U77" s="145">
        <v>9.1394797354767937E-2</v>
      </c>
      <c r="V77" s="145">
        <v>0.11997057553753546</v>
      </c>
      <c r="W77" s="145">
        <v>0.24981007507678787</v>
      </c>
      <c r="X77" s="145">
        <v>1.2193768140433989</v>
      </c>
      <c r="Y77" s="145">
        <v>2.9030725417026892</v>
      </c>
      <c r="Z77" s="145">
        <v>15.648198816581047</v>
      </c>
      <c r="AA77" s="145">
        <v>11.919264892852029</v>
      </c>
      <c r="AB77" s="145">
        <v>5.9968921904373156</v>
      </c>
      <c r="BB77" s="136">
        <v>108.79</v>
      </c>
      <c r="BC77" s="136">
        <v>92.75</v>
      </c>
      <c r="BD77" s="136">
        <v>108.79</v>
      </c>
      <c r="BE77" s="136">
        <v>109.93</v>
      </c>
      <c r="BF77" s="136">
        <v>112.76</v>
      </c>
      <c r="BG77" s="136">
        <v>118.07</v>
      </c>
      <c r="BH77" s="136">
        <v>119.94</v>
      </c>
      <c r="BI77" s="136">
        <v>122.73</v>
      </c>
      <c r="BJ77" s="136">
        <v>122.3</v>
      </c>
      <c r="BK77" s="136">
        <v>122.16</v>
      </c>
      <c r="BM77" s="145">
        <v>9.1394797354767937E-2</v>
      </c>
      <c r="BN77" s="145">
        <v>1.8970082936344719E-3</v>
      </c>
      <c r="BO77" s="145">
        <v>9.1394797354767937E-2</v>
      </c>
      <c r="BP77" s="145">
        <v>0.11997057553753546</v>
      </c>
      <c r="BQ77" s="145">
        <v>0.24981007507678787</v>
      </c>
      <c r="BR77" s="145">
        <v>1.2193768140433989</v>
      </c>
      <c r="BS77" s="145">
        <v>2.9030725417026892</v>
      </c>
      <c r="BT77" s="145">
        <v>15.648198816581047</v>
      </c>
      <c r="BU77" s="145">
        <v>11.919264892852029</v>
      </c>
      <c r="BV77" s="145">
        <v>5.9968921904373156</v>
      </c>
    </row>
    <row r="78" spans="1:74" x14ac:dyDescent="0.25">
      <c r="A78" s="141">
        <v>42837</v>
      </c>
      <c r="B78" s="142">
        <v>0.47465277777777781</v>
      </c>
      <c r="C78" s="143">
        <v>122.15</v>
      </c>
      <c r="E78" s="144" t="s">
        <v>169</v>
      </c>
      <c r="F78" s="158">
        <v>122.15</v>
      </c>
      <c r="I78" s="143">
        <v>110.03</v>
      </c>
      <c r="J78" s="143">
        <v>94.6</v>
      </c>
      <c r="K78" s="143">
        <v>110.03</v>
      </c>
      <c r="L78" s="143">
        <v>111.2</v>
      </c>
      <c r="M78" s="143">
        <v>113.79</v>
      </c>
      <c r="N78" s="143">
        <v>118.57</v>
      </c>
      <c r="O78" s="143">
        <v>120.49</v>
      </c>
      <c r="P78" s="143">
        <v>123.16</v>
      </c>
      <c r="Q78" s="143">
        <v>122.99</v>
      </c>
      <c r="S78" s="145">
        <v>0.13047618758418447</v>
      </c>
      <c r="T78" s="145">
        <v>3.0163688629186412E-3</v>
      </c>
      <c r="U78" s="145">
        <v>0.13047618758418447</v>
      </c>
      <c r="V78" s="145">
        <v>0.17113522515157326</v>
      </c>
      <c r="W78" s="145">
        <v>0.34270029783137307</v>
      </c>
      <c r="X78" s="145">
        <v>1.4986119114118144</v>
      </c>
      <c r="Y78" s="145">
        <v>3.3375527563458403</v>
      </c>
      <c r="Z78" s="145">
        <v>16.451669443087486</v>
      </c>
      <c r="AA78" s="145">
        <v>12.691892112621236</v>
      </c>
      <c r="AB78" s="145">
        <v>6.6336437309456482</v>
      </c>
      <c r="BB78" s="136">
        <v>110.03</v>
      </c>
      <c r="BC78" s="136">
        <v>94.6</v>
      </c>
      <c r="BD78" s="136">
        <v>110.03</v>
      </c>
      <c r="BE78" s="136">
        <v>111.2</v>
      </c>
      <c r="BF78" s="136">
        <v>113.79</v>
      </c>
      <c r="BG78" s="136">
        <v>118.57</v>
      </c>
      <c r="BH78" s="136">
        <v>120.49</v>
      </c>
      <c r="BI78" s="136">
        <v>123.16</v>
      </c>
      <c r="BJ78" s="136">
        <v>122.99</v>
      </c>
      <c r="BK78" s="136">
        <v>122.15</v>
      </c>
      <c r="BM78" s="145">
        <v>0.13047618758418447</v>
      </c>
      <c r="BN78" s="145">
        <v>3.0163688629186412E-3</v>
      </c>
      <c r="BO78" s="145">
        <v>0.13047618758418447</v>
      </c>
      <c r="BP78" s="145">
        <v>0.17113522515157326</v>
      </c>
      <c r="BQ78" s="145">
        <v>0.34270029783137307</v>
      </c>
      <c r="BR78" s="145">
        <v>1.4986119114118144</v>
      </c>
      <c r="BS78" s="145">
        <v>3.3375527563458403</v>
      </c>
      <c r="BT78" s="145">
        <v>16.451669443087486</v>
      </c>
      <c r="BU78" s="145">
        <v>12.691892112621236</v>
      </c>
      <c r="BV78" s="145">
        <v>6.6336437309456482</v>
      </c>
    </row>
    <row r="79" spans="1:74" x14ac:dyDescent="0.25">
      <c r="A79" s="141">
        <v>42837</v>
      </c>
      <c r="B79" s="142">
        <v>0.47500000000000003</v>
      </c>
      <c r="C79" s="143">
        <v>122.29</v>
      </c>
      <c r="E79" s="144" t="s">
        <v>169</v>
      </c>
      <c r="F79" s="158">
        <v>122.29</v>
      </c>
      <c r="I79" s="143">
        <v>111.15</v>
      </c>
      <c r="J79" s="143">
        <v>96.26</v>
      </c>
      <c r="K79" s="143">
        <v>111.15</v>
      </c>
      <c r="L79" s="143">
        <v>112.3</v>
      </c>
      <c r="M79" s="143">
        <v>114.71</v>
      </c>
      <c r="N79" s="143">
        <v>119.06</v>
      </c>
      <c r="O79" s="143">
        <v>120.22</v>
      </c>
      <c r="P79" s="143">
        <v>122.42</v>
      </c>
      <c r="Q79" s="143">
        <v>122.09</v>
      </c>
      <c r="S79" s="145">
        <v>0.18105516029717952</v>
      </c>
      <c r="T79" s="145">
        <v>4.6568453284842387E-3</v>
      </c>
      <c r="U79" s="145">
        <v>0.18105516029717952</v>
      </c>
      <c r="V79" s="145">
        <v>0.23704806207939363</v>
      </c>
      <c r="W79" s="145">
        <v>0.45750773023699115</v>
      </c>
      <c r="X79" s="145">
        <v>1.8111982577996577</v>
      </c>
      <c r="Y79" s="145">
        <v>3.7458439420251368</v>
      </c>
      <c r="Z79" s="145">
        <v>17.129264149263005</v>
      </c>
      <c r="AA79" s="145">
        <v>13.319907094468675</v>
      </c>
      <c r="AB79" s="145">
        <v>7.2912561470417696</v>
      </c>
      <c r="BB79" s="136">
        <v>111.15</v>
      </c>
      <c r="BC79" s="136">
        <v>96.26</v>
      </c>
      <c r="BD79" s="136">
        <v>111.15</v>
      </c>
      <c r="BE79" s="136">
        <v>112.3</v>
      </c>
      <c r="BF79" s="136">
        <v>114.71</v>
      </c>
      <c r="BG79" s="136">
        <v>119.06</v>
      </c>
      <c r="BH79" s="136">
        <v>120.22</v>
      </c>
      <c r="BI79" s="136">
        <v>122.42</v>
      </c>
      <c r="BJ79" s="136">
        <v>122.09</v>
      </c>
      <c r="BK79" s="136">
        <v>122.29</v>
      </c>
      <c r="BM79" s="145">
        <v>0.18105516029717952</v>
      </c>
      <c r="BN79" s="145">
        <v>4.6568453284842387E-3</v>
      </c>
      <c r="BO79" s="145">
        <v>0.18105516029717952</v>
      </c>
      <c r="BP79" s="145">
        <v>0.23704806207939363</v>
      </c>
      <c r="BQ79" s="145">
        <v>0.45750773023699115</v>
      </c>
      <c r="BR79" s="145">
        <v>1.8111982577996577</v>
      </c>
      <c r="BS79" s="145">
        <v>3.7458439420251368</v>
      </c>
      <c r="BT79" s="145">
        <v>17.129264149263005</v>
      </c>
      <c r="BU79" s="145">
        <v>13.319907094468675</v>
      </c>
      <c r="BV79" s="145">
        <v>7.2912561470417696</v>
      </c>
    </row>
    <row r="80" spans="1:74" x14ac:dyDescent="0.25">
      <c r="A80" s="141">
        <v>42837</v>
      </c>
      <c r="B80" s="142">
        <v>0.4753472222222222</v>
      </c>
      <c r="C80" s="143">
        <v>122.31</v>
      </c>
      <c r="E80" s="144" t="s">
        <v>169</v>
      </c>
      <c r="F80" s="158">
        <v>122.31</v>
      </c>
      <c r="I80" s="143">
        <v>112.15</v>
      </c>
      <c r="J80" s="143">
        <v>97.98</v>
      </c>
      <c r="K80" s="143">
        <v>112.15</v>
      </c>
      <c r="L80" s="143">
        <v>113.39</v>
      </c>
      <c r="M80" s="143">
        <v>115.49</v>
      </c>
      <c r="N80" s="143">
        <v>119.44</v>
      </c>
      <c r="O80" s="143">
        <v>120.83</v>
      </c>
      <c r="P80" s="143">
        <v>123.12</v>
      </c>
      <c r="Q80" s="143">
        <v>122.83</v>
      </c>
      <c r="S80" s="145">
        <v>0.24473031434801276</v>
      </c>
      <c r="T80" s="145">
        <v>7.0944877790011752E-3</v>
      </c>
      <c r="U80" s="145">
        <v>0.24473031434801276</v>
      </c>
      <c r="V80" s="145">
        <v>0.32176495210176015</v>
      </c>
      <c r="W80" s="145">
        <v>0.59490243789211106</v>
      </c>
      <c r="X80" s="145">
        <v>2.1523676048704927</v>
      </c>
      <c r="Y80" s="145">
        <v>4.2157055973074566</v>
      </c>
      <c r="Z80" s="145">
        <v>17.925368512788591</v>
      </c>
      <c r="AA80" s="145">
        <v>14.064587633324134</v>
      </c>
      <c r="AB80" s="145">
        <v>7.9519039641350586</v>
      </c>
      <c r="BB80" s="136">
        <v>112.15</v>
      </c>
      <c r="BC80" s="136">
        <v>97.98</v>
      </c>
      <c r="BD80" s="136">
        <v>112.15</v>
      </c>
      <c r="BE80" s="136">
        <v>113.39</v>
      </c>
      <c r="BF80" s="136">
        <v>115.49</v>
      </c>
      <c r="BG80" s="136">
        <v>119.44</v>
      </c>
      <c r="BH80" s="136">
        <v>120.83</v>
      </c>
      <c r="BI80" s="136">
        <v>123.12</v>
      </c>
      <c r="BJ80" s="136">
        <v>122.83</v>
      </c>
      <c r="BK80" s="136">
        <v>122.31</v>
      </c>
      <c r="BM80" s="145">
        <v>0.24473031434801276</v>
      </c>
      <c r="BN80" s="145">
        <v>7.0944877790011752E-3</v>
      </c>
      <c r="BO80" s="145">
        <v>0.24473031434801276</v>
      </c>
      <c r="BP80" s="145">
        <v>0.32176495210176015</v>
      </c>
      <c r="BQ80" s="145">
        <v>0.59490243789211106</v>
      </c>
      <c r="BR80" s="145">
        <v>2.1523676048704927</v>
      </c>
      <c r="BS80" s="145">
        <v>4.2157055973074566</v>
      </c>
      <c r="BT80" s="145">
        <v>17.925368512788591</v>
      </c>
      <c r="BU80" s="145">
        <v>14.064587633324134</v>
      </c>
      <c r="BV80" s="145">
        <v>7.9519039641350586</v>
      </c>
    </row>
    <row r="81" spans="1:74" x14ac:dyDescent="0.25">
      <c r="A81" s="141">
        <v>42837</v>
      </c>
      <c r="B81" s="142">
        <v>0.47569444444444442</v>
      </c>
      <c r="C81" s="143">
        <v>122.36</v>
      </c>
      <c r="E81" s="144" t="s">
        <v>169</v>
      </c>
      <c r="F81" s="158">
        <v>122.36</v>
      </c>
      <c r="I81" s="143">
        <v>113.07</v>
      </c>
      <c r="J81" s="143">
        <v>99.59</v>
      </c>
      <c r="K81" s="143">
        <v>113.07</v>
      </c>
      <c r="L81" s="143">
        <v>114.3</v>
      </c>
      <c r="M81" s="143">
        <v>116.25</v>
      </c>
      <c r="N81" s="143">
        <v>119.8</v>
      </c>
      <c r="O81" s="143">
        <v>120.38</v>
      </c>
      <c r="P81" s="143">
        <v>122.2</v>
      </c>
      <c r="Q81" s="143">
        <v>121.95</v>
      </c>
      <c r="S81" s="145">
        <v>0.32342945757132369</v>
      </c>
      <c r="T81" s="145">
        <v>1.0626075550315993E-2</v>
      </c>
      <c r="U81" s="145">
        <v>0.32342945757132369</v>
      </c>
      <c r="V81" s="145">
        <v>0.42622975864446216</v>
      </c>
      <c r="W81" s="145">
        <v>0.75857278533153039</v>
      </c>
      <c r="X81" s="145">
        <v>2.5230227255209519</v>
      </c>
      <c r="Y81" s="145">
        <v>4.6393193043777554</v>
      </c>
      <c r="Z81" s="145">
        <v>18.569493288635158</v>
      </c>
      <c r="AA81" s="145">
        <v>14.672680633647319</v>
      </c>
      <c r="AB81" s="145">
        <v>8.6202017224082805</v>
      </c>
      <c r="BB81" s="136">
        <v>113.07</v>
      </c>
      <c r="BC81" s="136">
        <v>99.59</v>
      </c>
      <c r="BD81" s="136">
        <v>113.07</v>
      </c>
      <c r="BE81" s="136">
        <v>114.3</v>
      </c>
      <c r="BF81" s="136">
        <v>116.25</v>
      </c>
      <c r="BG81" s="136">
        <v>119.8</v>
      </c>
      <c r="BH81" s="136">
        <v>120.38</v>
      </c>
      <c r="BI81" s="136">
        <v>122.2</v>
      </c>
      <c r="BJ81" s="136">
        <v>121.95</v>
      </c>
      <c r="BK81" s="136">
        <v>122.36</v>
      </c>
      <c r="BM81" s="145">
        <v>0.32342945757132369</v>
      </c>
      <c r="BN81" s="145">
        <v>1.0626075550315993E-2</v>
      </c>
      <c r="BO81" s="145">
        <v>0.32342945757132369</v>
      </c>
      <c r="BP81" s="145">
        <v>0.42622975864446216</v>
      </c>
      <c r="BQ81" s="145">
        <v>0.75857278533153039</v>
      </c>
      <c r="BR81" s="145">
        <v>2.5230227255209519</v>
      </c>
      <c r="BS81" s="145">
        <v>4.6393193043777554</v>
      </c>
      <c r="BT81" s="145">
        <v>18.569493288635158</v>
      </c>
      <c r="BU81" s="145">
        <v>14.672680633647319</v>
      </c>
      <c r="BV81" s="145">
        <v>8.6202017224082805</v>
      </c>
    </row>
    <row r="82" spans="1:74" x14ac:dyDescent="0.25">
      <c r="A82" s="141">
        <v>42837</v>
      </c>
      <c r="B82" s="142">
        <v>0.4760416666666667</v>
      </c>
      <c r="C82" s="143">
        <v>122.43</v>
      </c>
      <c r="E82" s="144" t="s">
        <v>169</v>
      </c>
      <c r="F82" s="158">
        <v>122.43</v>
      </c>
      <c r="I82" s="143">
        <v>113.91</v>
      </c>
      <c r="J82" s="143">
        <v>101.09</v>
      </c>
      <c r="K82" s="143">
        <v>113.91</v>
      </c>
      <c r="L82" s="143">
        <v>115.13</v>
      </c>
      <c r="M82" s="143">
        <v>116.89</v>
      </c>
      <c r="N82" s="143">
        <v>120.1</v>
      </c>
      <c r="O82" s="143">
        <v>121.22</v>
      </c>
      <c r="P82" s="143">
        <v>123.22</v>
      </c>
      <c r="Q82" s="143">
        <v>123</v>
      </c>
      <c r="S82" s="145">
        <v>0.41892212049963562</v>
      </c>
      <c r="T82" s="145">
        <v>1.5614575869428767E-2</v>
      </c>
      <c r="U82" s="145">
        <v>0.41892212049963562</v>
      </c>
      <c r="V82" s="145">
        <v>0.55269465846676946</v>
      </c>
      <c r="W82" s="145">
        <v>0.94823027781837155</v>
      </c>
      <c r="X82" s="145">
        <v>2.9201868428830924</v>
      </c>
      <c r="Y82" s="145">
        <v>5.1533274534409923</v>
      </c>
      <c r="Z82" s="145">
        <v>19.384141304955019</v>
      </c>
      <c r="AA82" s="145">
        <v>15.447088943103561</v>
      </c>
      <c r="AB82" s="145">
        <v>9.2993584457018592</v>
      </c>
      <c r="BB82" s="136">
        <v>113.91</v>
      </c>
      <c r="BC82" s="136">
        <v>101.09</v>
      </c>
      <c r="BD82" s="136">
        <v>113.91</v>
      </c>
      <c r="BE82" s="136">
        <v>115.13</v>
      </c>
      <c r="BF82" s="136">
        <v>116.89</v>
      </c>
      <c r="BG82" s="136">
        <v>120.1</v>
      </c>
      <c r="BH82" s="136">
        <v>121.22</v>
      </c>
      <c r="BI82" s="136">
        <v>123.22</v>
      </c>
      <c r="BJ82" s="136">
        <v>123</v>
      </c>
      <c r="BK82" s="136">
        <v>122.43</v>
      </c>
      <c r="BM82" s="145">
        <v>0.41892212049963562</v>
      </c>
      <c r="BN82" s="145">
        <v>1.5614575869428767E-2</v>
      </c>
      <c r="BO82" s="145">
        <v>0.41892212049963562</v>
      </c>
      <c r="BP82" s="145">
        <v>0.55269465846676946</v>
      </c>
      <c r="BQ82" s="145">
        <v>0.94823027781837155</v>
      </c>
      <c r="BR82" s="145">
        <v>2.9201868428830924</v>
      </c>
      <c r="BS82" s="145">
        <v>5.1533274534409923</v>
      </c>
      <c r="BT82" s="145">
        <v>19.384141304955019</v>
      </c>
      <c r="BU82" s="145">
        <v>15.447088943103561</v>
      </c>
      <c r="BV82" s="145">
        <v>9.2993584457018592</v>
      </c>
    </row>
    <row r="83" spans="1:74" x14ac:dyDescent="0.25">
      <c r="A83" s="141">
        <v>42837</v>
      </c>
      <c r="B83" s="142">
        <v>0.47638888888888892</v>
      </c>
      <c r="C83" s="143">
        <v>122.4</v>
      </c>
      <c r="E83" s="144" t="s">
        <v>169</v>
      </c>
      <c r="F83" s="158">
        <v>122.4</v>
      </c>
      <c r="I83" s="143">
        <v>114.66</v>
      </c>
      <c r="J83" s="143">
        <v>102.42</v>
      </c>
      <c r="K83" s="143">
        <v>114.66</v>
      </c>
      <c r="L83" s="143">
        <v>115.88</v>
      </c>
      <c r="M83" s="143">
        <v>117.48</v>
      </c>
      <c r="N83" s="143">
        <v>120.39</v>
      </c>
      <c r="O83" s="143">
        <v>120.76</v>
      </c>
      <c r="P83" s="143">
        <v>122.3</v>
      </c>
      <c r="Q83" s="143">
        <v>122.19</v>
      </c>
      <c r="S83" s="145">
        <v>0.53241536309382675</v>
      </c>
      <c r="T83" s="145">
        <v>2.2390522931183959E-2</v>
      </c>
      <c r="U83" s="145">
        <v>0.53241536309382675</v>
      </c>
      <c r="V83" s="145">
        <v>0.70299847359818102</v>
      </c>
      <c r="W83" s="145">
        <v>1.1654853899041577</v>
      </c>
      <c r="X83" s="145">
        <v>3.3447770804012498</v>
      </c>
      <c r="Y83" s="145">
        <v>5.6156765404101048</v>
      </c>
      <c r="Z83" s="145">
        <v>20.043269674233223</v>
      </c>
      <c r="AA83" s="145">
        <v>16.08973227307537</v>
      </c>
      <c r="AB83" s="145">
        <v>9.9738398869976876</v>
      </c>
      <c r="BB83" s="136">
        <v>114.66</v>
      </c>
      <c r="BC83" s="136">
        <v>102.42</v>
      </c>
      <c r="BD83" s="136">
        <v>114.66</v>
      </c>
      <c r="BE83" s="136">
        <v>115.88</v>
      </c>
      <c r="BF83" s="136">
        <v>117.48</v>
      </c>
      <c r="BG83" s="136">
        <v>120.39</v>
      </c>
      <c r="BH83" s="136">
        <v>120.76</v>
      </c>
      <c r="BI83" s="136">
        <v>122.3</v>
      </c>
      <c r="BJ83" s="136">
        <v>122.19</v>
      </c>
      <c r="BK83" s="136">
        <v>122.4</v>
      </c>
      <c r="BM83" s="145">
        <v>0.53241536309382675</v>
      </c>
      <c r="BN83" s="145">
        <v>2.2390522931183959E-2</v>
      </c>
      <c r="BO83" s="145">
        <v>0.53241536309382675</v>
      </c>
      <c r="BP83" s="145">
        <v>0.70299847359818102</v>
      </c>
      <c r="BQ83" s="145">
        <v>1.1654853899041577</v>
      </c>
      <c r="BR83" s="145">
        <v>3.3447770804012498</v>
      </c>
      <c r="BS83" s="145">
        <v>5.6156765404101048</v>
      </c>
      <c r="BT83" s="145">
        <v>20.043269674233223</v>
      </c>
      <c r="BU83" s="145">
        <v>16.08973227307537</v>
      </c>
      <c r="BV83" s="145">
        <v>9.9738398869976876</v>
      </c>
    </row>
    <row r="84" spans="1:74" x14ac:dyDescent="0.25">
      <c r="A84" s="141">
        <v>42837</v>
      </c>
      <c r="B84" s="142">
        <v>0.47673611111111108</v>
      </c>
      <c r="C84" s="143">
        <v>122.51</v>
      </c>
      <c r="E84" s="144" t="s">
        <v>169</v>
      </c>
      <c r="F84" s="158">
        <v>122.51</v>
      </c>
      <c r="I84" s="143">
        <v>115.33</v>
      </c>
      <c r="J84" s="143">
        <v>103.7</v>
      </c>
      <c r="K84" s="143">
        <v>115.33</v>
      </c>
      <c r="L84" s="143">
        <v>116.55</v>
      </c>
      <c r="M84" s="143">
        <v>118</v>
      </c>
      <c r="N84" s="143">
        <v>120.6</v>
      </c>
      <c r="O84" s="143">
        <v>121.36</v>
      </c>
      <c r="P84" s="143">
        <v>123.07</v>
      </c>
      <c r="Q84" s="143">
        <v>122.8</v>
      </c>
      <c r="S84" s="145">
        <v>0.66484037002416185</v>
      </c>
      <c r="T84" s="145">
        <v>3.1489027224233891E-2</v>
      </c>
      <c r="U84" s="145">
        <v>0.66484037002416185</v>
      </c>
      <c r="V84" s="145">
        <v>0.87837441057446508</v>
      </c>
      <c r="W84" s="145">
        <v>1.4103747995883811</v>
      </c>
      <c r="X84" s="145">
        <v>3.7904025494681224</v>
      </c>
      <c r="Y84" s="145">
        <v>6.1465243190094681</v>
      </c>
      <c r="Z84" s="145">
        <v>20.830261106466331</v>
      </c>
      <c r="AA84" s="145">
        <v>16.829286467159474</v>
      </c>
      <c r="AB84" s="145">
        <v>10.66562307648358</v>
      </c>
      <c r="BB84" s="136">
        <v>115.33</v>
      </c>
      <c r="BC84" s="136">
        <v>103.7</v>
      </c>
      <c r="BD84" s="136">
        <v>115.33</v>
      </c>
      <c r="BE84" s="136">
        <v>116.55</v>
      </c>
      <c r="BF84" s="136">
        <v>118</v>
      </c>
      <c r="BG84" s="136">
        <v>120.6</v>
      </c>
      <c r="BH84" s="136">
        <v>121.36</v>
      </c>
      <c r="BI84" s="136">
        <v>123.07</v>
      </c>
      <c r="BJ84" s="136">
        <v>122.8</v>
      </c>
      <c r="BK84" s="136">
        <v>122.51</v>
      </c>
      <c r="BM84" s="145">
        <v>0.66484037002416185</v>
      </c>
      <c r="BN84" s="145">
        <v>3.1489027224233891E-2</v>
      </c>
      <c r="BO84" s="145">
        <v>0.66484037002416185</v>
      </c>
      <c r="BP84" s="145">
        <v>0.87837441057446508</v>
      </c>
      <c r="BQ84" s="145">
        <v>1.4103747995883811</v>
      </c>
      <c r="BR84" s="145">
        <v>3.7904025494681224</v>
      </c>
      <c r="BS84" s="145">
        <v>6.1465243190094681</v>
      </c>
      <c r="BT84" s="145">
        <v>20.830261106466331</v>
      </c>
      <c r="BU84" s="145">
        <v>16.829286467159474</v>
      </c>
      <c r="BV84" s="145">
        <v>10.66562307648358</v>
      </c>
    </row>
    <row r="85" spans="1:74" x14ac:dyDescent="0.25">
      <c r="A85" s="141">
        <v>42837</v>
      </c>
      <c r="B85" s="142">
        <v>0.4770833333333333</v>
      </c>
      <c r="C85" s="143">
        <v>122.41</v>
      </c>
      <c r="E85" s="144" t="s">
        <v>169</v>
      </c>
      <c r="F85" s="158">
        <v>122.41</v>
      </c>
      <c r="I85" s="143">
        <v>115.96</v>
      </c>
      <c r="J85" s="143">
        <v>104.87</v>
      </c>
      <c r="K85" s="143">
        <v>115.96</v>
      </c>
      <c r="L85" s="143">
        <v>117.17</v>
      </c>
      <c r="M85" s="143">
        <v>118.49</v>
      </c>
      <c r="N85" s="143">
        <v>120.8</v>
      </c>
      <c r="O85" s="143">
        <v>121.58</v>
      </c>
      <c r="P85" s="143">
        <v>123.03</v>
      </c>
      <c r="Q85" s="143">
        <v>122.99</v>
      </c>
      <c r="S85" s="145">
        <v>0.81793854170869573</v>
      </c>
      <c r="T85" s="145">
        <v>4.340062457102737E-2</v>
      </c>
      <c r="U85" s="145">
        <v>0.81793854170869573</v>
      </c>
      <c r="V85" s="145">
        <v>1.0806623564231868</v>
      </c>
      <c r="W85" s="145">
        <v>1.684513282048808</v>
      </c>
      <c r="X85" s="145">
        <v>4.2570296998666182</v>
      </c>
      <c r="Y85" s="145">
        <v>6.7049559428997494</v>
      </c>
      <c r="Z85" s="145">
        <v>21.610037357879808</v>
      </c>
      <c r="AA85" s="145">
        <v>17.601913686928679</v>
      </c>
      <c r="AB85" s="145">
        <v>11.341659358080719</v>
      </c>
      <c r="BB85" s="136">
        <v>115.96</v>
      </c>
      <c r="BC85" s="136">
        <v>104.87</v>
      </c>
      <c r="BD85" s="136">
        <v>115.96</v>
      </c>
      <c r="BE85" s="136">
        <v>117.17</v>
      </c>
      <c r="BF85" s="136">
        <v>118.49</v>
      </c>
      <c r="BG85" s="136">
        <v>120.8</v>
      </c>
      <c r="BH85" s="136">
        <v>121.58</v>
      </c>
      <c r="BI85" s="136">
        <v>123.03</v>
      </c>
      <c r="BJ85" s="136">
        <v>122.99</v>
      </c>
      <c r="BK85" s="136">
        <v>122.41</v>
      </c>
      <c r="BM85" s="145">
        <v>0.81793854170869573</v>
      </c>
      <c r="BN85" s="145">
        <v>4.340062457102737E-2</v>
      </c>
      <c r="BO85" s="145">
        <v>0.81793854170869573</v>
      </c>
      <c r="BP85" s="145">
        <v>1.0806623564231868</v>
      </c>
      <c r="BQ85" s="145">
        <v>1.684513282048808</v>
      </c>
      <c r="BR85" s="145">
        <v>4.2570296998666182</v>
      </c>
      <c r="BS85" s="145">
        <v>6.7049559428997494</v>
      </c>
      <c r="BT85" s="145">
        <v>21.610037357879808</v>
      </c>
      <c r="BU85" s="145">
        <v>17.601913686928679</v>
      </c>
      <c r="BV85" s="145">
        <v>11.341659358080719</v>
      </c>
    </row>
    <row r="86" spans="1:74" x14ac:dyDescent="0.25">
      <c r="A86" s="141">
        <v>42837</v>
      </c>
      <c r="B86" s="142">
        <v>0.47743055555555558</v>
      </c>
      <c r="C86" s="143">
        <v>122.55</v>
      </c>
      <c r="E86" s="144" t="s">
        <v>169</v>
      </c>
      <c r="F86" s="158">
        <v>122.55</v>
      </c>
      <c r="I86" s="143">
        <v>116.51</v>
      </c>
      <c r="J86" s="143">
        <v>105.98</v>
      </c>
      <c r="K86" s="143">
        <v>116.51</v>
      </c>
      <c r="L86" s="143">
        <v>117.71</v>
      </c>
      <c r="M86" s="143">
        <v>118.9</v>
      </c>
      <c r="N86" s="143">
        <v>120.99</v>
      </c>
      <c r="O86" s="143">
        <v>121.35</v>
      </c>
      <c r="P86" s="143">
        <v>122.9</v>
      </c>
      <c r="Q86" s="143">
        <v>122.52</v>
      </c>
      <c r="S86" s="145">
        <v>0.99170662243029906</v>
      </c>
      <c r="T86" s="145">
        <v>5.8781108644730934E-2</v>
      </c>
      <c r="U86" s="145">
        <v>0.99170662243029906</v>
      </c>
      <c r="V86" s="145">
        <v>1.3097332997804534</v>
      </c>
      <c r="W86" s="145">
        <v>1.9857930750859876</v>
      </c>
      <c r="X86" s="145">
        <v>4.7445245187253118</v>
      </c>
      <c r="Y86" s="145">
        <v>7.2345828054883938</v>
      </c>
      <c r="Z86" s="145">
        <v>22.366817982097913</v>
      </c>
      <c r="AA86" s="145">
        <v>18.295291601364625</v>
      </c>
      <c r="AB86" s="145">
        <v>12.039843538608688</v>
      </c>
      <c r="BB86" s="136">
        <v>116.51</v>
      </c>
      <c r="BC86" s="136">
        <v>105.98</v>
      </c>
      <c r="BD86" s="136">
        <v>116.51</v>
      </c>
      <c r="BE86" s="136">
        <v>117.71</v>
      </c>
      <c r="BF86" s="136">
        <v>118.9</v>
      </c>
      <c r="BG86" s="136">
        <v>120.99</v>
      </c>
      <c r="BH86" s="136">
        <v>121.35</v>
      </c>
      <c r="BI86" s="136">
        <v>122.9</v>
      </c>
      <c r="BJ86" s="136">
        <v>122.52</v>
      </c>
      <c r="BK86" s="136">
        <v>122.55</v>
      </c>
      <c r="BM86" s="145">
        <v>0.99170662243029906</v>
      </c>
      <c r="BN86" s="145">
        <v>5.8781108644730934E-2</v>
      </c>
      <c r="BO86" s="145">
        <v>0.99170662243029906</v>
      </c>
      <c r="BP86" s="145">
        <v>1.3097332997804534</v>
      </c>
      <c r="BQ86" s="145">
        <v>1.9857930750859876</v>
      </c>
      <c r="BR86" s="145">
        <v>4.7445245187253118</v>
      </c>
      <c r="BS86" s="145">
        <v>7.2345828054883938</v>
      </c>
      <c r="BT86" s="145">
        <v>22.366817982097913</v>
      </c>
      <c r="BU86" s="145">
        <v>18.295291601364625</v>
      </c>
      <c r="BV86" s="145">
        <v>12.039843538608688</v>
      </c>
    </row>
    <row r="87" spans="1:74" x14ac:dyDescent="0.25">
      <c r="A87" s="141">
        <v>42837</v>
      </c>
      <c r="B87" s="142">
        <v>0.4777777777777778</v>
      </c>
      <c r="C87" s="143">
        <v>122.45</v>
      </c>
      <c r="E87" s="144" t="s">
        <v>169</v>
      </c>
      <c r="F87" s="158">
        <v>122.45</v>
      </c>
      <c r="I87" s="143">
        <v>117.02</v>
      </c>
      <c r="J87" s="143">
        <v>107.03</v>
      </c>
      <c r="K87" s="143">
        <v>117.02</v>
      </c>
      <c r="L87" s="143">
        <v>118.21</v>
      </c>
      <c r="M87" s="143">
        <v>119.28</v>
      </c>
      <c r="N87" s="143">
        <v>121.13</v>
      </c>
      <c r="O87" s="143">
        <v>121.69</v>
      </c>
      <c r="P87" s="143">
        <v>123.01</v>
      </c>
      <c r="Q87" s="143">
        <v>122.83</v>
      </c>
      <c r="S87" s="145">
        <v>1.1871270703265002</v>
      </c>
      <c r="T87" s="145">
        <v>7.836820250012011E-2</v>
      </c>
      <c r="U87" s="145">
        <v>1.1871270703265002</v>
      </c>
      <c r="V87" s="145">
        <v>1.5667551255716665</v>
      </c>
      <c r="W87" s="145">
        <v>2.3146219937636983</v>
      </c>
      <c r="X87" s="145">
        <v>5.2479903531512138</v>
      </c>
      <c r="Y87" s="145">
        <v>7.8073392762111622</v>
      </c>
      <c r="Z87" s="145">
        <v>23.143011487076958</v>
      </c>
      <c r="AA87" s="145">
        <v>19.039972140220083</v>
      </c>
      <c r="AB87" s="145">
        <v>12.722135106903151</v>
      </c>
      <c r="BB87" s="136">
        <v>117.02</v>
      </c>
      <c r="BC87" s="136">
        <v>107.03</v>
      </c>
      <c r="BD87" s="136">
        <v>117.02</v>
      </c>
      <c r="BE87" s="136">
        <v>118.21</v>
      </c>
      <c r="BF87" s="136">
        <v>119.28</v>
      </c>
      <c r="BG87" s="136">
        <v>121.13</v>
      </c>
      <c r="BH87" s="136">
        <v>121.69</v>
      </c>
      <c r="BI87" s="136">
        <v>123.01</v>
      </c>
      <c r="BJ87" s="136">
        <v>122.83</v>
      </c>
      <c r="BK87" s="136">
        <v>122.45</v>
      </c>
      <c r="BM87" s="145">
        <v>1.1871270703265002</v>
      </c>
      <c r="BN87" s="145">
        <v>7.836820250012011E-2</v>
      </c>
      <c r="BO87" s="145">
        <v>1.1871270703265002</v>
      </c>
      <c r="BP87" s="145">
        <v>1.5667551255716665</v>
      </c>
      <c r="BQ87" s="145">
        <v>2.3146219937636983</v>
      </c>
      <c r="BR87" s="145">
        <v>5.2479903531512138</v>
      </c>
      <c r="BS87" s="145">
        <v>7.8073392762111622</v>
      </c>
      <c r="BT87" s="145">
        <v>23.143011487076958</v>
      </c>
      <c r="BU87" s="145">
        <v>19.039972140220083</v>
      </c>
      <c r="BV87" s="145">
        <v>12.722135106903151</v>
      </c>
    </row>
    <row r="88" spans="1:74" x14ac:dyDescent="0.25">
      <c r="A88" s="141">
        <v>42837</v>
      </c>
      <c r="B88" s="142">
        <v>0.47812499999999997</v>
      </c>
      <c r="C88" s="143">
        <v>122.54</v>
      </c>
      <c r="E88" s="144" t="s">
        <v>169</v>
      </c>
      <c r="F88" s="158">
        <v>122.54</v>
      </c>
      <c r="I88" s="143">
        <v>117.48</v>
      </c>
      <c r="J88" s="143">
        <v>107.99</v>
      </c>
      <c r="K88" s="143">
        <v>117.48</v>
      </c>
      <c r="L88" s="143">
        <v>118.67</v>
      </c>
      <c r="M88" s="143">
        <v>119.62</v>
      </c>
      <c r="N88" s="143">
        <v>121.21</v>
      </c>
      <c r="O88" s="143">
        <v>121.28</v>
      </c>
      <c r="P88" s="143">
        <v>122.36</v>
      </c>
      <c r="Q88" s="143">
        <v>122.18</v>
      </c>
      <c r="S88" s="145">
        <v>1.4043821824122864</v>
      </c>
      <c r="T88" s="145">
        <v>0.10280082046726179</v>
      </c>
      <c r="U88" s="145">
        <v>1.4043821824122864</v>
      </c>
      <c r="V88" s="145">
        <v>1.8524944439076005</v>
      </c>
      <c r="W88" s="145">
        <v>2.6702287505903635</v>
      </c>
      <c r="X88" s="145">
        <v>5.7608163162769177</v>
      </c>
      <c r="Y88" s="145">
        <v>8.328497990907815</v>
      </c>
      <c r="Z88" s="145">
        <v>23.811309245350181</v>
      </c>
      <c r="AA88" s="145">
        <v>19.681137431548095</v>
      </c>
      <c r="AB88" s="145">
        <v>13.418713508375804</v>
      </c>
      <c r="BB88" s="136">
        <v>117.48</v>
      </c>
      <c r="BC88" s="136">
        <v>107.99</v>
      </c>
      <c r="BD88" s="136">
        <v>117.48</v>
      </c>
      <c r="BE88" s="136">
        <v>118.67</v>
      </c>
      <c r="BF88" s="136">
        <v>119.62</v>
      </c>
      <c r="BG88" s="136">
        <v>121.21</v>
      </c>
      <c r="BH88" s="136">
        <v>121.28</v>
      </c>
      <c r="BI88" s="136">
        <v>122.36</v>
      </c>
      <c r="BJ88" s="136">
        <v>122.18</v>
      </c>
      <c r="BK88" s="136">
        <v>122.54</v>
      </c>
      <c r="BM88" s="145">
        <v>1.4043821824122864</v>
      </c>
      <c r="BN88" s="145">
        <v>0.10280082046726179</v>
      </c>
      <c r="BO88" s="145">
        <v>1.4043821824122864</v>
      </c>
      <c r="BP88" s="145">
        <v>1.8524944439076005</v>
      </c>
      <c r="BQ88" s="145">
        <v>2.6702287505903635</v>
      </c>
      <c r="BR88" s="145">
        <v>5.7608163162769177</v>
      </c>
      <c r="BS88" s="145">
        <v>8.328497990907815</v>
      </c>
      <c r="BT88" s="145">
        <v>23.811309245350181</v>
      </c>
      <c r="BU88" s="145">
        <v>19.681137431548095</v>
      </c>
      <c r="BV88" s="145">
        <v>13.418713508375804</v>
      </c>
    </row>
    <row r="89" spans="1:74" x14ac:dyDescent="0.25">
      <c r="A89" s="141">
        <v>42837</v>
      </c>
      <c r="B89" s="142">
        <v>0.47847222222222219</v>
      </c>
      <c r="C89" s="143">
        <v>122.48</v>
      </c>
      <c r="E89" s="144" t="s">
        <v>169</v>
      </c>
      <c r="F89" s="158">
        <v>122.48</v>
      </c>
      <c r="I89" s="143">
        <v>117.89</v>
      </c>
      <c r="J89" s="143">
        <v>108.9</v>
      </c>
      <c r="K89" s="143">
        <v>117.89</v>
      </c>
      <c r="L89" s="143">
        <v>119.07</v>
      </c>
      <c r="M89" s="143">
        <v>119.91</v>
      </c>
      <c r="N89" s="143">
        <v>121.38</v>
      </c>
      <c r="O89" s="143">
        <v>121.91</v>
      </c>
      <c r="P89" s="143">
        <v>123.03</v>
      </c>
      <c r="Q89" s="143">
        <v>122.89</v>
      </c>
      <c r="S89" s="145">
        <v>1.643146819241132</v>
      </c>
      <c r="T89" s="145">
        <v>0.13292879977097974</v>
      </c>
      <c r="U89" s="145">
        <v>1.643146819241132</v>
      </c>
      <c r="V89" s="145">
        <v>2.1658013762437682</v>
      </c>
      <c r="W89" s="145">
        <v>3.0503918890604544</v>
      </c>
      <c r="X89" s="145">
        <v>6.2941143768920469</v>
      </c>
      <c r="Y89" s="145">
        <v>8.9310159610937134</v>
      </c>
      <c r="Z89" s="145">
        <v>24.591085496763657</v>
      </c>
      <c r="AA89" s="145">
        <v>20.43617750863017</v>
      </c>
      <c r="AB89" s="145">
        <v>14.105734495882063</v>
      </c>
      <c r="BB89" s="136">
        <v>117.89</v>
      </c>
      <c r="BC89" s="136">
        <v>108.9</v>
      </c>
      <c r="BD89" s="136">
        <v>117.89</v>
      </c>
      <c r="BE89" s="136">
        <v>119.07</v>
      </c>
      <c r="BF89" s="136">
        <v>119.91</v>
      </c>
      <c r="BG89" s="136">
        <v>121.38</v>
      </c>
      <c r="BH89" s="136">
        <v>121.91</v>
      </c>
      <c r="BI89" s="136">
        <v>123.03</v>
      </c>
      <c r="BJ89" s="136">
        <v>122.89</v>
      </c>
      <c r="BK89" s="136">
        <v>122.48</v>
      </c>
      <c r="BM89" s="145">
        <v>1.643146819241132</v>
      </c>
      <c r="BN89" s="145">
        <v>0.13292879977097974</v>
      </c>
      <c r="BO89" s="145">
        <v>1.643146819241132</v>
      </c>
      <c r="BP89" s="145">
        <v>2.1658013762437682</v>
      </c>
      <c r="BQ89" s="145">
        <v>3.0503918890604544</v>
      </c>
      <c r="BR89" s="145">
        <v>6.2941143768920469</v>
      </c>
      <c r="BS89" s="145">
        <v>8.9310159610937134</v>
      </c>
      <c r="BT89" s="145">
        <v>24.591085496763657</v>
      </c>
      <c r="BU89" s="145">
        <v>20.43617750863017</v>
      </c>
      <c r="BV89" s="145">
        <v>14.105734495882063</v>
      </c>
    </row>
    <row r="90" spans="1:74" x14ac:dyDescent="0.25">
      <c r="A90" s="141">
        <v>42837</v>
      </c>
      <c r="B90" s="142">
        <v>0.47881944444444446</v>
      </c>
      <c r="C90" s="143">
        <v>122.5</v>
      </c>
      <c r="E90" s="144" t="s">
        <v>169</v>
      </c>
      <c r="F90" s="158">
        <v>122.5</v>
      </c>
      <c r="I90" s="143">
        <v>118.27</v>
      </c>
      <c r="J90" s="143">
        <v>109.79</v>
      </c>
      <c r="K90" s="143">
        <v>118.27</v>
      </c>
      <c r="L90" s="143">
        <v>119.45</v>
      </c>
      <c r="M90" s="143">
        <v>120.19</v>
      </c>
      <c r="N90" s="143">
        <v>121.42</v>
      </c>
      <c r="O90" s="143">
        <v>121.19</v>
      </c>
      <c r="P90" s="143">
        <v>122.03</v>
      </c>
      <c r="Q90" s="143">
        <v>121.86</v>
      </c>
      <c r="S90" s="145">
        <v>1.9037441747936723</v>
      </c>
      <c r="T90" s="145">
        <v>0.16990906352389171</v>
      </c>
      <c r="U90" s="145">
        <v>1.9037441747936723</v>
      </c>
      <c r="V90" s="145">
        <v>2.5077571998844834</v>
      </c>
      <c r="W90" s="145">
        <v>3.4558724179873752</v>
      </c>
      <c r="X90" s="145">
        <v>6.832346983706965</v>
      </c>
      <c r="Y90" s="145">
        <v>9.4414857029475545</v>
      </c>
      <c r="Z90" s="145">
        <v>25.210483790028842</v>
      </c>
      <c r="AA90" s="145">
        <v>21.031798512643856</v>
      </c>
      <c r="AB90" s="145">
        <v>14.795926628183507</v>
      </c>
      <c r="BB90" s="136">
        <v>118.27</v>
      </c>
      <c r="BC90" s="136">
        <v>109.79</v>
      </c>
      <c r="BD90" s="136">
        <v>118.27</v>
      </c>
      <c r="BE90" s="136">
        <v>119.45</v>
      </c>
      <c r="BF90" s="136">
        <v>120.19</v>
      </c>
      <c r="BG90" s="136">
        <v>121.42</v>
      </c>
      <c r="BH90" s="136">
        <v>121.19</v>
      </c>
      <c r="BI90" s="136">
        <v>122.03</v>
      </c>
      <c r="BJ90" s="136">
        <v>121.86</v>
      </c>
      <c r="BK90" s="136">
        <v>122.5</v>
      </c>
      <c r="BM90" s="145">
        <v>1.9037441747936723</v>
      </c>
      <c r="BN90" s="145">
        <v>0.16990906352389171</v>
      </c>
      <c r="BO90" s="145">
        <v>1.9037441747936723</v>
      </c>
      <c r="BP90" s="145">
        <v>2.5077571998844834</v>
      </c>
      <c r="BQ90" s="145">
        <v>3.4558724179873752</v>
      </c>
      <c r="BR90" s="145">
        <v>6.832346983706965</v>
      </c>
      <c r="BS90" s="145">
        <v>9.4414857029475545</v>
      </c>
      <c r="BT90" s="145">
        <v>25.210483790028842</v>
      </c>
      <c r="BU90" s="145">
        <v>21.031798512643856</v>
      </c>
      <c r="BV90" s="145">
        <v>14.795926628183507</v>
      </c>
    </row>
    <row r="91" spans="1:74" x14ac:dyDescent="0.25">
      <c r="A91" s="141">
        <v>42837</v>
      </c>
      <c r="B91" s="142">
        <v>0.47916666666666669</v>
      </c>
      <c r="C91" s="143">
        <v>122.52</v>
      </c>
      <c r="E91" s="144" t="s">
        <v>169</v>
      </c>
      <c r="F91" s="158">
        <v>122.52</v>
      </c>
      <c r="I91" s="143">
        <v>118.61</v>
      </c>
      <c r="J91" s="143">
        <v>110.6</v>
      </c>
      <c r="K91" s="143">
        <v>118.61</v>
      </c>
      <c r="L91" s="143">
        <v>119.79</v>
      </c>
      <c r="M91" s="143">
        <v>120.4</v>
      </c>
      <c r="N91" s="143">
        <v>121.58</v>
      </c>
      <c r="O91" s="143">
        <v>122.08</v>
      </c>
      <c r="P91" s="143">
        <v>123.07</v>
      </c>
      <c r="Q91" s="143">
        <v>122.92</v>
      </c>
      <c r="S91" s="145">
        <v>2.1855630027066497</v>
      </c>
      <c r="T91" s="145">
        <v>0.21447161043057897</v>
      </c>
      <c r="U91" s="145">
        <v>2.1855630027066497</v>
      </c>
      <c r="V91" s="145">
        <v>2.8775598374136031</v>
      </c>
      <c r="W91" s="145">
        <v>3.8814414370885646</v>
      </c>
      <c r="X91" s="145">
        <v>7.3907786075972464</v>
      </c>
      <c r="Y91" s="145">
        <v>10.068056290418262</v>
      </c>
      <c r="Z91" s="145">
        <v>25.997475222261951</v>
      </c>
      <c r="AA91" s="145">
        <v>21.792072277510105</v>
      </c>
      <c r="AB91" s="145">
        <v>15.48930454261945</v>
      </c>
      <c r="BB91" s="136">
        <v>118.61</v>
      </c>
      <c r="BC91" s="136">
        <v>110.6</v>
      </c>
      <c r="BD91" s="136">
        <v>118.61</v>
      </c>
      <c r="BE91" s="136">
        <v>119.79</v>
      </c>
      <c r="BF91" s="136">
        <v>120.4</v>
      </c>
      <c r="BG91" s="136">
        <v>121.58</v>
      </c>
      <c r="BH91" s="136">
        <v>122.08</v>
      </c>
      <c r="BI91" s="136">
        <v>123.07</v>
      </c>
      <c r="BJ91" s="136">
        <v>122.92</v>
      </c>
      <c r="BK91" s="136">
        <v>122.52</v>
      </c>
      <c r="BM91" s="145">
        <v>2.1855630027066497</v>
      </c>
      <c r="BN91" s="145">
        <v>0.21447161043057897</v>
      </c>
      <c r="BO91" s="145">
        <v>2.1855630027066497</v>
      </c>
      <c r="BP91" s="145">
        <v>2.8775598374136031</v>
      </c>
      <c r="BQ91" s="145">
        <v>3.8814414370885646</v>
      </c>
      <c r="BR91" s="145">
        <v>7.3907786075972464</v>
      </c>
      <c r="BS91" s="145">
        <v>10.068056290418262</v>
      </c>
      <c r="BT91" s="145">
        <v>25.997475222261951</v>
      </c>
      <c r="BU91" s="145">
        <v>21.792072277510105</v>
      </c>
      <c r="BV91" s="145">
        <v>15.48930454261945</v>
      </c>
    </row>
    <row r="92" spans="1:74" x14ac:dyDescent="0.25">
      <c r="A92" s="141">
        <v>42837</v>
      </c>
      <c r="B92" s="142">
        <v>0.47951388888888885</v>
      </c>
      <c r="C92" s="143">
        <v>122.44</v>
      </c>
      <c r="E92" s="144" t="s">
        <v>169</v>
      </c>
      <c r="F92" s="158">
        <v>122.44</v>
      </c>
      <c r="I92" s="143">
        <v>118.92</v>
      </c>
      <c r="J92" s="143">
        <v>111.37</v>
      </c>
      <c r="K92" s="143">
        <v>118.92</v>
      </c>
      <c r="L92" s="143">
        <v>120.09</v>
      </c>
      <c r="M92" s="143">
        <v>120.62</v>
      </c>
      <c r="N92" s="143">
        <v>121.57</v>
      </c>
      <c r="O92" s="143">
        <v>121.68</v>
      </c>
      <c r="P92" s="143">
        <v>122.4</v>
      </c>
      <c r="Q92" s="143">
        <v>122.38</v>
      </c>
      <c r="S92" s="145">
        <v>2.488233440083607</v>
      </c>
      <c r="T92" s="145">
        <v>0.26767876134179491</v>
      </c>
      <c r="U92" s="145">
        <v>2.488233440083607</v>
      </c>
      <c r="V92" s="145">
        <v>3.27381050265384</v>
      </c>
      <c r="W92" s="145">
        <v>4.3291238198633621</v>
      </c>
      <c r="X92" s="145">
        <v>7.9479258743931114</v>
      </c>
      <c r="Y92" s="145">
        <v>10.639495457813149</v>
      </c>
      <c r="Z92" s="145">
        <v>26.671956663557779</v>
      </c>
      <c r="AA92" s="145">
        <v>22.463454758079038</v>
      </c>
      <c r="AB92" s="145">
        <v>16.170026883852426</v>
      </c>
      <c r="BB92" s="136">
        <v>118.92</v>
      </c>
      <c r="BC92" s="136">
        <v>111.37</v>
      </c>
      <c r="BD92" s="136">
        <v>118.92</v>
      </c>
      <c r="BE92" s="136">
        <v>120.09</v>
      </c>
      <c r="BF92" s="136">
        <v>120.62</v>
      </c>
      <c r="BG92" s="136">
        <v>121.57</v>
      </c>
      <c r="BH92" s="136">
        <v>121.68</v>
      </c>
      <c r="BI92" s="136">
        <v>122.4</v>
      </c>
      <c r="BJ92" s="136">
        <v>122.38</v>
      </c>
      <c r="BK92" s="136">
        <v>122.44</v>
      </c>
      <c r="BM92" s="145">
        <v>2.488233440083607</v>
      </c>
      <c r="BN92" s="145">
        <v>0.26767876134179491</v>
      </c>
      <c r="BO92" s="145">
        <v>2.488233440083607</v>
      </c>
      <c r="BP92" s="145">
        <v>3.27381050265384</v>
      </c>
      <c r="BQ92" s="145">
        <v>4.3291238198633621</v>
      </c>
      <c r="BR92" s="145">
        <v>7.9479258743931114</v>
      </c>
      <c r="BS92" s="145">
        <v>10.639495457813149</v>
      </c>
      <c r="BT92" s="145">
        <v>26.671956663557779</v>
      </c>
      <c r="BU92" s="145">
        <v>22.463454758079038</v>
      </c>
      <c r="BV92" s="145">
        <v>16.170026883852426</v>
      </c>
    </row>
    <row r="93" spans="1:74" x14ac:dyDescent="0.25">
      <c r="A93" s="141">
        <v>42837</v>
      </c>
      <c r="B93" s="142">
        <v>0.47986111111111113</v>
      </c>
      <c r="C93" s="143">
        <v>122.56</v>
      </c>
      <c r="E93" s="144" t="s">
        <v>169</v>
      </c>
      <c r="F93" s="158">
        <v>122.56</v>
      </c>
      <c r="I93" s="143">
        <v>119.2</v>
      </c>
      <c r="J93" s="143">
        <v>112.08</v>
      </c>
      <c r="K93" s="143">
        <v>119.2</v>
      </c>
      <c r="L93" s="143">
        <v>120.36</v>
      </c>
      <c r="M93" s="143">
        <v>120.8</v>
      </c>
      <c r="N93" s="143">
        <v>121.7</v>
      </c>
      <c r="O93" s="143">
        <v>121.92</v>
      </c>
      <c r="P93" s="143">
        <v>122.76</v>
      </c>
      <c r="Q93" s="143">
        <v>122.57</v>
      </c>
      <c r="S93" s="145">
        <v>2.8110605546009353</v>
      </c>
      <c r="T93" s="145">
        <v>0.33033582008886575</v>
      </c>
      <c r="U93" s="145">
        <v>2.8110605546009353</v>
      </c>
      <c r="V93" s="145">
        <v>3.6954778815359783</v>
      </c>
      <c r="W93" s="145">
        <v>4.7957509702618584</v>
      </c>
      <c r="X93" s="145">
        <v>8.5220026851415547</v>
      </c>
      <c r="Y93" s="145">
        <v>11.243402375366541</v>
      </c>
      <c r="Z93" s="145">
        <v>27.404730584035736</v>
      </c>
      <c r="AA93" s="145">
        <v>23.164861610360017</v>
      </c>
      <c r="AB93" s="145">
        <v>16.869820545138737</v>
      </c>
      <c r="BB93" s="136">
        <v>119.2</v>
      </c>
      <c r="BC93" s="136">
        <v>112.08</v>
      </c>
      <c r="BD93" s="136">
        <v>119.2</v>
      </c>
      <c r="BE93" s="136">
        <v>120.36</v>
      </c>
      <c r="BF93" s="136">
        <v>120.8</v>
      </c>
      <c r="BG93" s="136">
        <v>121.7</v>
      </c>
      <c r="BH93" s="136">
        <v>121.92</v>
      </c>
      <c r="BI93" s="136">
        <v>122.76</v>
      </c>
      <c r="BJ93" s="136">
        <v>122.57</v>
      </c>
      <c r="BK93" s="136">
        <v>122.56</v>
      </c>
      <c r="BM93" s="145">
        <v>2.8110605546009353</v>
      </c>
      <c r="BN93" s="145">
        <v>0.33033582008886575</v>
      </c>
      <c r="BO93" s="145">
        <v>2.8110605546009353</v>
      </c>
      <c r="BP93" s="145">
        <v>3.6954778815359783</v>
      </c>
      <c r="BQ93" s="145">
        <v>4.7957509702618584</v>
      </c>
      <c r="BR93" s="145">
        <v>8.5220026851415547</v>
      </c>
      <c r="BS93" s="145">
        <v>11.243402375366541</v>
      </c>
      <c r="BT93" s="145">
        <v>27.404730584035736</v>
      </c>
      <c r="BU93" s="145">
        <v>23.164861610360017</v>
      </c>
      <c r="BV93" s="145">
        <v>16.869820545138737</v>
      </c>
    </row>
    <row r="94" spans="1:74" x14ac:dyDescent="0.25">
      <c r="A94" s="141">
        <v>42837</v>
      </c>
      <c r="B94" s="142">
        <v>0.48020833333333335</v>
      </c>
      <c r="C94" s="143">
        <v>122.43</v>
      </c>
      <c r="E94" s="144" t="s">
        <v>169</v>
      </c>
      <c r="F94" s="158">
        <v>122.43</v>
      </c>
      <c r="I94" s="143">
        <v>119.45</v>
      </c>
      <c r="J94" s="143">
        <v>112.76</v>
      </c>
      <c r="K94" s="143">
        <v>119.45</v>
      </c>
      <c r="L94" s="143">
        <v>120.61</v>
      </c>
      <c r="M94" s="143">
        <v>120.97</v>
      </c>
      <c r="N94" s="143">
        <v>121.66</v>
      </c>
      <c r="O94" s="143">
        <v>122.26</v>
      </c>
      <c r="P94" s="143">
        <v>123.01</v>
      </c>
      <c r="Q94" s="143">
        <v>122.91</v>
      </c>
      <c r="S94" s="145">
        <v>3.1530163782416505</v>
      </c>
      <c r="T94" s="145">
        <v>0.40361321213666146</v>
      </c>
      <c r="U94" s="145">
        <v>3.1530163782416505</v>
      </c>
      <c r="V94" s="145">
        <v>4.1421306234026263</v>
      </c>
      <c r="W94" s="145">
        <v>5.2810059538846037</v>
      </c>
      <c r="X94" s="145">
        <v>9.0908163280532701</v>
      </c>
      <c r="Y94" s="145">
        <v>11.896487819432464</v>
      </c>
      <c r="Z94" s="145">
        <v>28.180924089014781</v>
      </c>
      <c r="AA94" s="145">
        <v>23.923386794089687</v>
      </c>
      <c r="AB94" s="145">
        <v>17.548977268432317</v>
      </c>
      <c r="BB94" s="136">
        <v>119.45</v>
      </c>
      <c r="BC94" s="136">
        <v>112.76</v>
      </c>
      <c r="BD94" s="136">
        <v>119.45</v>
      </c>
      <c r="BE94" s="136">
        <v>120.61</v>
      </c>
      <c r="BF94" s="136">
        <v>120.97</v>
      </c>
      <c r="BG94" s="136">
        <v>121.66</v>
      </c>
      <c r="BH94" s="136">
        <v>122.26</v>
      </c>
      <c r="BI94" s="136">
        <v>123.01</v>
      </c>
      <c r="BJ94" s="136">
        <v>122.91</v>
      </c>
      <c r="BK94" s="136">
        <v>122.43</v>
      </c>
      <c r="BM94" s="145">
        <v>3.1530163782416505</v>
      </c>
      <c r="BN94" s="145">
        <v>0.40361321213666146</v>
      </c>
      <c r="BO94" s="145">
        <v>3.1530163782416505</v>
      </c>
      <c r="BP94" s="145">
        <v>4.1421306234026263</v>
      </c>
      <c r="BQ94" s="145">
        <v>5.2810059538846037</v>
      </c>
      <c r="BR94" s="145">
        <v>9.0908163280532701</v>
      </c>
      <c r="BS94" s="145">
        <v>11.896487819432464</v>
      </c>
      <c r="BT94" s="145">
        <v>28.180924089014781</v>
      </c>
      <c r="BU94" s="145">
        <v>23.923386794089687</v>
      </c>
      <c r="BV94" s="145">
        <v>17.548977268432317</v>
      </c>
    </row>
    <row r="95" spans="1:74" x14ac:dyDescent="0.25">
      <c r="A95" s="141">
        <v>42837</v>
      </c>
      <c r="B95" s="142">
        <v>0.48055555555555557</v>
      </c>
      <c r="C95" s="143">
        <v>122.55</v>
      </c>
      <c r="E95" s="144" t="s">
        <v>169</v>
      </c>
      <c r="F95" s="158">
        <v>122.55</v>
      </c>
      <c r="I95" s="143">
        <v>119.7</v>
      </c>
      <c r="J95" s="143">
        <v>113.4</v>
      </c>
      <c r="K95" s="143">
        <v>119.7</v>
      </c>
      <c r="L95" s="143">
        <v>120.84</v>
      </c>
      <c r="M95" s="143">
        <v>121.11</v>
      </c>
      <c r="N95" s="143">
        <v>121.81</v>
      </c>
      <c r="O95" s="143">
        <v>121.72</v>
      </c>
      <c r="P95" s="143">
        <v>122.37</v>
      </c>
      <c r="Q95" s="143">
        <v>122.2</v>
      </c>
      <c r="S95" s="145">
        <v>3.5152343582791463</v>
      </c>
      <c r="T95" s="145">
        <v>0.48852539475974888</v>
      </c>
      <c r="U95" s="145">
        <v>3.5152343582791463</v>
      </c>
      <c r="V95" s="145">
        <v>4.6130754216640479</v>
      </c>
      <c r="W95" s="145">
        <v>5.7821585729235538</v>
      </c>
      <c r="X95" s="145">
        <v>9.6796193148136744</v>
      </c>
      <c r="Y95" s="145">
        <v>12.473214448343011</v>
      </c>
      <c r="Z95" s="145">
        <v>28.850762432727748</v>
      </c>
      <c r="AA95" s="145">
        <v>24.567511569936254</v>
      </c>
      <c r="AB95" s="145">
        <v>18.247161448960288</v>
      </c>
      <c r="BB95" s="136">
        <v>119.7</v>
      </c>
      <c r="BC95" s="136">
        <v>113.4</v>
      </c>
      <c r="BD95" s="136">
        <v>119.7</v>
      </c>
      <c r="BE95" s="136">
        <v>120.84</v>
      </c>
      <c r="BF95" s="136">
        <v>121.11</v>
      </c>
      <c r="BG95" s="136">
        <v>121.81</v>
      </c>
      <c r="BH95" s="136">
        <v>121.72</v>
      </c>
      <c r="BI95" s="136">
        <v>122.37</v>
      </c>
      <c r="BJ95" s="136">
        <v>122.2</v>
      </c>
      <c r="BK95" s="136">
        <v>122.55</v>
      </c>
      <c r="BM95" s="145">
        <v>3.5152343582791463</v>
      </c>
      <c r="BN95" s="145">
        <v>0.48852539475974888</v>
      </c>
      <c r="BO95" s="145">
        <v>3.5152343582791463</v>
      </c>
      <c r="BP95" s="145">
        <v>4.6130754216640479</v>
      </c>
      <c r="BQ95" s="145">
        <v>5.7821585729235538</v>
      </c>
      <c r="BR95" s="145">
        <v>9.6796193148136744</v>
      </c>
      <c r="BS95" s="145">
        <v>12.473214448343011</v>
      </c>
      <c r="BT95" s="145">
        <v>28.850762432727748</v>
      </c>
      <c r="BU95" s="145">
        <v>24.567511569936254</v>
      </c>
      <c r="BV95" s="145">
        <v>18.247161448960288</v>
      </c>
    </row>
    <row r="96" spans="1:74" x14ac:dyDescent="0.25">
      <c r="A96" s="141">
        <v>42837</v>
      </c>
      <c r="B96" s="142">
        <v>0.48090277777777773</v>
      </c>
      <c r="C96" s="143">
        <v>122.48</v>
      </c>
      <c r="E96" s="144" t="s">
        <v>169</v>
      </c>
      <c r="F96" s="158">
        <v>122.48</v>
      </c>
      <c r="I96" s="143">
        <v>119.88</v>
      </c>
      <c r="J96" s="143">
        <v>114.01</v>
      </c>
      <c r="K96" s="143">
        <v>119.88</v>
      </c>
      <c r="L96" s="143">
        <v>121.04</v>
      </c>
      <c r="M96" s="143">
        <v>121.22</v>
      </c>
      <c r="N96" s="143">
        <v>121.78</v>
      </c>
      <c r="O96" s="143">
        <v>122.3</v>
      </c>
      <c r="P96" s="143">
        <v>122.99</v>
      </c>
      <c r="Q96" s="143">
        <v>122.85</v>
      </c>
      <c r="S96" s="145">
        <v>3.8927804721118635</v>
      </c>
      <c r="T96" s="145">
        <v>0.58624236754851877</v>
      </c>
      <c r="U96" s="145">
        <v>3.8927804721118635</v>
      </c>
      <c r="V96" s="145">
        <v>5.1062151644796545</v>
      </c>
      <c r="W96" s="145">
        <v>6.2961667219867916</v>
      </c>
      <c r="X96" s="145">
        <v>10.264369010323611</v>
      </c>
      <c r="Y96" s="145">
        <v>13.132342817621215</v>
      </c>
      <c r="Z96" s="145">
        <v>29.623389652496954</v>
      </c>
      <c r="AA96" s="145">
        <v>25.315629397983471</v>
      </c>
      <c r="AB96" s="145">
        <v>18.934182436466546</v>
      </c>
      <c r="BB96" s="136">
        <v>119.88</v>
      </c>
      <c r="BC96" s="136">
        <v>114.01</v>
      </c>
      <c r="BD96" s="136">
        <v>119.88</v>
      </c>
      <c r="BE96" s="136">
        <v>121.04</v>
      </c>
      <c r="BF96" s="136">
        <v>121.22</v>
      </c>
      <c r="BG96" s="136">
        <v>121.78</v>
      </c>
      <c r="BH96" s="136">
        <v>122.3</v>
      </c>
      <c r="BI96" s="136">
        <v>122.99</v>
      </c>
      <c r="BJ96" s="136">
        <v>122.85</v>
      </c>
      <c r="BK96" s="136">
        <v>122.48</v>
      </c>
      <c r="BM96" s="145">
        <v>3.8927804721118635</v>
      </c>
      <c r="BN96" s="145">
        <v>0.58624236754851877</v>
      </c>
      <c r="BO96" s="145">
        <v>3.8927804721118635</v>
      </c>
      <c r="BP96" s="145">
        <v>5.1062151644796545</v>
      </c>
      <c r="BQ96" s="145">
        <v>6.2961667219867916</v>
      </c>
      <c r="BR96" s="145">
        <v>10.264369010323611</v>
      </c>
      <c r="BS96" s="145">
        <v>13.132342817621215</v>
      </c>
      <c r="BT96" s="145">
        <v>29.623389652496954</v>
      </c>
      <c r="BU96" s="145">
        <v>25.315629397983471</v>
      </c>
      <c r="BV96" s="145">
        <v>18.934182436466546</v>
      </c>
    </row>
    <row r="97" spans="1:74" x14ac:dyDescent="0.25">
      <c r="A97" s="141">
        <v>42837</v>
      </c>
      <c r="B97" s="142">
        <v>0.48125000000000001</v>
      </c>
      <c r="C97" s="143">
        <v>122.49</v>
      </c>
      <c r="E97" s="144" t="s">
        <v>169</v>
      </c>
      <c r="F97" s="158">
        <v>122.49</v>
      </c>
      <c r="I97" s="143">
        <v>120.09</v>
      </c>
      <c r="J97" s="143">
        <v>114.57</v>
      </c>
      <c r="K97" s="143">
        <v>120.09</v>
      </c>
      <c r="L97" s="143">
        <v>121.26</v>
      </c>
      <c r="M97" s="143">
        <v>121.34</v>
      </c>
      <c r="N97" s="143">
        <v>121.91</v>
      </c>
      <c r="O97" s="143">
        <v>121.5</v>
      </c>
      <c r="P97" s="143">
        <v>121.96</v>
      </c>
      <c r="Q97" s="143">
        <v>121.82</v>
      </c>
      <c r="S97" s="145">
        <v>4.2890311373521</v>
      </c>
      <c r="T97" s="145">
        <v>0.69740786208108885</v>
      </c>
      <c r="U97" s="145">
        <v>4.2890311373521</v>
      </c>
      <c r="V97" s="145">
        <v>5.6249793723886619</v>
      </c>
      <c r="W97" s="145">
        <v>6.8245754765936217</v>
      </c>
      <c r="X97" s="145">
        <v>10.866886980509509</v>
      </c>
      <c r="Y97" s="145">
        <v>13.680581915692809</v>
      </c>
      <c r="Z97" s="145">
        <v>30.232884451959386</v>
      </c>
      <c r="AA97" s="145">
        <v>25.905789715809338</v>
      </c>
      <c r="AB97" s="145">
        <v>19.622787170913519</v>
      </c>
      <c r="BB97" s="136">
        <v>120.09</v>
      </c>
      <c r="BC97" s="136">
        <v>114.57</v>
      </c>
      <c r="BD97" s="136">
        <v>120.09</v>
      </c>
      <c r="BE97" s="136">
        <v>121.26</v>
      </c>
      <c r="BF97" s="136">
        <v>121.34</v>
      </c>
      <c r="BG97" s="136">
        <v>121.91</v>
      </c>
      <c r="BH97" s="136">
        <v>121.5</v>
      </c>
      <c r="BI97" s="136">
        <v>121.96</v>
      </c>
      <c r="BJ97" s="136">
        <v>121.82</v>
      </c>
      <c r="BK97" s="136">
        <v>122.49</v>
      </c>
      <c r="BM97" s="145">
        <v>4.2890311373521</v>
      </c>
      <c r="BN97" s="145">
        <v>0.69740786208108885</v>
      </c>
      <c r="BO97" s="145">
        <v>4.2890311373521</v>
      </c>
      <c r="BP97" s="145">
        <v>5.6249793723886619</v>
      </c>
      <c r="BQ97" s="145">
        <v>6.8245754765936217</v>
      </c>
      <c r="BR97" s="145">
        <v>10.866886980509509</v>
      </c>
      <c r="BS97" s="145">
        <v>13.680581915692809</v>
      </c>
      <c r="BT97" s="145">
        <v>30.232884451959386</v>
      </c>
      <c r="BU97" s="145">
        <v>25.905789715809338</v>
      </c>
      <c r="BV97" s="145">
        <v>19.622787170913519</v>
      </c>
    </row>
    <row r="98" spans="1:74" x14ac:dyDescent="0.25">
      <c r="A98" s="141">
        <v>42837</v>
      </c>
      <c r="B98" s="142">
        <v>0.48159722222222223</v>
      </c>
      <c r="C98" s="143">
        <v>122.53</v>
      </c>
      <c r="E98" s="144" t="s">
        <v>169</v>
      </c>
      <c r="F98" s="158">
        <v>122.53</v>
      </c>
      <c r="I98" s="143">
        <v>120.25</v>
      </c>
      <c r="J98" s="143">
        <v>115.12</v>
      </c>
      <c r="K98" s="143">
        <v>120.25</v>
      </c>
      <c r="L98" s="143">
        <v>121.4</v>
      </c>
      <c r="M98" s="143">
        <v>121.43</v>
      </c>
      <c r="N98" s="143">
        <v>121.92</v>
      </c>
      <c r="O98" s="143">
        <v>122.3</v>
      </c>
      <c r="P98" s="143">
        <v>122.89</v>
      </c>
      <c r="Q98" s="143">
        <v>122.76</v>
      </c>
      <c r="S98" s="145">
        <v>4.7001524623256357</v>
      </c>
      <c r="T98" s="145">
        <v>0.82358190070511783</v>
      </c>
      <c r="U98" s="145">
        <v>4.7001524623256357</v>
      </c>
      <c r="V98" s="145">
        <v>6.1607390250074667</v>
      </c>
      <c r="W98" s="145">
        <v>7.3640488377085376</v>
      </c>
      <c r="X98" s="145">
        <v>11.470793898062901</v>
      </c>
      <c r="Y98" s="145">
        <v>14.339710284971012</v>
      </c>
      <c r="Z98" s="145">
        <v>30.987924529041461</v>
      </c>
      <c r="AA98" s="145">
        <v>26.638563636287294</v>
      </c>
      <c r="AB98" s="145">
        <v>20.317763486520196</v>
      </c>
      <c r="BB98" s="136">
        <v>120.25</v>
      </c>
      <c r="BC98" s="136">
        <v>115.12</v>
      </c>
      <c r="BD98" s="136">
        <v>120.25</v>
      </c>
      <c r="BE98" s="136">
        <v>121.4</v>
      </c>
      <c r="BF98" s="136">
        <v>121.43</v>
      </c>
      <c r="BG98" s="136">
        <v>121.92</v>
      </c>
      <c r="BH98" s="136">
        <v>122.3</v>
      </c>
      <c r="BI98" s="136">
        <v>122.89</v>
      </c>
      <c r="BJ98" s="136">
        <v>122.76</v>
      </c>
      <c r="BK98" s="136">
        <v>122.53</v>
      </c>
      <c r="BM98" s="145">
        <v>4.7001524623256357</v>
      </c>
      <c r="BN98" s="145">
        <v>0.82358190070511783</v>
      </c>
      <c r="BO98" s="145">
        <v>4.7001524623256357</v>
      </c>
      <c r="BP98" s="145">
        <v>6.1607390250074667</v>
      </c>
      <c r="BQ98" s="145">
        <v>7.3640488377085376</v>
      </c>
      <c r="BR98" s="145">
        <v>11.470793898062901</v>
      </c>
      <c r="BS98" s="145">
        <v>14.339710284971012</v>
      </c>
      <c r="BT98" s="145">
        <v>30.987924529041461</v>
      </c>
      <c r="BU98" s="145">
        <v>26.638563636287294</v>
      </c>
      <c r="BV98" s="145">
        <v>20.317763486520196</v>
      </c>
    </row>
    <row r="99" spans="1:74" x14ac:dyDescent="0.25">
      <c r="A99" s="141">
        <v>42837</v>
      </c>
      <c r="B99" s="142">
        <v>0.48194444444444445</v>
      </c>
      <c r="C99" s="143">
        <v>122.42</v>
      </c>
      <c r="E99" s="144" t="s">
        <v>169</v>
      </c>
      <c r="F99" s="158">
        <v>122.42</v>
      </c>
      <c r="I99" s="143">
        <v>120.42</v>
      </c>
      <c r="J99" s="143">
        <v>115.63</v>
      </c>
      <c r="K99" s="143">
        <v>120.42</v>
      </c>
      <c r="L99" s="143">
        <v>121.57</v>
      </c>
      <c r="M99" s="143">
        <v>121.53</v>
      </c>
      <c r="N99" s="143">
        <v>121.87</v>
      </c>
      <c r="O99" s="143">
        <v>122.41</v>
      </c>
      <c r="P99" s="143">
        <v>122.86</v>
      </c>
      <c r="Q99" s="143">
        <v>122.91</v>
      </c>
      <c r="S99" s="145">
        <v>5.1276858187679784</v>
      </c>
      <c r="T99" s="145">
        <v>0.96547785212719561</v>
      </c>
      <c r="U99" s="145">
        <v>5.1276858187679784</v>
      </c>
      <c r="V99" s="145">
        <v>6.7178862918033317</v>
      </c>
      <c r="W99" s="145">
        <v>7.9160881476595755</v>
      </c>
      <c r="X99" s="145">
        <v>12.067787950295038</v>
      </c>
      <c r="Y99" s="145">
        <v>15.015746566568151</v>
      </c>
      <c r="Z99" s="145">
        <v>31.73776694679265</v>
      </c>
      <c r="AA99" s="145">
        <v>27.397088820016965</v>
      </c>
      <c r="AB99" s="145">
        <v>20.995358192695715</v>
      </c>
      <c r="BB99" s="136">
        <v>120.42</v>
      </c>
      <c r="BC99" s="136">
        <v>115.63</v>
      </c>
      <c r="BD99" s="136">
        <v>120.42</v>
      </c>
      <c r="BE99" s="136">
        <v>121.57</v>
      </c>
      <c r="BF99" s="136">
        <v>121.53</v>
      </c>
      <c r="BG99" s="136">
        <v>121.87</v>
      </c>
      <c r="BH99" s="136">
        <v>122.41</v>
      </c>
      <c r="BI99" s="136">
        <v>122.86</v>
      </c>
      <c r="BJ99" s="136">
        <v>122.91</v>
      </c>
      <c r="BK99" s="136">
        <v>122.42</v>
      </c>
      <c r="BM99" s="145">
        <v>5.1276858187679784</v>
      </c>
      <c r="BN99" s="145">
        <v>0.96547785212719561</v>
      </c>
      <c r="BO99" s="145">
        <v>5.1276858187679784</v>
      </c>
      <c r="BP99" s="145">
        <v>6.7178862918033317</v>
      </c>
      <c r="BQ99" s="145">
        <v>7.9160881476595755</v>
      </c>
      <c r="BR99" s="145">
        <v>12.067787950295038</v>
      </c>
      <c r="BS99" s="145">
        <v>15.015746566568151</v>
      </c>
      <c r="BT99" s="145">
        <v>31.73776694679265</v>
      </c>
      <c r="BU99" s="145">
        <v>27.397088820016965</v>
      </c>
      <c r="BV99" s="145">
        <v>20.995358192695715</v>
      </c>
    </row>
    <row r="100" spans="1:74" x14ac:dyDescent="0.25">
      <c r="A100" s="141">
        <v>42837</v>
      </c>
      <c r="B100" s="142">
        <v>0.48229166666666662</v>
      </c>
      <c r="C100" s="143">
        <v>122.54</v>
      </c>
      <c r="E100" s="144" t="s">
        <v>169</v>
      </c>
      <c r="F100" s="158">
        <v>122.54</v>
      </c>
      <c r="I100" s="143">
        <v>120.55</v>
      </c>
      <c r="J100" s="143">
        <v>116.1</v>
      </c>
      <c r="K100" s="143">
        <v>120.55</v>
      </c>
      <c r="L100" s="143">
        <v>121.7</v>
      </c>
      <c r="M100" s="143">
        <v>121.6</v>
      </c>
      <c r="N100" s="143">
        <v>122</v>
      </c>
      <c r="O100" s="143">
        <v>122.1</v>
      </c>
      <c r="P100" s="143">
        <v>122.55</v>
      </c>
      <c r="Q100" s="143">
        <v>122.41</v>
      </c>
      <c r="S100" s="145">
        <v>5.5682102552719854</v>
      </c>
      <c r="T100" s="145">
        <v>1.1235917351356146</v>
      </c>
      <c r="U100" s="145">
        <v>5.5682102552719854</v>
      </c>
      <c r="V100" s="145">
        <v>7.2919631025517742</v>
      </c>
      <c r="W100" s="145">
        <v>8.4770973748105565</v>
      </c>
      <c r="X100" s="145">
        <v>12.68292233570123</v>
      </c>
      <c r="Y100" s="145">
        <v>15.645209272465234</v>
      </c>
      <c r="Z100" s="145">
        <v>32.435951127320621</v>
      </c>
      <c r="AA100" s="145">
        <v>28.073125101614103</v>
      </c>
      <c r="AB100" s="145">
        <v>21.691936594168368</v>
      </c>
      <c r="BB100" s="136">
        <v>120.55</v>
      </c>
      <c r="BC100" s="136">
        <v>116.1</v>
      </c>
      <c r="BD100" s="136">
        <v>120.55</v>
      </c>
      <c r="BE100" s="136">
        <v>121.7</v>
      </c>
      <c r="BF100" s="136">
        <v>121.6</v>
      </c>
      <c r="BG100" s="136">
        <v>122</v>
      </c>
      <c r="BH100" s="136">
        <v>122.1</v>
      </c>
      <c r="BI100" s="136">
        <v>122.55</v>
      </c>
      <c r="BJ100" s="136">
        <v>122.41</v>
      </c>
      <c r="BK100" s="136">
        <v>122.54</v>
      </c>
      <c r="BM100" s="145">
        <v>5.5682102552719854</v>
      </c>
      <c r="BN100" s="145">
        <v>1.1235917351356146</v>
      </c>
      <c r="BO100" s="145">
        <v>5.5682102552719854</v>
      </c>
      <c r="BP100" s="145">
        <v>7.2919631025517742</v>
      </c>
      <c r="BQ100" s="145">
        <v>8.4770973748105565</v>
      </c>
      <c r="BR100" s="145">
        <v>12.68292233570123</v>
      </c>
      <c r="BS100" s="145">
        <v>15.645209272465234</v>
      </c>
      <c r="BT100" s="145">
        <v>32.435951127320621</v>
      </c>
      <c r="BU100" s="145">
        <v>28.073125101614103</v>
      </c>
      <c r="BV100" s="145">
        <v>21.691936594168368</v>
      </c>
    </row>
    <row r="101" spans="1:74" x14ac:dyDescent="0.25">
      <c r="A101" s="141">
        <v>42837</v>
      </c>
      <c r="B101" s="142">
        <v>0.4826388888888889</v>
      </c>
      <c r="C101" s="143">
        <v>122.44</v>
      </c>
      <c r="E101" s="144" t="s">
        <v>169</v>
      </c>
      <c r="F101" s="158">
        <v>122.44</v>
      </c>
      <c r="I101" s="143">
        <v>120.7</v>
      </c>
      <c r="J101" s="143">
        <v>116.55</v>
      </c>
      <c r="K101" s="143">
        <v>120.7</v>
      </c>
      <c r="L101" s="143">
        <v>121.85</v>
      </c>
      <c r="M101" s="143">
        <v>121.68</v>
      </c>
      <c r="N101" s="143">
        <v>121.92</v>
      </c>
      <c r="O101" s="143">
        <v>122.51</v>
      </c>
      <c r="P101" s="143">
        <v>122.95</v>
      </c>
      <c r="Q101" s="143">
        <v>122.89</v>
      </c>
      <c r="S101" s="145">
        <v>6.0242156749499411</v>
      </c>
      <c r="T101" s="145">
        <v>1.2989676721118988</v>
      </c>
      <c r="U101" s="145">
        <v>6.0242156749499411</v>
      </c>
      <c r="V101" s="145">
        <v>7.8862142162702833</v>
      </c>
      <c r="W101" s="145">
        <v>9.0485365422054436</v>
      </c>
      <c r="X101" s="145">
        <v>13.286829253254622</v>
      </c>
      <c r="Y101" s="145">
        <v>16.336992461951127</v>
      </c>
      <c r="Z101" s="145">
        <v>33.201494858161638</v>
      </c>
      <c r="AA101" s="145">
        <v>28.828165178696178</v>
      </c>
      <c r="AB101" s="145">
        <v>22.372658935401343</v>
      </c>
      <c r="BB101" s="136">
        <v>120.7</v>
      </c>
      <c r="BC101" s="136">
        <v>116.55</v>
      </c>
      <c r="BD101" s="136">
        <v>120.7</v>
      </c>
      <c r="BE101" s="136">
        <v>121.85</v>
      </c>
      <c r="BF101" s="136">
        <v>121.68</v>
      </c>
      <c r="BG101" s="136">
        <v>121.92</v>
      </c>
      <c r="BH101" s="136">
        <v>122.51</v>
      </c>
      <c r="BI101" s="136">
        <v>122.95</v>
      </c>
      <c r="BJ101" s="136">
        <v>122.89</v>
      </c>
      <c r="BK101" s="136">
        <v>122.44</v>
      </c>
      <c r="BM101" s="145">
        <v>6.0242156749499411</v>
      </c>
      <c r="BN101" s="145">
        <v>1.2989676721118988</v>
      </c>
      <c r="BO101" s="145">
        <v>6.0242156749499411</v>
      </c>
      <c r="BP101" s="145">
        <v>7.8862142162702833</v>
      </c>
      <c r="BQ101" s="145">
        <v>9.0485365422054436</v>
      </c>
      <c r="BR101" s="145">
        <v>13.286829253254622</v>
      </c>
      <c r="BS101" s="145">
        <v>16.336992461951127</v>
      </c>
      <c r="BT101" s="145">
        <v>33.201494858161638</v>
      </c>
      <c r="BU101" s="145">
        <v>28.828165178696178</v>
      </c>
      <c r="BV101" s="145">
        <v>22.372658935401343</v>
      </c>
    </row>
    <row r="102" spans="1:74" x14ac:dyDescent="0.25">
      <c r="A102" s="141">
        <v>42837</v>
      </c>
      <c r="B102" s="142">
        <v>0.48298611111111112</v>
      </c>
      <c r="C102" s="143">
        <v>122.53</v>
      </c>
      <c r="E102" s="144" t="s">
        <v>169</v>
      </c>
      <c r="F102" s="158">
        <v>122.53</v>
      </c>
      <c r="I102" s="143">
        <v>120.8</v>
      </c>
      <c r="J102" s="143">
        <v>116.98</v>
      </c>
      <c r="K102" s="143">
        <v>120.8</v>
      </c>
      <c r="L102" s="143">
        <v>121.95</v>
      </c>
      <c r="M102" s="143">
        <v>121.74</v>
      </c>
      <c r="N102" s="143">
        <v>122.1</v>
      </c>
      <c r="O102" s="143">
        <v>121.83</v>
      </c>
      <c r="P102" s="143">
        <v>122.17</v>
      </c>
      <c r="Q102" s="143">
        <v>122.04</v>
      </c>
      <c r="S102" s="145">
        <v>6.4908428253484374</v>
      </c>
      <c r="T102" s="145">
        <v>1.4925964945727079</v>
      </c>
      <c r="U102" s="145">
        <v>6.4908428253484374</v>
      </c>
      <c r="V102" s="145">
        <v>8.4943072165934694</v>
      </c>
      <c r="W102" s="145">
        <v>9.6279252202830072</v>
      </c>
      <c r="X102" s="145">
        <v>13.916291959151705</v>
      </c>
      <c r="Y102" s="145">
        <v>16.928513239813711</v>
      </c>
      <c r="Z102" s="145">
        <v>33.8411855102404</v>
      </c>
      <c r="AA102" s="145">
        <v>29.448991332492387</v>
      </c>
      <c r="AB102" s="145">
        <v>23.067635251008021</v>
      </c>
      <c r="BB102" s="136">
        <v>120.8</v>
      </c>
      <c r="BC102" s="136">
        <v>116.98</v>
      </c>
      <c r="BD102" s="136">
        <v>120.8</v>
      </c>
      <c r="BE102" s="136">
        <v>121.95</v>
      </c>
      <c r="BF102" s="136">
        <v>121.74</v>
      </c>
      <c r="BG102" s="136">
        <v>122.1</v>
      </c>
      <c r="BH102" s="136">
        <v>121.83</v>
      </c>
      <c r="BI102" s="136">
        <v>122.17</v>
      </c>
      <c r="BJ102" s="136">
        <v>122.04</v>
      </c>
      <c r="BK102" s="136">
        <v>122.53</v>
      </c>
      <c r="BM102" s="145">
        <v>6.4908428253484374</v>
      </c>
      <c r="BN102" s="145">
        <v>1.4925964945727079</v>
      </c>
      <c r="BO102" s="145">
        <v>6.4908428253484374</v>
      </c>
      <c r="BP102" s="145">
        <v>8.4943072165934694</v>
      </c>
      <c r="BQ102" s="145">
        <v>9.6279252202830072</v>
      </c>
      <c r="BR102" s="145">
        <v>13.916291959151705</v>
      </c>
      <c r="BS102" s="145">
        <v>16.928513239813711</v>
      </c>
      <c r="BT102" s="145">
        <v>33.8411855102404</v>
      </c>
      <c r="BU102" s="145">
        <v>29.448991332492387</v>
      </c>
      <c r="BV102" s="145">
        <v>23.067635251008021</v>
      </c>
    </row>
    <row r="103" spans="1:74" x14ac:dyDescent="0.25">
      <c r="A103" s="141">
        <v>42837</v>
      </c>
      <c r="B103" s="142">
        <v>0.48333333333333334</v>
      </c>
      <c r="C103" s="143">
        <v>122.49</v>
      </c>
      <c r="E103" s="144" t="s">
        <v>169</v>
      </c>
      <c r="F103" s="158">
        <v>122.49</v>
      </c>
      <c r="I103" s="143">
        <v>120.93</v>
      </c>
      <c r="J103" s="143">
        <v>117.37</v>
      </c>
      <c r="K103" s="143">
        <v>120.93</v>
      </c>
      <c r="L103" s="143">
        <v>122.08</v>
      </c>
      <c r="M103" s="143">
        <v>121.79</v>
      </c>
      <c r="N103" s="143">
        <v>122.02</v>
      </c>
      <c r="O103" s="143">
        <v>122.64</v>
      </c>
      <c r="P103" s="143">
        <v>123.05</v>
      </c>
      <c r="Q103" s="143">
        <v>122.98</v>
      </c>
      <c r="S103" s="145">
        <v>6.9716489645402708</v>
      </c>
      <c r="T103" s="145">
        <v>1.704417977597479</v>
      </c>
      <c r="U103" s="145">
        <v>6.9716489645402708</v>
      </c>
      <c r="V103" s="145">
        <v>9.1208778040641789</v>
      </c>
      <c r="W103" s="145">
        <v>10.214022903057074</v>
      </c>
      <c r="X103" s="145">
        <v>14.534265675873961</v>
      </c>
      <c r="Y103" s="145">
        <v>17.641317036614804</v>
      </c>
      <c r="Z103" s="145">
        <v>34.624561045294477</v>
      </c>
      <c r="AA103" s="145">
        <v>30.219841558967168</v>
      </c>
      <c r="AB103" s="145">
        <v>23.756239985454993</v>
      </c>
      <c r="BB103" s="136">
        <v>120.93</v>
      </c>
      <c r="BC103" s="136">
        <v>117.37</v>
      </c>
      <c r="BD103" s="136">
        <v>120.93</v>
      </c>
      <c r="BE103" s="136">
        <v>122.08</v>
      </c>
      <c r="BF103" s="136">
        <v>121.79</v>
      </c>
      <c r="BG103" s="136">
        <v>122.02</v>
      </c>
      <c r="BH103" s="136">
        <v>122.64</v>
      </c>
      <c r="BI103" s="136">
        <v>123.05</v>
      </c>
      <c r="BJ103" s="136">
        <v>122.98</v>
      </c>
      <c r="BK103" s="136">
        <v>122.49</v>
      </c>
      <c r="BM103" s="145">
        <v>6.9716489645402708</v>
      </c>
      <c r="BN103" s="145">
        <v>1.704417977597479</v>
      </c>
      <c r="BO103" s="145">
        <v>6.9716489645402708</v>
      </c>
      <c r="BP103" s="145">
        <v>9.1208778040641789</v>
      </c>
      <c r="BQ103" s="145">
        <v>10.214022903057074</v>
      </c>
      <c r="BR103" s="145">
        <v>14.534265675873961</v>
      </c>
      <c r="BS103" s="145">
        <v>17.641317036614804</v>
      </c>
      <c r="BT103" s="145">
        <v>34.624561045294477</v>
      </c>
      <c r="BU103" s="145">
        <v>30.219841558967168</v>
      </c>
      <c r="BV103" s="145">
        <v>23.756239985454993</v>
      </c>
    </row>
    <row r="104" spans="1:74" x14ac:dyDescent="0.25">
      <c r="A104" s="141">
        <v>42837</v>
      </c>
      <c r="B104" s="142">
        <v>0.4836805555555555</v>
      </c>
      <c r="C104" s="143">
        <v>122.47</v>
      </c>
      <c r="E104" s="144" t="s">
        <v>169</v>
      </c>
      <c r="F104" s="158">
        <v>122.47</v>
      </c>
      <c r="I104" s="143">
        <v>121.01</v>
      </c>
      <c r="J104" s="143">
        <v>117.76</v>
      </c>
      <c r="K104" s="143">
        <v>121.01</v>
      </c>
      <c r="L104" s="143">
        <v>122.16</v>
      </c>
      <c r="M104" s="143">
        <v>121.85</v>
      </c>
      <c r="N104" s="143">
        <v>122.05</v>
      </c>
      <c r="O104" s="143">
        <v>121.64</v>
      </c>
      <c r="P104" s="143">
        <v>121.86</v>
      </c>
      <c r="Q104" s="143">
        <v>121.75</v>
      </c>
      <c r="S104" s="145">
        <v>7.4613939572446215</v>
      </c>
      <c r="T104" s="145">
        <v>1.9361414374656236</v>
      </c>
      <c r="U104" s="145">
        <v>7.4613939572446215</v>
      </c>
      <c r="V104" s="145">
        <v>9.7590972084698517</v>
      </c>
      <c r="W104" s="145">
        <v>10.808274016775584</v>
      </c>
      <c r="X104" s="145">
        <v>15.156522981759654</v>
      </c>
      <c r="Y104" s="145">
        <v>18.207517218232585</v>
      </c>
      <c r="Z104" s="145">
        <v>35.220182049308164</v>
      </c>
      <c r="AA104" s="145">
        <v>30.800565865887339</v>
      </c>
      <c r="AB104" s="145">
        <v>24.441680868537421</v>
      </c>
      <c r="BB104" s="136">
        <v>121.01</v>
      </c>
      <c r="BC104" s="136">
        <v>117.76</v>
      </c>
      <c r="BD104" s="136">
        <v>121.01</v>
      </c>
      <c r="BE104" s="136">
        <v>122.16</v>
      </c>
      <c r="BF104" s="136">
        <v>121.85</v>
      </c>
      <c r="BG104" s="136">
        <v>122.05</v>
      </c>
      <c r="BH104" s="136">
        <v>121.64</v>
      </c>
      <c r="BI104" s="136">
        <v>121.86</v>
      </c>
      <c r="BJ104" s="136">
        <v>121.75</v>
      </c>
      <c r="BK104" s="136">
        <v>122.47</v>
      </c>
      <c r="BM104" s="145">
        <v>7.4613939572446215</v>
      </c>
      <c r="BN104" s="145">
        <v>1.9361414374656236</v>
      </c>
      <c r="BO104" s="145">
        <v>7.4613939572446215</v>
      </c>
      <c r="BP104" s="145">
        <v>9.7590972084698517</v>
      </c>
      <c r="BQ104" s="145">
        <v>10.808274016775584</v>
      </c>
      <c r="BR104" s="145">
        <v>15.156522981759654</v>
      </c>
      <c r="BS104" s="145">
        <v>18.207517218232585</v>
      </c>
      <c r="BT104" s="145">
        <v>35.220182049308164</v>
      </c>
      <c r="BU104" s="145">
        <v>30.800565865887339</v>
      </c>
      <c r="BV104" s="145">
        <v>24.441680868537421</v>
      </c>
    </row>
    <row r="105" spans="1:74" x14ac:dyDescent="0.25">
      <c r="A105" s="141">
        <v>42837</v>
      </c>
      <c r="B105" s="142">
        <v>0.48402777777777778</v>
      </c>
      <c r="C105" s="143">
        <v>122.53</v>
      </c>
      <c r="E105" s="144" t="s">
        <v>169</v>
      </c>
      <c r="F105" s="158">
        <v>122.53</v>
      </c>
      <c r="I105" s="143">
        <v>121.13</v>
      </c>
      <c r="J105" s="143">
        <v>118.12</v>
      </c>
      <c r="K105" s="143">
        <v>121.13</v>
      </c>
      <c r="L105" s="143">
        <v>122.26</v>
      </c>
      <c r="M105" s="143">
        <v>121.88</v>
      </c>
      <c r="N105" s="143">
        <v>122.04</v>
      </c>
      <c r="O105" s="143">
        <v>122.44</v>
      </c>
      <c r="P105" s="143">
        <v>122.78</v>
      </c>
      <c r="Q105" s="143">
        <v>122.67</v>
      </c>
      <c r="S105" s="145">
        <v>7.9648597916705235</v>
      </c>
      <c r="T105" s="145">
        <v>2.1878917418595765</v>
      </c>
      <c r="U105" s="145">
        <v>7.9648597916705235</v>
      </c>
      <c r="V105" s="145">
        <v>10.412182652535774</v>
      </c>
      <c r="W105" s="145">
        <v>11.406644282429207</v>
      </c>
      <c r="X105" s="145">
        <v>15.777349135555861</v>
      </c>
      <c r="Y105" s="145">
        <v>18.888239559465561</v>
      </c>
      <c r="Z105" s="145">
        <v>35.956338300524521</v>
      </c>
      <c r="AA105" s="145">
        <v>31.518310582564169</v>
      </c>
      <c r="AB105" s="145">
        <v>25.136657184144099</v>
      </c>
      <c r="BB105" s="136">
        <v>121.13</v>
      </c>
      <c r="BC105" s="136">
        <v>118.12</v>
      </c>
      <c r="BD105" s="136">
        <v>121.13</v>
      </c>
      <c r="BE105" s="136">
        <v>122.26</v>
      </c>
      <c r="BF105" s="136">
        <v>121.88</v>
      </c>
      <c r="BG105" s="136">
        <v>122.04</v>
      </c>
      <c r="BH105" s="136">
        <v>122.44</v>
      </c>
      <c r="BI105" s="136">
        <v>122.78</v>
      </c>
      <c r="BJ105" s="136">
        <v>122.67</v>
      </c>
      <c r="BK105" s="136">
        <v>122.53</v>
      </c>
      <c r="BM105" s="145">
        <v>7.9648597916705235</v>
      </c>
      <c r="BN105" s="145">
        <v>2.1878917418595765</v>
      </c>
      <c r="BO105" s="145">
        <v>7.9648597916705235</v>
      </c>
      <c r="BP105" s="145">
        <v>10.412182652535774</v>
      </c>
      <c r="BQ105" s="145">
        <v>11.406644282429207</v>
      </c>
      <c r="BR105" s="145">
        <v>15.777349135555861</v>
      </c>
      <c r="BS105" s="145">
        <v>18.888239559465561</v>
      </c>
      <c r="BT105" s="145">
        <v>35.956338300524521</v>
      </c>
      <c r="BU105" s="145">
        <v>31.518310582564169</v>
      </c>
      <c r="BV105" s="145">
        <v>25.136657184144099</v>
      </c>
    </row>
    <row r="106" spans="1:74" x14ac:dyDescent="0.25">
      <c r="A106" s="141">
        <v>42837</v>
      </c>
      <c r="B106" s="142">
        <v>0.484375</v>
      </c>
      <c r="C106" s="143">
        <v>122.39</v>
      </c>
      <c r="E106" s="144" t="s">
        <v>169</v>
      </c>
      <c r="F106" s="158">
        <v>122.39</v>
      </c>
      <c r="I106" s="143">
        <v>121.19</v>
      </c>
      <c r="J106" s="143">
        <v>118.48</v>
      </c>
      <c r="K106" s="143">
        <v>121.19</v>
      </c>
      <c r="L106" s="143">
        <v>122.33</v>
      </c>
      <c r="M106" s="143">
        <v>121.93</v>
      </c>
      <c r="N106" s="143">
        <v>122.02</v>
      </c>
      <c r="O106" s="143">
        <v>122.59</v>
      </c>
      <c r="P106" s="143">
        <v>122.89</v>
      </c>
      <c r="Q106" s="143">
        <v>122.93</v>
      </c>
      <c r="S106" s="145">
        <v>8.4753295335243646</v>
      </c>
      <c r="T106" s="145">
        <v>2.4613997233065628</v>
      </c>
      <c r="U106" s="145">
        <v>8.4753295335243646</v>
      </c>
      <c r="V106" s="145">
        <v>11.075879881400645</v>
      </c>
      <c r="W106" s="145">
        <v>12.011943349204451</v>
      </c>
      <c r="X106" s="145">
        <v>16.395322852278117</v>
      </c>
      <c r="Y106" s="145">
        <v>19.592883958676499</v>
      </c>
      <c r="Z106" s="145">
        <v>36.7113783776066</v>
      </c>
      <c r="AA106" s="145">
        <v>32.280336959462815</v>
      </c>
      <c r="AB106" s="145">
        <v>25.809587361172074</v>
      </c>
      <c r="BB106" s="136">
        <v>121.19</v>
      </c>
      <c r="BC106" s="136">
        <v>118.48</v>
      </c>
      <c r="BD106" s="136">
        <v>121.19</v>
      </c>
      <c r="BE106" s="136">
        <v>122.33</v>
      </c>
      <c r="BF106" s="136">
        <v>121.93</v>
      </c>
      <c r="BG106" s="136">
        <v>122.02</v>
      </c>
      <c r="BH106" s="136">
        <v>122.59</v>
      </c>
      <c r="BI106" s="136">
        <v>122.89</v>
      </c>
      <c r="BJ106" s="136">
        <v>122.93</v>
      </c>
      <c r="BK106" s="136">
        <v>122.39</v>
      </c>
      <c r="BM106" s="145">
        <v>8.4753295335243646</v>
      </c>
      <c r="BN106" s="145">
        <v>2.4613997233065628</v>
      </c>
      <c r="BO106" s="145">
        <v>8.4753295335243646</v>
      </c>
      <c r="BP106" s="145">
        <v>11.075879881400645</v>
      </c>
      <c r="BQ106" s="145">
        <v>12.011943349204451</v>
      </c>
      <c r="BR106" s="145">
        <v>16.395322852278117</v>
      </c>
      <c r="BS106" s="145">
        <v>19.592883958676499</v>
      </c>
      <c r="BT106" s="145">
        <v>36.7113783776066</v>
      </c>
      <c r="BU106" s="145">
        <v>32.280336959462815</v>
      </c>
      <c r="BV106" s="145">
        <v>25.809587361172074</v>
      </c>
    </row>
    <row r="107" spans="1:74" x14ac:dyDescent="0.25">
      <c r="A107" s="141">
        <v>42837</v>
      </c>
      <c r="B107" s="142">
        <v>0.48472222222222222</v>
      </c>
      <c r="C107" s="143">
        <v>122.51</v>
      </c>
      <c r="E107" s="144" t="s">
        <v>169</v>
      </c>
      <c r="F107" s="158">
        <v>122.51</v>
      </c>
      <c r="I107" s="143">
        <v>121.29</v>
      </c>
      <c r="J107" s="143">
        <v>118.83</v>
      </c>
      <c r="K107" s="143">
        <v>121.29</v>
      </c>
      <c r="L107" s="143">
        <v>122.43</v>
      </c>
      <c r="M107" s="143">
        <v>121.95</v>
      </c>
      <c r="N107" s="143">
        <v>122.09</v>
      </c>
      <c r="O107" s="143">
        <v>122.04</v>
      </c>
      <c r="P107" s="143">
        <v>122.29</v>
      </c>
      <c r="Q107" s="143">
        <v>122.17</v>
      </c>
      <c r="S107" s="145">
        <v>8.9976896431347662</v>
      </c>
      <c r="T107" s="145">
        <v>2.7578623855965629</v>
      </c>
      <c r="U107" s="145">
        <v>8.9976896431347662</v>
      </c>
      <c r="V107" s="145">
        <v>11.755036604694224</v>
      </c>
      <c r="W107" s="145">
        <v>12.620036349527636</v>
      </c>
      <c r="X107" s="145">
        <v>17.023337834125556</v>
      </c>
      <c r="Y107" s="145">
        <v>20.213710112472707</v>
      </c>
      <c r="Z107" s="145">
        <v>37.368990793702721</v>
      </c>
      <c r="AA107" s="145">
        <v>32.920027611541578</v>
      </c>
      <c r="AB107" s="145">
        <v>26.501370550657967</v>
      </c>
      <c r="BB107" s="136">
        <v>121.29</v>
      </c>
      <c r="BC107" s="136">
        <v>118.83</v>
      </c>
      <c r="BD107" s="136">
        <v>121.29</v>
      </c>
      <c r="BE107" s="136">
        <v>122.43</v>
      </c>
      <c r="BF107" s="136">
        <v>121.95</v>
      </c>
      <c r="BG107" s="136">
        <v>122.09</v>
      </c>
      <c r="BH107" s="136">
        <v>122.04</v>
      </c>
      <c r="BI107" s="136">
        <v>122.29</v>
      </c>
      <c r="BJ107" s="136">
        <v>122.17</v>
      </c>
      <c r="BK107" s="136">
        <v>122.51</v>
      </c>
      <c r="BM107" s="145">
        <v>8.9976896431347662</v>
      </c>
      <c r="BN107" s="145">
        <v>2.7578623855965629</v>
      </c>
      <c r="BO107" s="145">
        <v>8.9976896431347662</v>
      </c>
      <c r="BP107" s="145">
        <v>11.755036604694224</v>
      </c>
      <c r="BQ107" s="145">
        <v>12.620036349527636</v>
      </c>
      <c r="BR107" s="145">
        <v>17.023337834125556</v>
      </c>
      <c r="BS107" s="145">
        <v>20.213710112472707</v>
      </c>
      <c r="BT107" s="145">
        <v>37.368990793702721</v>
      </c>
      <c r="BU107" s="145">
        <v>32.920027611541578</v>
      </c>
      <c r="BV107" s="145">
        <v>26.501370550657967</v>
      </c>
    </row>
    <row r="108" spans="1:74" x14ac:dyDescent="0.25">
      <c r="A108" s="141">
        <v>42837</v>
      </c>
      <c r="B108" s="142">
        <v>0.4850694444444445</v>
      </c>
      <c r="C108" s="143">
        <v>122.43</v>
      </c>
      <c r="E108" s="144" t="s">
        <v>169</v>
      </c>
      <c r="F108" s="158">
        <v>122.43</v>
      </c>
      <c r="I108" s="143">
        <v>121.35</v>
      </c>
      <c r="J108" s="143">
        <v>119.16</v>
      </c>
      <c r="K108" s="143">
        <v>121.35</v>
      </c>
      <c r="L108" s="143">
        <v>122.49</v>
      </c>
      <c r="M108" s="143">
        <v>121.99</v>
      </c>
      <c r="N108" s="143">
        <v>122.03</v>
      </c>
      <c r="O108" s="143">
        <v>122.72</v>
      </c>
      <c r="P108" s="143">
        <v>123.02</v>
      </c>
      <c r="Q108" s="143">
        <v>122.93</v>
      </c>
      <c r="S108" s="145">
        <v>9.5273165057234106</v>
      </c>
      <c r="T108" s="145">
        <v>3.077729803337887</v>
      </c>
      <c r="U108" s="145">
        <v>9.5273165057234106</v>
      </c>
      <c r="V108" s="145">
        <v>12.443641339141198</v>
      </c>
      <c r="W108" s="145">
        <v>13.233755965106839</v>
      </c>
      <c r="X108" s="145">
        <v>17.642736127390741</v>
      </c>
      <c r="Y108" s="145">
        <v>20.939765921266581</v>
      </c>
      <c r="Z108" s="145">
        <v>38.14697360950526</v>
      </c>
      <c r="AA108" s="145">
        <v>33.682053988440224</v>
      </c>
      <c r="AB108" s="145">
        <v>27.180527273951547</v>
      </c>
      <c r="BB108" s="136">
        <v>121.35</v>
      </c>
      <c r="BC108" s="136">
        <v>119.16</v>
      </c>
      <c r="BD108" s="136">
        <v>121.35</v>
      </c>
      <c r="BE108" s="136">
        <v>122.49</v>
      </c>
      <c r="BF108" s="136">
        <v>121.99</v>
      </c>
      <c r="BG108" s="136">
        <v>122.03</v>
      </c>
      <c r="BH108" s="136">
        <v>122.72</v>
      </c>
      <c r="BI108" s="136">
        <v>123.02</v>
      </c>
      <c r="BJ108" s="136">
        <v>122.93</v>
      </c>
      <c r="BK108" s="136">
        <v>122.43</v>
      </c>
      <c r="BM108" s="145">
        <v>9.5273165057234106</v>
      </c>
      <c r="BN108" s="145">
        <v>3.077729803337887</v>
      </c>
      <c r="BO108" s="145">
        <v>9.5273165057234106</v>
      </c>
      <c r="BP108" s="145">
        <v>12.443641339141198</v>
      </c>
      <c r="BQ108" s="145">
        <v>13.233755965106839</v>
      </c>
      <c r="BR108" s="145">
        <v>17.642736127390741</v>
      </c>
      <c r="BS108" s="145">
        <v>20.939765921266581</v>
      </c>
      <c r="BT108" s="145">
        <v>38.14697360950526</v>
      </c>
      <c r="BU108" s="145">
        <v>33.682053988440224</v>
      </c>
      <c r="BV108" s="145">
        <v>27.180527273951547</v>
      </c>
    </row>
    <row r="109" spans="1:74" x14ac:dyDescent="0.25">
      <c r="A109" s="141">
        <v>42837</v>
      </c>
      <c r="B109" s="142">
        <v>0.48541666666666666</v>
      </c>
      <c r="C109" s="143">
        <v>122.47</v>
      </c>
      <c r="E109" s="144" t="s">
        <v>169</v>
      </c>
      <c r="F109" s="158">
        <v>122.47</v>
      </c>
      <c r="I109" s="143">
        <v>121.42</v>
      </c>
      <c r="J109" s="143">
        <v>119.47</v>
      </c>
      <c r="K109" s="143">
        <v>121.42</v>
      </c>
      <c r="L109" s="143">
        <v>122.58</v>
      </c>
      <c r="M109" s="143">
        <v>122.02</v>
      </c>
      <c r="N109" s="143">
        <v>122.08</v>
      </c>
      <c r="O109" s="143">
        <v>121.83</v>
      </c>
      <c r="P109" s="143">
        <v>122</v>
      </c>
      <c r="Q109" s="143">
        <v>121.89</v>
      </c>
      <c r="S109" s="145">
        <v>10.06554911253833</v>
      </c>
      <c r="T109" s="145">
        <v>3.4212640233450036</v>
      </c>
      <c r="U109" s="145">
        <v>10.06554911253833</v>
      </c>
      <c r="V109" s="145">
        <v>13.146665101206155</v>
      </c>
      <c r="W109" s="145">
        <v>13.851729681829095</v>
      </c>
      <c r="X109" s="145">
        <v>18.26930671486145</v>
      </c>
      <c r="Y109" s="145">
        <v>21.531286699129165</v>
      </c>
      <c r="Z109" s="145">
        <v>38.762107994911453</v>
      </c>
      <c r="AA109" s="145">
        <v>34.281803640014914</v>
      </c>
      <c r="AB109" s="145">
        <v>27.865968157033976</v>
      </c>
      <c r="BB109" s="136">
        <v>121.42</v>
      </c>
      <c r="BC109" s="136">
        <v>119.47</v>
      </c>
      <c r="BD109" s="136">
        <v>121.42</v>
      </c>
      <c r="BE109" s="136">
        <v>122.58</v>
      </c>
      <c r="BF109" s="136">
        <v>122.02</v>
      </c>
      <c r="BG109" s="136">
        <v>122.08</v>
      </c>
      <c r="BH109" s="136">
        <v>121.83</v>
      </c>
      <c r="BI109" s="136">
        <v>122</v>
      </c>
      <c r="BJ109" s="136">
        <v>121.89</v>
      </c>
      <c r="BK109" s="136">
        <v>122.47</v>
      </c>
      <c r="BM109" s="145">
        <v>10.06554911253833</v>
      </c>
      <c r="BN109" s="145">
        <v>3.4212640233450036</v>
      </c>
      <c r="BO109" s="145">
        <v>10.06554911253833</v>
      </c>
      <c r="BP109" s="145">
        <v>13.146665101206155</v>
      </c>
      <c r="BQ109" s="145">
        <v>13.851729681829095</v>
      </c>
      <c r="BR109" s="145">
        <v>18.26930671486145</v>
      </c>
      <c r="BS109" s="145">
        <v>21.531286699129165</v>
      </c>
      <c r="BT109" s="145">
        <v>38.762107994911453</v>
      </c>
      <c r="BU109" s="145">
        <v>34.281803640014914</v>
      </c>
      <c r="BV109" s="145">
        <v>27.865968157033976</v>
      </c>
    </row>
    <row r="110" spans="1:74" x14ac:dyDescent="0.25">
      <c r="A110" s="141">
        <v>42837</v>
      </c>
      <c r="B110" s="142">
        <v>0.48576388888888888</v>
      </c>
      <c r="C110" s="143">
        <v>122.46</v>
      </c>
      <c r="E110" s="144" t="s">
        <v>169</v>
      </c>
      <c r="F110" s="158">
        <v>122.46</v>
      </c>
      <c r="I110" s="143">
        <v>121.47</v>
      </c>
      <c r="J110" s="143">
        <v>119.74</v>
      </c>
      <c r="K110" s="143">
        <v>121.47</v>
      </c>
      <c r="L110" s="143">
        <v>122.63</v>
      </c>
      <c r="M110" s="143">
        <v>122.03</v>
      </c>
      <c r="N110" s="143">
        <v>122.07</v>
      </c>
      <c r="O110" s="143">
        <v>122.78</v>
      </c>
      <c r="P110" s="143">
        <v>123.06</v>
      </c>
      <c r="Q110" s="143">
        <v>122.98</v>
      </c>
      <c r="S110" s="145">
        <v>10.610014159205047</v>
      </c>
      <c r="T110" s="145">
        <v>3.7868335650867122</v>
      </c>
      <c r="U110" s="145">
        <v>10.610014159205047</v>
      </c>
      <c r="V110" s="145">
        <v>13.857829494767564</v>
      </c>
      <c r="W110" s="145">
        <v>14.47112797509428</v>
      </c>
      <c r="X110" s="145">
        <v>18.89443622997031</v>
      </c>
      <c r="Y110" s="145">
        <v>22.267442950345526</v>
      </c>
      <c r="Z110" s="145">
        <v>39.547289397078231</v>
      </c>
      <c r="AA110" s="145">
        <v>35.052653866489692</v>
      </c>
      <c r="AB110" s="145">
        <v>28.549832569831899</v>
      </c>
      <c r="BB110" s="136">
        <v>121.47</v>
      </c>
      <c r="BC110" s="136">
        <v>119.74</v>
      </c>
      <c r="BD110" s="136">
        <v>121.47</v>
      </c>
      <c r="BE110" s="136">
        <v>122.63</v>
      </c>
      <c r="BF110" s="136">
        <v>122.03</v>
      </c>
      <c r="BG110" s="136">
        <v>122.07</v>
      </c>
      <c r="BH110" s="136">
        <v>122.78</v>
      </c>
      <c r="BI110" s="136">
        <v>123.06</v>
      </c>
      <c r="BJ110" s="136">
        <v>122.98</v>
      </c>
      <c r="BK110" s="136">
        <v>122.46</v>
      </c>
      <c r="BM110" s="145">
        <v>10.610014159205047</v>
      </c>
      <c r="BN110" s="145">
        <v>3.7868335650867122</v>
      </c>
      <c r="BO110" s="145">
        <v>10.610014159205047</v>
      </c>
      <c r="BP110" s="145">
        <v>13.857829494767564</v>
      </c>
      <c r="BQ110" s="145">
        <v>14.47112797509428</v>
      </c>
      <c r="BR110" s="145">
        <v>18.89443622997031</v>
      </c>
      <c r="BS110" s="145">
        <v>22.267442950345526</v>
      </c>
      <c r="BT110" s="145">
        <v>39.547289397078231</v>
      </c>
      <c r="BU110" s="145">
        <v>35.052653866489692</v>
      </c>
      <c r="BV110" s="145">
        <v>28.549832569831899</v>
      </c>
    </row>
    <row r="111" spans="1:74" x14ac:dyDescent="0.25">
      <c r="A111" s="141">
        <v>42837</v>
      </c>
      <c r="B111" s="142">
        <v>0.4861111111111111</v>
      </c>
      <c r="C111" s="143">
        <v>122.43</v>
      </c>
      <c r="E111" s="144" t="s">
        <v>169</v>
      </c>
      <c r="F111" s="158">
        <v>122.43</v>
      </c>
      <c r="I111" s="143">
        <v>121.53</v>
      </c>
      <c r="J111" s="143">
        <v>120.02</v>
      </c>
      <c r="K111" s="143">
        <v>121.53</v>
      </c>
      <c r="L111" s="143">
        <v>122.69</v>
      </c>
      <c r="M111" s="143">
        <v>122.03</v>
      </c>
      <c r="N111" s="143">
        <v>122.09</v>
      </c>
      <c r="O111" s="143">
        <v>121.7</v>
      </c>
      <c r="P111" s="143">
        <v>121.82</v>
      </c>
      <c r="Q111" s="143">
        <v>121.7</v>
      </c>
      <c r="S111" s="145">
        <v>11.162053469156085</v>
      </c>
      <c r="T111" s="145">
        <v>4.1767486203483415</v>
      </c>
      <c r="U111" s="145">
        <v>11.162053469156085</v>
      </c>
      <c r="V111" s="145">
        <v>14.578887170529999</v>
      </c>
      <c r="W111" s="145">
        <v>15.090526268359465</v>
      </c>
      <c r="X111" s="145">
        <v>19.522451211817749</v>
      </c>
      <c r="Y111" s="145">
        <v>22.84151976109397</v>
      </c>
      <c r="Z111" s="145">
        <v>40.137449714904093</v>
      </c>
      <c r="AA111" s="145">
        <v>35.626730677238136</v>
      </c>
      <c r="AB111" s="145">
        <v>29.22898929312548</v>
      </c>
      <c r="BB111" s="136">
        <v>121.53</v>
      </c>
      <c r="BC111" s="136">
        <v>120.02</v>
      </c>
      <c r="BD111" s="136">
        <v>121.53</v>
      </c>
      <c r="BE111" s="136">
        <v>122.69</v>
      </c>
      <c r="BF111" s="136">
        <v>122.03</v>
      </c>
      <c r="BG111" s="136">
        <v>122.09</v>
      </c>
      <c r="BH111" s="136">
        <v>121.7</v>
      </c>
      <c r="BI111" s="136">
        <v>121.82</v>
      </c>
      <c r="BJ111" s="136">
        <v>121.7</v>
      </c>
      <c r="BK111" s="136">
        <v>122.43</v>
      </c>
      <c r="BM111" s="145">
        <v>11.162053469156085</v>
      </c>
      <c r="BN111" s="145">
        <v>4.1767486203483415</v>
      </c>
      <c r="BO111" s="145">
        <v>11.162053469156085</v>
      </c>
      <c r="BP111" s="145">
        <v>14.578887170529999</v>
      </c>
      <c r="BQ111" s="145">
        <v>15.090526268359465</v>
      </c>
      <c r="BR111" s="145">
        <v>19.522451211817749</v>
      </c>
      <c r="BS111" s="145">
        <v>22.84151976109397</v>
      </c>
      <c r="BT111" s="145">
        <v>40.137449714904093</v>
      </c>
      <c r="BU111" s="145">
        <v>35.626730677238136</v>
      </c>
      <c r="BV111" s="145">
        <v>29.22898929312548</v>
      </c>
    </row>
    <row r="112" spans="1:74" x14ac:dyDescent="0.25">
      <c r="A112" s="141">
        <v>42837</v>
      </c>
      <c r="B112" s="142">
        <v>0.48645833333333338</v>
      </c>
      <c r="C112" s="143">
        <v>122.47</v>
      </c>
      <c r="E112" s="144" t="s">
        <v>169</v>
      </c>
      <c r="F112" s="158">
        <v>122.47</v>
      </c>
      <c r="I112" s="143">
        <v>121.58</v>
      </c>
      <c r="J112" s="143">
        <v>120.25</v>
      </c>
      <c r="K112" s="143">
        <v>121.58</v>
      </c>
      <c r="L112" s="143">
        <v>122.74</v>
      </c>
      <c r="M112" s="143">
        <v>122.05</v>
      </c>
      <c r="N112" s="143">
        <v>122.07</v>
      </c>
      <c r="O112" s="143">
        <v>122.75</v>
      </c>
      <c r="P112" s="143">
        <v>122.99</v>
      </c>
      <c r="Q112" s="143">
        <v>122.9</v>
      </c>
      <c r="S112" s="145">
        <v>11.720485093046365</v>
      </c>
      <c r="T112" s="145">
        <v>4.5878699453218772</v>
      </c>
      <c r="U112" s="145">
        <v>11.720485093046365</v>
      </c>
      <c r="V112" s="145">
        <v>15.308294300667674</v>
      </c>
      <c r="W112" s="145">
        <v>15.712783574245158</v>
      </c>
      <c r="X112" s="145">
        <v>20.147580726926609</v>
      </c>
      <c r="Y112" s="145">
        <v>23.57260834832233</v>
      </c>
      <c r="Z112" s="145">
        <v>40.910076934673299</v>
      </c>
      <c r="AA112" s="145">
        <v>36.383511301456245</v>
      </c>
      <c r="AB112" s="145">
        <v>29.914430176207908</v>
      </c>
      <c r="BB112" s="136">
        <v>121.58</v>
      </c>
      <c r="BC112" s="136">
        <v>120.25</v>
      </c>
      <c r="BD112" s="136">
        <v>121.58</v>
      </c>
      <c r="BE112" s="136">
        <v>122.74</v>
      </c>
      <c r="BF112" s="136">
        <v>122.05</v>
      </c>
      <c r="BG112" s="136">
        <v>122.07</v>
      </c>
      <c r="BH112" s="136">
        <v>122.75</v>
      </c>
      <c r="BI112" s="136">
        <v>122.99</v>
      </c>
      <c r="BJ112" s="136">
        <v>122.9</v>
      </c>
      <c r="BK112" s="136">
        <v>122.47</v>
      </c>
      <c r="BM112" s="145">
        <v>11.720485093046365</v>
      </c>
      <c r="BN112" s="145">
        <v>4.5878699453218772</v>
      </c>
      <c r="BO112" s="145">
        <v>11.720485093046365</v>
      </c>
      <c r="BP112" s="145">
        <v>15.308294300667674</v>
      </c>
      <c r="BQ112" s="145">
        <v>15.712783574245158</v>
      </c>
      <c r="BR112" s="145">
        <v>20.147580726926609</v>
      </c>
      <c r="BS112" s="145">
        <v>23.57260834832233</v>
      </c>
      <c r="BT112" s="145">
        <v>40.910076934673299</v>
      </c>
      <c r="BU112" s="145">
        <v>36.383511301456245</v>
      </c>
      <c r="BV112" s="145">
        <v>29.914430176207908</v>
      </c>
    </row>
    <row r="113" spans="1:74" x14ac:dyDescent="0.25">
      <c r="A113" s="141">
        <v>42837</v>
      </c>
      <c r="B113" s="142">
        <v>0.48680555555555555</v>
      </c>
      <c r="C113" s="143">
        <v>122.42</v>
      </c>
      <c r="E113" s="144" t="s">
        <v>169</v>
      </c>
      <c r="F113" s="158">
        <v>122.42</v>
      </c>
      <c r="I113" s="143">
        <v>121.63</v>
      </c>
      <c r="J113" s="143">
        <v>120.49</v>
      </c>
      <c r="K113" s="143">
        <v>121.63</v>
      </c>
      <c r="L113" s="143">
        <v>122.79</v>
      </c>
      <c r="M113" s="143">
        <v>122.06</v>
      </c>
      <c r="N113" s="143">
        <v>122.09</v>
      </c>
      <c r="O113" s="143">
        <v>121.67</v>
      </c>
      <c r="P113" s="143">
        <v>121.76</v>
      </c>
      <c r="Q113" s="143">
        <v>121.65</v>
      </c>
      <c r="S113" s="145">
        <v>12.285383050382764</v>
      </c>
      <c r="T113" s="145">
        <v>5.0223501599650282</v>
      </c>
      <c r="U113" s="145">
        <v>12.285383050382764</v>
      </c>
      <c r="V113" s="145">
        <v>16.046147567305624</v>
      </c>
      <c r="W113" s="145">
        <v>16.336475331366632</v>
      </c>
      <c r="X113" s="145">
        <v>20.775595708774048</v>
      </c>
      <c r="Y113" s="145">
        <v>24.142733242102913</v>
      </c>
      <c r="Z113" s="145">
        <v>41.492139949378547</v>
      </c>
      <c r="AA113" s="145">
        <v>36.951016709292404</v>
      </c>
      <c r="AB113" s="145">
        <v>30.592024882383427</v>
      </c>
      <c r="BB113" s="136">
        <v>121.63</v>
      </c>
      <c r="BC113" s="136">
        <v>120.49</v>
      </c>
      <c r="BD113" s="136">
        <v>121.63</v>
      </c>
      <c r="BE113" s="136">
        <v>122.79</v>
      </c>
      <c r="BF113" s="136">
        <v>122.06</v>
      </c>
      <c r="BG113" s="136">
        <v>122.09</v>
      </c>
      <c r="BH113" s="136">
        <v>121.67</v>
      </c>
      <c r="BI113" s="136">
        <v>121.76</v>
      </c>
      <c r="BJ113" s="136">
        <v>121.65</v>
      </c>
      <c r="BK113" s="136">
        <v>122.42</v>
      </c>
      <c r="BM113" s="145">
        <v>12.285383050382764</v>
      </c>
      <c r="BN113" s="145">
        <v>5.0223501599650282</v>
      </c>
      <c r="BO113" s="145">
        <v>12.285383050382764</v>
      </c>
      <c r="BP113" s="145">
        <v>16.046147567305624</v>
      </c>
      <c r="BQ113" s="145">
        <v>16.336475331366632</v>
      </c>
      <c r="BR113" s="145">
        <v>20.775595708774048</v>
      </c>
      <c r="BS113" s="145">
        <v>24.142733242102913</v>
      </c>
      <c r="BT113" s="145">
        <v>41.492139949378547</v>
      </c>
      <c r="BU113" s="145">
        <v>36.951016709292404</v>
      </c>
      <c r="BV113" s="145">
        <v>30.592024882383427</v>
      </c>
    </row>
    <row r="114" spans="1:74" x14ac:dyDescent="0.25">
      <c r="A114" s="141">
        <v>42837</v>
      </c>
      <c r="B114" s="142">
        <v>0.48715277777777777</v>
      </c>
      <c r="C114" s="143">
        <v>122.5</v>
      </c>
      <c r="E114" s="144" t="s">
        <v>169</v>
      </c>
      <c r="F114" s="158">
        <v>122.5</v>
      </c>
      <c r="I114" s="143">
        <v>121.67</v>
      </c>
      <c r="J114" s="143">
        <v>120.69</v>
      </c>
      <c r="K114" s="143">
        <v>121.67</v>
      </c>
      <c r="L114" s="143">
        <v>122.83</v>
      </c>
      <c r="M114" s="143">
        <v>122.06</v>
      </c>
      <c r="N114" s="143">
        <v>122.12</v>
      </c>
      <c r="O114" s="143">
        <v>122.69</v>
      </c>
      <c r="P114" s="143">
        <v>122.9</v>
      </c>
      <c r="Q114" s="143">
        <v>122.78</v>
      </c>
      <c r="S114" s="145">
        <v>12.85550794416335</v>
      </c>
      <c r="T114" s="145">
        <v>5.4773067962811544</v>
      </c>
      <c r="U114" s="145">
        <v>12.85550794416335</v>
      </c>
      <c r="V114" s="145">
        <v>16.790828106161083</v>
      </c>
      <c r="W114" s="145">
        <v>16.960167088488106</v>
      </c>
      <c r="X114" s="145">
        <v>21.407963882509627</v>
      </c>
      <c r="Y114" s="145">
        <v>24.863790917865348</v>
      </c>
      <c r="Z114" s="145">
        <v>42.248920573596656</v>
      </c>
      <c r="AA114" s="145">
        <v>37.687172960508761</v>
      </c>
      <c r="AB114" s="145">
        <v>31.282217014684871</v>
      </c>
      <c r="BB114" s="136">
        <v>121.67</v>
      </c>
      <c r="BC114" s="136">
        <v>120.69</v>
      </c>
      <c r="BD114" s="136">
        <v>121.67</v>
      </c>
      <c r="BE114" s="136">
        <v>122.83</v>
      </c>
      <c r="BF114" s="136">
        <v>122.06</v>
      </c>
      <c r="BG114" s="136">
        <v>122.12</v>
      </c>
      <c r="BH114" s="136">
        <v>122.69</v>
      </c>
      <c r="BI114" s="136">
        <v>122.9</v>
      </c>
      <c r="BJ114" s="136">
        <v>122.78</v>
      </c>
      <c r="BK114" s="136">
        <v>122.5</v>
      </c>
      <c r="BM114" s="145">
        <v>12.85550794416335</v>
      </c>
      <c r="BN114" s="145">
        <v>5.4773067962811544</v>
      </c>
      <c r="BO114" s="145">
        <v>12.85550794416335</v>
      </c>
      <c r="BP114" s="145">
        <v>16.790828106161083</v>
      </c>
      <c r="BQ114" s="145">
        <v>16.960167088488106</v>
      </c>
      <c r="BR114" s="145">
        <v>21.407963882509627</v>
      </c>
      <c r="BS114" s="145">
        <v>24.863790917865348</v>
      </c>
      <c r="BT114" s="145">
        <v>42.248920573596656</v>
      </c>
      <c r="BU114" s="145">
        <v>37.687172960508761</v>
      </c>
      <c r="BV114" s="145">
        <v>31.282217014684871</v>
      </c>
    </row>
    <row r="115" spans="1:74" x14ac:dyDescent="0.25">
      <c r="A115" s="141">
        <v>42837</v>
      </c>
      <c r="B115" s="142">
        <v>0.48749999999999999</v>
      </c>
      <c r="C115" s="143">
        <v>122.4</v>
      </c>
      <c r="E115" s="144" t="s">
        <v>169</v>
      </c>
      <c r="F115" s="158">
        <v>122.4</v>
      </c>
      <c r="I115" s="143">
        <v>121.7</v>
      </c>
      <c r="J115" s="143">
        <v>120.9</v>
      </c>
      <c r="K115" s="143">
        <v>121.7</v>
      </c>
      <c r="L115" s="143">
        <v>122.88</v>
      </c>
      <c r="M115" s="143">
        <v>122.08</v>
      </c>
      <c r="N115" s="143">
        <v>122.11</v>
      </c>
      <c r="O115" s="143">
        <v>121.76</v>
      </c>
      <c r="P115" s="143">
        <v>121.82</v>
      </c>
      <c r="Q115" s="143">
        <v>121.76</v>
      </c>
      <c r="S115" s="145">
        <v>13.429584754911792</v>
      </c>
      <c r="T115" s="145">
        <v>5.9548030892918735</v>
      </c>
      <c r="U115" s="145">
        <v>13.429584754911792</v>
      </c>
      <c r="V115" s="145">
        <v>17.544131639254456</v>
      </c>
      <c r="W115" s="145">
        <v>17.586737675958815</v>
      </c>
      <c r="X115" s="145">
        <v>22.038877649804963</v>
      </c>
      <c r="Y115" s="145">
        <v>25.445853932570596</v>
      </c>
      <c r="Z115" s="145">
        <v>42.839080891422519</v>
      </c>
      <c r="AA115" s="145">
        <v>38.269235975214009</v>
      </c>
      <c r="AB115" s="145">
        <v>31.9566984559807</v>
      </c>
      <c r="BB115" s="136">
        <v>121.7</v>
      </c>
      <c r="BC115" s="136">
        <v>120.9</v>
      </c>
      <c r="BD115" s="136">
        <v>121.7</v>
      </c>
      <c r="BE115" s="136">
        <v>122.88</v>
      </c>
      <c r="BF115" s="136">
        <v>122.08</v>
      </c>
      <c r="BG115" s="136">
        <v>122.11</v>
      </c>
      <c r="BH115" s="136">
        <v>121.76</v>
      </c>
      <c r="BI115" s="136">
        <v>121.82</v>
      </c>
      <c r="BJ115" s="136">
        <v>121.76</v>
      </c>
      <c r="BK115" s="136">
        <v>122.4</v>
      </c>
      <c r="BM115" s="145">
        <v>13.429584754911792</v>
      </c>
      <c r="BN115" s="145">
        <v>5.9548030892918735</v>
      </c>
      <c r="BO115" s="145">
        <v>13.429584754911792</v>
      </c>
      <c r="BP115" s="145">
        <v>17.544131639254456</v>
      </c>
      <c r="BQ115" s="145">
        <v>17.586737675958815</v>
      </c>
      <c r="BR115" s="145">
        <v>22.038877649804963</v>
      </c>
      <c r="BS115" s="145">
        <v>25.445853932570596</v>
      </c>
      <c r="BT115" s="145">
        <v>42.839080891422519</v>
      </c>
      <c r="BU115" s="145">
        <v>38.269235975214009</v>
      </c>
      <c r="BV115" s="145">
        <v>31.9566984559807</v>
      </c>
    </row>
    <row r="116" spans="1:74" x14ac:dyDescent="0.25">
      <c r="A116" s="141">
        <v>42837</v>
      </c>
      <c r="B116" s="142">
        <v>0.48784722222222227</v>
      </c>
      <c r="C116" s="143">
        <v>122.5</v>
      </c>
      <c r="E116" s="144" t="s">
        <v>169</v>
      </c>
      <c r="F116" s="158">
        <v>122.5</v>
      </c>
      <c r="I116" s="143">
        <v>121.74</v>
      </c>
      <c r="J116" s="143">
        <v>121.08</v>
      </c>
      <c r="K116" s="143">
        <v>121.74</v>
      </c>
      <c r="L116" s="143">
        <v>122.91</v>
      </c>
      <c r="M116" s="143">
        <v>122.09</v>
      </c>
      <c r="N116" s="143">
        <v>122.12</v>
      </c>
      <c r="O116" s="143">
        <v>122.59</v>
      </c>
      <c r="P116" s="143">
        <v>122.78</v>
      </c>
      <c r="Q116" s="143">
        <v>122.67</v>
      </c>
      <c r="S116" s="145">
        <v>14.008973432989356</v>
      </c>
      <c r="T116" s="145">
        <v>6.4525057979676372</v>
      </c>
      <c r="U116" s="145">
        <v>14.008973432989356</v>
      </c>
      <c r="V116" s="145">
        <v>18.302656822984126</v>
      </c>
      <c r="W116" s="145">
        <v>18.214752657806255</v>
      </c>
      <c r="X116" s="145">
        <v>22.671245823540541</v>
      </c>
      <c r="Y116" s="145">
        <v>26.150498331781534</v>
      </c>
      <c r="Z116" s="145">
        <v>43.575237142638876</v>
      </c>
      <c r="AA116" s="145">
        <v>38.986980691890835</v>
      </c>
      <c r="AB116" s="145">
        <v>32.64689058828214</v>
      </c>
      <c r="BB116" s="136">
        <v>121.74</v>
      </c>
      <c r="BC116" s="136">
        <v>121.08</v>
      </c>
      <c r="BD116" s="136">
        <v>121.74</v>
      </c>
      <c r="BE116" s="136">
        <v>122.91</v>
      </c>
      <c r="BF116" s="136">
        <v>122.09</v>
      </c>
      <c r="BG116" s="136">
        <v>122.12</v>
      </c>
      <c r="BH116" s="136">
        <v>122.59</v>
      </c>
      <c r="BI116" s="136">
        <v>122.78</v>
      </c>
      <c r="BJ116" s="136">
        <v>122.67</v>
      </c>
      <c r="BK116" s="136">
        <v>122.5</v>
      </c>
      <c r="BM116" s="145">
        <v>14.008973432989356</v>
      </c>
      <c r="BN116" s="145">
        <v>6.4525057979676372</v>
      </c>
      <c r="BO116" s="145">
        <v>14.008973432989356</v>
      </c>
      <c r="BP116" s="145">
        <v>18.302656822984126</v>
      </c>
      <c r="BQ116" s="145">
        <v>18.214752657806255</v>
      </c>
      <c r="BR116" s="145">
        <v>22.671245823540541</v>
      </c>
      <c r="BS116" s="145">
        <v>26.150498331781534</v>
      </c>
      <c r="BT116" s="145">
        <v>43.575237142638876</v>
      </c>
      <c r="BU116" s="145">
        <v>38.986980691890835</v>
      </c>
      <c r="BV116" s="145">
        <v>32.64689058828214</v>
      </c>
    </row>
    <row r="117" spans="1:74" x14ac:dyDescent="0.25">
      <c r="A117" s="141">
        <v>42837</v>
      </c>
      <c r="B117" s="142">
        <v>0.48819444444444443</v>
      </c>
      <c r="C117" s="143">
        <v>122.38</v>
      </c>
      <c r="E117" s="144" t="s">
        <v>169</v>
      </c>
      <c r="F117" s="158">
        <v>122.38</v>
      </c>
      <c r="I117" s="143">
        <v>121.78</v>
      </c>
      <c r="J117" s="143">
        <v>121.26</v>
      </c>
      <c r="K117" s="143">
        <v>121.78</v>
      </c>
      <c r="L117" s="143">
        <v>122.96</v>
      </c>
      <c r="M117" s="143">
        <v>122.1</v>
      </c>
      <c r="N117" s="143">
        <v>122.1</v>
      </c>
      <c r="O117" s="143">
        <v>122.15</v>
      </c>
      <c r="P117" s="143">
        <v>122.23</v>
      </c>
      <c r="Q117" s="143">
        <v>122.26</v>
      </c>
      <c r="S117" s="145">
        <v>14.593723128499292</v>
      </c>
      <c r="T117" s="145">
        <v>6.9712700058766446</v>
      </c>
      <c r="U117" s="145">
        <v>14.593723128499292</v>
      </c>
      <c r="V117" s="145">
        <v>19.069965314383772</v>
      </c>
      <c r="W117" s="145">
        <v>18.844215363703338</v>
      </c>
      <c r="X117" s="145">
        <v>23.300708529437625</v>
      </c>
      <c r="Y117" s="145">
        <v>26.787249872289866</v>
      </c>
      <c r="Z117" s="145">
        <v>44.223826778130856</v>
      </c>
      <c r="AA117" s="145">
        <v>39.640066135956758</v>
      </c>
      <c r="AB117" s="145">
        <v>33.31827306885107</v>
      </c>
      <c r="BB117" s="136">
        <v>121.78</v>
      </c>
      <c r="BC117" s="136">
        <v>121.26</v>
      </c>
      <c r="BD117" s="136">
        <v>121.78</v>
      </c>
      <c r="BE117" s="136">
        <v>122.96</v>
      </c>
      <c r="BF117" s="136">
        <v>122.1</v>
      </c>
      <c r="BG117" s="136">
        <v>122.1</v>
      </c>
      <c r="BH117" s="136">
        <v>122.15</v>
      </c>
      <c r="BI117" s="136">
        <v>122.23</v>
      </c>
      <c r="BJ117" s="136">
        <v>122.26</v>
      </c>
      <c r="BK117" s="136">
        <v>122.38</v>
      </c>
      <c r="BM117" s="145">
        <v>14.593723128499292</v>
      </c>
      <c r="BN117" s="145">
        <v>6.9712700058766446</v>
      </c>
      <c r="BO117" s="145">
        <v>14.593723128499292</v>
      </c>
      <c r="BP117" s="145">
        <v>19.069965314383772</v>
      </c>
      <c r="BQ117" s="145">
        <v>18.844215363703338</v>
      </c>
      <c r="BR117" s="145">
        <v>23.300708529437625</v>
      </c>
      <c r="BS117" s="145">
        <v>26.787249872289866</v>
      </c>
      <c r="BT117" s="145">
        <v>44.223826778130856</v>
      </c>
      <c r="BU117" s="145">
        <v>39.640066135956758</v>
      </c>
      <c r="BV117" s="145">
        <v>33.31827306885107</v>
      </c>
    </row>
    <row r="118" spans="1:74" x14ac:dyDescent="0.25">
      <c r="A118" s="141">
        <v>42837</v>
      </c>
      <c r="B118" s="142">
        <v>0.48854166666666665</v>
      </c>
      <c r="C118" s="143">
        <v>122.51</v>
      </c>
      <c r="E118" s="144" t="s">
        <v>169</v>
      </c>
      <c r="F118" s="158">
        <v>122.51</v>
      </c>
      <c r="I118" s="143">
        <v>121.79</v>
      </c>
      <c r="J118" s="143">
        <v>121.43</v>
      </c>
      <c r="K118" s="143">
        <v>121.79</v>
      </c>
      <c r="L118" s="143">
        <v>122.99</v>
      </c>
      <c r="M118" s="143">
        <v>122.1</v>
      </c>
      <c r="N118" s="143">
        <v>122.13</v>
      </c>
      <c r="O118" s="143">
        <v>122.53</v>
      </c>
      <c r="P118" s="143">
        <v>122.7</v>
      </c>
      <c r="Q118" s="143">
        <v>122.59</v>
      </c>
      <c r="S118" s="145">
        <v>15.179820811273359</v>
      </c>
      <c r="T118" s="145">
        <v>7.5107433669915604</v>
      </c>
      <c r="U118" s="145">
        <v>15.179820811273359</v>
      </c>
      <c r="V118" s="145">
        <v>19.842592534152978</v>
      </c>
      <c r="W118" s="145">
        <v>19.473678069600421</v>
      </c>
      <c r="X118" s="145">
        <v>23.934534462366546</v>
      </c>
      <c r="Y118" s="145">
        <v>27.482226187896543</v>
      </c>
      <c r="Z118" s="145">
        <v>44.946546663503824</v>
      </c>
      <c r="AA118" s="145">
        <v>40.3447105351677</v>
      </c>
      <c r="AB118" s="145">
        <v>34.010056258336959</v>
      </c>
      <c r="BB118" s="136">
        <v>121.79</v>
      </c>
      <c r="BC118" s="136">
        <v>121.43</v>
      </c>
      <c r="BD118" s="136">
        <v>121.79</v>
      </c>
      <c r="BE118" s="136">
        <v>122.99</v>
      </c>
      <c r="BF118" s="136">
        <v>122.1</v>
      </c>
      <c r="BG118" s="136">
        <v>122.13</v>
      </c>
      <c r="BH118" s="136">
        <v>122.53</v>
      </c>
      <c r="BI118" s="136">
        <v>122.7</v>
      </c>
      <c r="BJ118" s="136">
        <v>122.59</v>
      </c>
      <c r="BK118" s="136">
        <v>122.51</v>
      </c>
      <c r="BM118" s="145">
        <v>15.179820811273359</v>
      </c>
      <c r="BN118" s="145">
        <v>7.5107433669915604</v>
      </c>
      <c r="BO118" s="145">
        <v>15.179820811273359</v>
      </c>
      <c r="BP118" s="145">
        <v>19.842592534152978</v>
      </c>
      <c r="BQ118" s="145">
        <v>19.473678069600421</v>
      </c>
      <c r="BR118" s="145">
        <v>23.934534462366546</v>
      </c>
      <c r="BS118" s="145">
        <v>27.482226187896543</v>
      </c>
      <c r="BT118" s="145">
        <v>44.946546663503824</v>
      </c>
      <c r="BU118" s="145">
        <v>40.3447105351677</v>
      </c>
      <c r="BV118" s="145">
        <v>34.010056258336959</v>
      </c>
    </row>
    <row r="119" spans="1:74" x14ac:dyDescent="0.25">
      <c r="A119" s="141">
        <v>42837</v>
      </c>
      <c r="B119" s="142">
        <v>0.48888888888888887</v>
      </c>
      <c r="C119" s="143">
        <v>122.37</v>
      </c>
      <c r="E119" s="144" t="s">
        <v>169</v>
      </c>
      <c r="F119" s="158">
        <v>122.37</v>
      </c>
      <c r="I119" s="143">
        <v>121.84</v>
      </c>
      <c r="J119" s="143">
        <v>121.59</v>
      </c>
      <c r="K119" s="143">
        <v>121.84</v>
      </c>
      <c r="L119" s="143">
        <v>123.01</v>
      </c>
      <c r="M119" s="143">
        <v>122.11</v>
      </c>
      <c r="N119" s="143">
        <v>122.12</v>
      </c>
      <c r="O119" s="143">
        <v>122.33</v>
      </c>
      <c r="P119" s="143">
        <v>122.42</v>
      </c>
      <c r="Q119" s="143">
        <v>122.46</v>
      </c>
      <c r="S119" s="145">
        <v>15.772705185356941</v>
      </c>
      <c r="T119" s="145">
        <v>8.070462308725137</v>
      </c>
      <c r="U119" s="145">
        <v>15.772705185356941</v>
      </c>
      <c r="V119" s="145">
        <v>20.618786039132022</v>
      </c>
      <c r="W119" s="145">
        <v>20.104591836895757</v>
      </c>
      <c r="X119" s="145">
        <v>24.566902636102125</v>
      </c>
      <c r="Y119" s="145">
        <v>28.145923416761413</v>
      </c>
      <c r="Z119" s="145">
        <v>45.624141369679343</v>
      </c>
      <c r="AA119" s="145">
        <v>41.028574947965623</v>
      </c>
      <c r="AB119" s="145">
        <v>34.679894602049927</v>
      </c>
      <c r="BB119" s="136">
        <v>121.84</v>
      </c>
      <c r="BC119" s="136">
        <v>121.59</v>
      </c>
      <c r="BD119" s="136">
        <v>121.84</v>
      </c>
      <c r="BE119" s="136">
        <v>123.01</v>
      </c>
      <c r="BF119" s="136">
        <v>122.11</v>
      </c>
      <c r="BG119" s="136">
        <v>122.12</v>
      </c>
      <c r="BH119" s="136">
        <v>122.33</v>
      </c>
      <c r="BI119" s="136">
        <v>122.42</v>
      </c>
      <c r="BJ119" s="136">
        <v>122.46</v>
      </c>
      <c r="BK119" s="136">
        <v>122.37</v>
      </c>
      <c r="BM119" s="145">
        <v>15.772705185356941</v>
      </c>
      <c r="BN119" s="145">
        <v>8.070462308725137</v>
      </c>
      <c r="BO119" s="145">
        <v>15.772705185356941</v>
      </c>
      <c r="BP119" s="145">
        <v>20.618786039132022</v>
      </c>
      <c r="BQ119" s="145">
        <v>20.104591836895757</v>
      </c>
      <c r="BR119" s="145">
        <v>24.566902636102125</v>
      </c>
      <c r="BS119" s="145">
        <v>28.145923416761413</v>
      </c>
      <c r="BT119" s="145">
        <v>45.624141369679343</v>
      </c>
      <c r="BU119" s="145">
        <v>41.028574947965623</v>
      </c>
      <c r="BV119" s="145">
        <v>34.679894602049927</v>
      </c>
    </row>
    <row r="120" spans="1:74" x14ac:dyDescent="0.25">
      <c r="A120" s="141">
        <v>42837</v>
      </c>
      <c r="B120" s="142">
        <v>0.48923611111111115</v>
      </c>
      <c r="C120" s="143">
        <v>122.52</v>
      </c>
      <c r="E120" s="144" t="s">
        <v>169</v>
      </c>
      <c r="F120" s="158">
        <v>122.52</v>
      </c>
      <c r="I120" s="143">
        <v>121.86</v>
      </c>
      <c r="J120" s="143">
        <v>121.73</v>
      </c>
      <c r="K120" s="143">
        <v>121.86</v>
      </c>
      <c r="L120" s="143">
        <v>123.04</v>
      </c>
      <c r="M120" s="143">
        <v>122.12</v>
      </c>
      <c r="N120" s="143">
        <v>122.15</v>
      </c>
      <c r="O120" s="143">
        <v>122.46</v>
      </c>
      <c r="P120" s="143">
        <v>122.6</v>
      </c>
      <c r="Q120" s="143">
        <v>122.48</v>
      </c>
      <c r="S120" s="145">
        <v>16.368326189370627</v>
      </c>
      <c r="T120" s="145">
        <v>8.6485184298211877</v>
      </c>
      <c r="U120" s="145">
        <v>16.368326189370627</v>
      </c>
      <c r="V120" s="145">
        <v>21.4003598604525</v>
      </c>
      <c r="W120" s="145">
        <v>20.736960010631336</v>
      </c>
      <c r="X120" s="145">
        <v>25.203654176610456</v>
      </c>
      <c r="Y120" s="145">
        <v>28.829787829559336</v>
      </c>
      <c r="Z120" s="145">
        <v>46.330410141990718</v>
      </c>
      <c r="AA120" s="145">
        <v>41.715595935471882</v>
      </c>
      <c r="AB120" s="145">
        <v>35.373272516485869</v>
      </c>
      <c r="BB120" s="136">
        <v>121.86</v>
      </c>
      <c r="BC120" s="136">
        <v>121.73</v>
      </c>
      <c r="BD120" s="136">
        <v>121.86</v>
      </c>
      <c r="BE120" s="136">
        <v>123.04</v>
      </c>
      <c r="BF120" s="136">
        <v>122.12</v>
      </c>
      <c r="BG120" s="136">
        <v>122.15</v>
      </c>
      <c r="BH120" s="136">
        <v>122.46</v>
      </c>
      <c r="BI120" s="136">
        <v>122.6</v>
      </c>
      <c r="BJ120" s="136">
        <v>122.48</v>
      </c>
      <c r="BK120" s="136">
        <v>122.52</v>
      </c>
      <c r="BM120" s="145">
        <v>16.368326189370627</v>
      </c>
      <c r="BN120" s="145">
        <v>8.6485184298211877</v>
      </c>
      <c r="BO120" s="145">
        <v>16.368326189370627</v>
      </c>
      <c r="BP120" s="145">
        <v>21.4003598604525</v>
      </c>
      <c r="BQ120" s="145">
        <v>20.736960010631336</v>
      </c>
      <c r="BR120" s="145">
        <v>25.203654176610456</v>
      </c>
      <c r="BS120" s="145">
        <v>28.829787829559336</v>
      </c>
      <c r="BT120" s="145">
        <v>46.330410141990718</v>
      </c>
      <c r="BU120" s="145">
        <v>41.715595935471882</v>
      </c>
      <c r="BV120" s="145">
        <v>35.373272516485869</v>
      </c>
    </row>
    <row r="121" spans="1:74" x14ac:dyDescent="0.25">
      <c r="A121" s="141">
        <v>42837</v>
      </c>
      <c r="B121" s="142">
        <v>0.48958333333333331</v>
      </c>
      <c r="C121" s="143">
        <v>122.37</v>
      </c>
      <c r="E121" s="144" t="s">
        <v>169</v>
      </c>
      <c r="F121" s="158">
        <v>122.37</v>
      </c>
      <c r="I121" s="143">
        <v>121.89</v>
      </c>
      <c r="J121" s="143">
        <v>121.87</v>
      </c>
      <c r="K121" s="143">
        <v>121.89</v>
      </c>
      <c r="L121" s="143">
        <v>123.08</v>
      </c>
      <c r="M121" s="143">
        <v>122.13</v>
      </c>
      <c r="N121" s="143">
        <v>122.14</v>
      </c>
      <c r="O121" s="143">
        <v>122.85</v>
      </c>
      <c r="P121" s="143">
        <v>123.01</v>
      </c>
      <c r="Q121" s="143">
        <v>122.98</v>
      </c>
      <c r="S121" s="145">
        <v>16.968075840945318</v>
      </c>
      <c r="T121" s="145">
        <v>9.245512482053325</v>
      </c>
      <c r="U121" s="145">
        <v>16.968075840945318</v>
      </c>
      <c r="V121" s="145">
        <v>22.189165495302177</v>
      </c>
      <c r="W121" s="145">
        <v>21.370785943560257</v>
      </c>
      <c r="X121" s="145">
        <v>25.838941229214729</v>
      </c>
      <c r="Y121" s="145">
        <v>29.577905657606554</v>
      </c>
      <c r="Z121" s="145">
        <v>47.106603646969759</v>
      </c>
      <c r="AA121" s="145">
        <v>42.48644616194666</v>
      </c>
      <c r="AB121" s="145">
        <v>36.043110860198837</v>
      </c>
      <c r="BB121" s="136">
        <v>121.89</v>
      </c>
      <c r="BC121" s="136">
        <v>121.87</v>
      </c>
      <c r="BD121" s="136">
        <v>121.89</v>
      </c>
      <c r="BE121" s="136">
        <v>123.08</v>
      </c>
      <c r="BF121" s="136">
        <v>122.13</v>
      </c>
      <c r="BG121" s="136">
        <v>122.14</v>
      </c>
      <c r="BH121" s="136">
        <v>122.85</v>
      </c>
      <c r="BI121" s="136">
        <v>123.01</v>
      </c>
      <c r="BJ121" s="136">
        <v>122.98</v>
      </c>
      <c r="BK121" s="136">
        <v>122.37</v>
      </c>
      <c r="BM121" s="145">
        <v>16.968075840945318</v>
      </c>
      <c r="BN121" s="145">
        <v>9.245512482053325</v>
      </c>
      <c r="BO121" s="145">
        <v>16.968075840945318</v>
      </c>
      <c r="BP121" s="145">
        <v>22.189165495302177</v>
      </c>
      <c r="BQ121" s="145">
        <v>21.370785943560257</v>
      </c>
      <c r="BR121" s="145">
        <v>25.838941229214729</v>
      </c>
      <c r="BS121" s="145">
        <v>29.577905657606554</v>
      </c>
      <c r="BT121" s="145">
        <v>47.106603646969759</v>
      </c>
      <c r="BU121" s="145">
        <v>42.48644616194666</v>
      </c>
      <c r="BV121" s="145">
        <v>36.043110860198837</v>
      </c>
    </row>
    <row r="122" spans="1:74" x14ac:dyDescent="0.25">
      <c r="A122" s="141">
        <v>42837</v>
      </c>
      <c r="B122" s="142">
        <v>0.48993055555555554</v>
      </c>
      <c r="C122" s="143">
        <v>122.52</v>
      </c>
      <c r="E122" s="144" t="s">
        <v>169</v>
      </c>
      <c r="F122" s="158">
        <v>122.52</v>
      </c>
      <c r="I122" s="143">
        <v>121.91</v>
      </c>
      <c r="J122" s="143">
        <v>122.01</v>
      </c>
      <c r="K122" s="143">
        <v>121.91</v>
      </c>
      <c r="L122" s="143">
        <v>123.11</v>
      </c>
      <c r="M122" s="143">
        <v>122.14</v>
      </c>
      <c r="N122" s="143">
        <v>122.18</v>
      </c>
      <c r="O122" s="143">
        <v>122.33</v>
      </c>
      <c r="P122" s="143">
        <v>122.45</v>
      </c>
      <c r="Q122" s="143">
        <v>122.34</v>
      </c>
      <c r="S122" s="145">
        <v>17.570593811131218</v>
      </c>
      <c r="T122" s="145">
        <v>9.8620648986677804</v>
      </c>
      <c r="U122" s="145">
        <v>17.570593811131218</v>
      </c>
      <c r="V122" s="145">
        <v>22.983438869601066</v>
      </c>
      <c r="W122" s="145">
        <v>22.00607299616453</v>
      </c>
      <c r="X122" s="145">
        <v>26.480106520542741</v>
      </c>
      <c r="Y122" s="145">
        <v>30.241602886471423</v>
      </c>
      <c r="Z122" s="145">
        <v>47.788895215264226</v>
      </c>
      <c r="AA122" s="145">
        <v>43.151673370935704</v>
      </c>
      <c r="AB122" s="145">
        <v>36.736488774634779</v>
      </c>
      <c r="BB122" s="136">
        <v>121.91</v>
      </c>
      <c r="BC122" s="136">
        <v>122.01</v>
      </c>
      <c r="BD122" s="136">
        <v>121.91</v>
      </c>
      <c r="BE122" s="136">
        <v>123.11</v>
      </c>
      <c r="BF122" s="136">
        <v>122.14</v>
      </c>
      <c r="BG122" s="136">
        <v>122.18</v>
      </c>
      <c r="BH122" s="136">
        <v>122.33</v>
      </c>
      <c r="BI122" s="136">
        <v>122.45</v>
      </c>
      <c r="BJ122" s="136">
        <v>122.34</v>
      </c>
      <c r="BK122" s="136">
        <v>122.52</v>
      </c>
      <c r="BM122" s="145">
        <v>17.570593811131218</v>
      </c>
      <c r="BN122" s="145">
        <v>9.8620648986677804</v>
      </c>
      <c r="BO122" s="145">
        <v>17.570593811131218</v>
      </c>
      <c r="BP122" s="145">
        <v>22.983438869601066</v>
      </c>
      <c r="BQ122" s="145">
        <v>22.00607299616453</v>
      </c>
      <c r="BR122" s="145">
        <v>26.480106520542741</v>
      </c>
      <c r="BS122" s="145">
        <v>30.241602886471423</v>
      </c>
      <c r="BT122" s="145">
        <v>47.788895215264226</v>
      </c>
      <c r="BU122" s="145">
        <v>43.151673370935704</v>
      </c>
      <c r="BV122" s="145">
        <v>36.736488774634779</v>
      </c>
    </row>
    <row r="123" spans="1:74" x14ac:dyDescent="0.25">
      <c r="A123" s="141">
        <v>42837</v>
      </c>
      <c r="B123" s="142">
        <v>0.49027777777777781</v>
      </c>
      <c r="C123" s="143">
        <v>122.4</v>
      </c>
      <c r="E123" s="144" t="s">
        <v>169</v>
      </c>
      <c r="F123" s="158">
        <v>122.4</v>
      </c>
      <c r="I123" s="143">
        <v>121.93</v>
      </c>
      <c r="J123" s="143">
        <v>122.13</v>
      </c>
      <c r="K123" s="143">
        <v>121.93</v>
      </c>
      <c r="L123" s="143">
        <v>123.13</v>
      </c>
      <c r="M123" s="143">
        <v>122.15</v>
      </c>
      <c r="N123" s="143">
        <v>122.13</v>
      </c>
      <c r="O123" s="143">
        <v>122.85</v>
      </c>
      <c r="P123" s="143">
        <v>123.01</v>
      </c>
      <c r="Q123" s="143">
        <v>122.96</v>
      </c>
      <c r="S123" s="145">
        <v>18.17589287790646</v>
      </c>
      <c r="T123" s="145">
        <v>10.495890831596704</v>
      </c>
      <c r="U123" s="145">
        <v>18.17589287790646</v>
      </c>
      <c r="V123" s="145">
        <v>23.781378443219435</v>
      </c>
      <c r="W123" s="145">
        <v>22.642824536672862</v>
      </c>
      <c r="X123" s="145">
        <v>27.113932453471662</v>
      </c>
      <c r="Y123" s="145">
        <v>30.98972071451864</v>
      </c>
      <c r="Z123" s="145">
        <v>48.565088720243267</v>
      </c>
      <c r="AA123" s="145">
        <v>43.91898186233535</v>
      </c>
      <c r="AB123" s="145">
        <v>37.410970215930611</v>
      </c>
      <c r="BB123" s="136">
        <v>121.93</v>
      </c>
      <c r="BC123" s="136">
        <v>122.13</v>
      </c>
      <c r="BD123" s="136">
        <v>121.93</v>
      </c>
      <c r="BE123" s="136">
        <v>123.13</v>
      </c>
      <c r="BF123" s="136">
        <v>122.15</v>
      </c>
      <c r="BG123" s="136">
        <v>122.13</v>
      </c>
      <c r="BH123" s="136">
        <v>122.85</v>
      </c>
      <c r="BI123" s="136">
        <v>123.01</v>
      </c>
      <c r="BJ123" s="136">
        <v>122.96</v>
      </c>
      <c r="BK123" s="136">
        <v>122.4</v>
      </c>
      <c r="BM123" s="145">
        <v>18.17589287790646</v>
      </c>
      <c r="BN123" s="145">
        <v>10.495890831596704</v>
      </c>
      <c r="BO123" s="145">
        <v>18.17589287790646</v>
      </c>
      <c r="BP123" s="145">
        <v>23.781378443219435</v>
      </c>
      <c r="BQ123" s="145">
        <v>22.642824536672862</v>
      </c>
      <c r="BR123" s="145">
        <v>27.113932453471662</v>
      </c>
      <c r="BS123" s="145">
        <v>30.98972071451864</v>
      </c>
      <c r="BT123" s="145">
        <v>48.565088720243267</v>
      </c>
      <c r="BU123" s="145">
        <v>43.91898186233535</v>
      </c>
      <c r="BV123" s="145">
        <v>37.410970215930611</v>
      </c>
    </row>
    <row r="124" spans="1:74" x14ac:dyDescent="0.25">
      <c r="A124" s="141">
        <v>42837</v>
      </c>
      <c r="B124" s="142">
        <v>0.49062500000000003</v>
      </c>
      <c r="C124" s="143">
        <v>122.5</v>
      </c>
      <c r="E124" s="144" t="s">
        <v>169</v>
      </c>
      <c r="F124" s="158">
        <v>122.5</v>
      </c>
      <c r="I124" s="143">
        <v>121.95</v>
      </c>
      <c r="J124" s="143">
        <v>122.25</v>
      </c>
      <c r="K124" s="143">
        <v>121.95</v>
      </c>
      <c r="L124" s="143">
        <v>123.15</v>
      </c>
      <c r="M124" s="143">
        <v>122.16</v>
      </c>
      <c r="N124" s="143">
        <v>122.17</v>
      </c>
      <c r="O124" s="143">
        <v>122.16</v>
      </c>
      <c r="P124" s="143">
        <v>122.25</v>
      </c>
      <c r="Q124" s="143">
        <v>122.14</v>
      </c>
      <c r="S124" s="145">
        <v>18.783985878229643</v>
      </c>
      <c r="T124" s="145">
        <v>11.147474220822854</v>
      </c>
      <c r="U124" s="145">
        <v>18.783985878229643</v>
      </c>
      <c r="V124" s="145">
        <v>24.583001138564459</v>
      </c>
      <c r="W124" s="145">
        <v>23.281043941078533</v>
      </c>
      <c r="X124" s="145">
        <v>27.753623105550425</v>
      </c>
      <c r="Y124" s="145">
        <v>31.627940118924311</v>
      </c>
      <c r="Z124" s="145">
        <v>49.216672109469421</v>
      </c>
      <c r="AA124" s="145">
        <v>44.55426891493962</v>
      </c>
      <c r="AB124" s="145">
        <v>38.101162348232052</v>
      </c>
      <c r="BB124" s="136">
        <v>121.95</v>
      </c>
      <c r="BC124" s="136">
        <v>122.25</v>
      </c>
      <c r="BD124" s="136">
        <v>121.95</v>
      </c>
      <c r="BE124" s="136">
        <v>123.15</v>
      </c>
      <c r="BF124" s="136">
        <v>122.16</v>
      </c>
      <c r="BG124" s="136">
        <v>122.17</v>
      </c>
      <c r="BH124" s="136">
        <v>122.16</v>
      </c>
      <c r="BI124" s="136">
        <v>122.25</v>
      </c>
      <c r="BJ124" s="136">
        <v>122.14</v>
      </c>
      <c r="BK124" s="136">
        <v>122.5</v>
      </c>
      <c r="BM124" s="145">
        <v>18.783985878229643</v>
      </c>
      <c r="BN124" s="145">
        <v>11.147474220822854</v>
      </c>
      <c r="BO124" s="145">
        <v>18.783985878229643</v>
      </c>
      <c r="BP124" s="145">
        <v>24.583001138564459</v>
      </c>
      <c r="BQ124" s="145">
        <v>23.281043941078533</v>
      </c>
      <c r="BR124" s="145">
        <v>27.753623105550425</v>
      </c>
      <c r="BS124" s="145">
        <v>31.627940118924311</v>
      </c>
      <c r="BT124" s="145">
        <v>49.216672109469421</v>
      </c>
      <c r="BU124" s="145">
        <v>44.55426891493962</v>
      </c>
      <c r="BV124" s="145">
        <v>38.101162348232052</v>
      </c>
    </row>
    <row r="125" spans="1:74" x14ac:dyDescent="0.25">
      <c r="A125" s="141">
        <v>42837</v>
      </c>
      <c r="B125" s="142">
        <v>0.4909722222222222</v>
      </c>
      <c r="C125" s="143">
        <v>122.41</v>
      </c>
      <c r="E125" s="144" t="s">
        <v>169</v>
      </c>
      <c r="F125" s="158">
        <v>122.41</v>
      </c>
      <c r="I125" s="143">
        <v>121.98</v>
      </c>
      <c r="J125" s="143">
        <v>122.36</v>
      </c>
      <c r="K125" s="143">
        <v>121.98</v>
      </c>
      <c r="L125" s="143">
        <v>123.18</v>
      </c>
      <c r="M125" s="143">
        <v>122.16</v>
      </c>
      <c r="N125" s="143">
        <v>122.15</v>
      </c>
      <c r="O125" s="143">
        <v>122.89</v>
      </c>
      <c r="P125" s="143">
        <v>123.04</v>
      </c>
      <c r="Q125" s="143">
        <v>122.97</v>
      </c>
      <c r="S125" s="145">
        <v>19.396293977862168</v>
      </c>
      <c r="T125" s="145">
        <v>11.815771979096077</v>
      </c>
      <c r="U125" s="145">
        <v>19.396293977862168</v>
      </c>
      <c r="V125" s="145">
        <v>25.390180416977703</v>
      </c>
      <c r="W125" s="145">
        <v>23.919263345484204</v>
      </c>
      <c r="X125" s="145">
        <v>28.390374646058756</v>
      </c>
      <c r="Y125" s="145">
        <v>32.382980196006386</v>
      </c>
      <c r="Z125" s="145">
        <v>49.998245930789899</v>
      </c>
      <c r="AA125" s="145">
        <v>45.323346235091137</v>
      </c>
      <c r="AB125" s="145">
        <v>38.777198629829194</v>
      </c>
      <c r="BB125" s="136">
        <v>121.98</v>
      </c>
      <c r="BC125" s="136">
        <v>122.36</v>
      </c>
      <c r="BD125" s="136">
        <v>121.98</v>
      </c>
      <c r="BE125" s="136">
        <v>123.18</v>
      </c>
      <c r="BF125" s="136">
        <v>122.16</v>
      </c>
      <c r="BG125" s="136">
        <v>122.15</v>
      </c>
      <c r="BH125" s="136">
        <v>122.89</v>
      </c>
      <c r="BI125" s="136">
        <v>123.04</v>
      </c>
      <c r="BJ125" s="136">
        <v>122.97</v>
      </c>
      <c r="BK125" s="136">
        <v>122.41</v>
      </c>
      <c r="BM125" s="145">
        <v>19.396293977862168</v>
      </c>
      <c r="BN125" s="145">
        <v>11.815771979096077</v>
      </c>
      <c r="BO125" s="145">
        <v>19.396293977862168</v>
      </c>
      <c r="BP125" s="145">
        <v>25.390180416977703</v>
      </c>
      <c r="BQ125" s="145">
        <v>23.919263345484204</v>
      </c>
      <c r="BR125" s="145">
        <v>28.390374646058756</v>
      </c>
      <c r="BS125" s="145">
        <v>32.382980196006386</v>
      </c>
      <c r="BT125" s="145">
        <v>49.998245930789899</v>
      </c>
      <c r="BU125" s="145">
        <v>45.323346235091137</v>
      </c>
      <c r="BV125" s="145">
        <v>38.777198629829194</v>
      </c>
    </row>
    <row r="126" spans="1:74" x14ac:dyDescent="0.25">
      <c r="A126" s="141">
        <v>42837</v>
      </c>
      <c r="B126" s="142">
        <v>0.49131944444444442</v>
      </c>
      <c r="C126" s="143">
        <v>122.48</v>
      </c>
      <c r="E126" s="144" t="s">
        <v>169</v>
      </c>
      <c r="F126" s="158">
        <v>122.48</v>
      </c>
      <c r="I126" s="143">
        <v>121.99</v>
      </c>
      <c r="J126" s="143">
        <v>122.46</v>
      </c>
      <c r="K126" s="143">
        <v>121.99</v>
      </c>
      <c r="L126" s="143">
        <v>123.19</v>
      </c>
      <c r="M126" s="143">
        <v>122.17</v>
      </c>
      <c r="N126" s="143">
        <v>122.17</v>
      </c>
      <c r="O126" s="143">
        <v>122.05</v>
      </c>
      <c r="P126" s="143">
        <v>122.12</v>
      </c>
      <c r="Q126" s="143">
        <v>122.01</v>
      </c>
      <c r="S126" s="145">
        <v>20.010013593441371</v>
      </c>
      <c r="T126" s="145">
        <v>12.499636391894001</v>
      </c>
      <c r="U126" s="145">
        <v>20.010013593441371</v>
      </c>
      <c r="V126" s="145">
        <v>26.199220435799237</v>
      </c>
      <c r="W126" s="145">
        <v>24.558953997562966</v>
      </c>
      <c r="X126" s="145">
        <v>29.030065298137519</v>
      </c>
      <c r="Y126" s="145">
        <v>33.005237501892076</v>
      </c>
      <c r="Z126" s="145">
        <v>50.630614104525478</v>
      </c>
      <c r="AA126" s="145">
        <v>45.93989865170559</v>
      </c>
      <c r="AB126" s="145">
        <v>39.464219617335452</v>
      </c>
      <c r="BB126" s="136">
        <v>121.99</v>
      </c>
      <c r="BC126" s="136">
        <v>122.46</v>
      </c>
      <c r="BD126" s="136">
        <v>121.99</v>
      </c>
      <c r="BE126" s="136">
        <v>123.19</v>
      </c>
      <c r="BF126" s="136">
        <v>122.17</v>
      </c>
      <c r="BG126" s="136">
        <v>122.17</v>
      </c>
      <c r="BH126" s="136">
        <v>122.05</v>
      </c>
      <c r="BI126" s="136">
        <v>122.12</v>
      </c>
      <c r="BJ126" s="136">
        <v>122.01</v>
      </c>
      <c r="BK126" s="136">
        <v>122.48</v>
      </c>
      <c r="BM126" s="145">
        <v>20.010013593441371</v>
      </c>
      <c r="BN126" s="145">
        <v>12.499636391894001</v>
      </c>
      <c r="BO126" s="145">
        <v>20.010013593441371</v>
      </c>
      <c r="BP126" s="145">
        <v>26.199220435799237</v>
      </c>
      <c r="BQ126" s="145">
        <v>24.558953997562966</v>
      </c>
      <c r="BR126" s="145">
        <v>29.030065298137519</v>
      </c>
      <c r="BS126" s="145">
        <v>33.005237501892076</v>
      </c>
      <c r="BT126" s="145">
        <v>50.630614104525478</v>
      </c>
      <c r="BU126" s="145">
        <v>45.93989865170559</v>
      </c>
      <c r="BV126" s="145">
        <v>39.464219617335452</v>
      </c>
    </row>
    <row r="127" spans="1:74" x14ac:dyDescent="0.25">
      <c r="A127" s="141">
        <v>42837</v>
      </c>
      <c r="B127" s="142">
        <v>0.4916666666666667</v>
      </c>
      <c r="C127" s="143">
        <v>122.43</v>
      </c>
      <c r="E127" s="144" t="s">
        <v>169</v>
      </c>
      <c r="F127" s="158">
        <v>122.43</v>
      </c>
      <c r="I127" s="143">
        <v>122.01</v>
      </c>
      <c r="J127" s="143">
        <v>122.57</v>
      </c>
      <c r="K127" s="143">
        <v>122.01</v>
      </c>
      <c r="L127" s="143">
        <v>123.22</v>
      </c>
      <c r="M127" s="143">
        <v>122.17</v>
      </c>
      <c r="N127" s="143">
        <v>122.13</v>
      </c>
      <c r="O127" s="143">
        <v>122.78</v>
      </c>
      <c r="P127" s="143">
        <v>122.93</v>
      </c>
      <c r="Q127" s="143">
        <v>122.83</v>
      </c>
      <c r="S127" s="145">
        <v>20.626566010055829</v>
      </c>
      <c r="T127" s="145">
        <v>13.201043244174979</v>
      </c>
      <c r="U127" s="145">
        <v>20.626566010055829</v>
      </c>
      <c r="V127" s="145">
        <v>27.013868452119098</v>
      </c>
      <c r="W127" s="145">
        <v>25.198644649641729</v>
      </c>
      <c r="X127" s="145">
        <v>29.66389123106644</v>
      </c>
      <c r="Y127" s="145">
        <v>33.741393753108433</v>
      </c>
      <c r="Z127" s="145">
        <v>51.392640481424124</v>
      </c>
      <c r="AA127" s="145">
        <v>46.684579190561045</v>
      </c>
      <c r="AB127" s="145">
        <v>40.143376340629032</v>
      </c>
      <c r="BB127" s="136">
        <v>122.01</v>
      </c>
      <c r="BC127" s="136">
        <v>122.57</v>
      </c>
      <c r="BD127" s="136">
        <v>122.01</v>
      </c>
      <c r="BE127" s="136">
        <v>123.22</v>
      </c>
      <c r="BF127" s="136">
        <v>122.17</v>
      </c>
      <c r="BG127" s="136">
        <v>122.13</v>
      </c>
      <c r="BH127" s="136">
        <v>122.78</v>
      </c>
      <c r="BI127" s="136">
        <v>122.93</v>
      </c>
      <c r="BJ127" s="136">
        <v>122.83</v>
      </c>
      <c r="BK127" s="136">
        <v>122.43</v>
      </c>
      <c r="BM127" s="145">
        <v>20.626566010055829</v>
      </c>
      <c r="BN127" s="145">
        <v>13.201043244174979</v>
      </c>
      <c r="BO127" s="145">
        <v>20.626566010055829</v>
      </c>
      <c r="BP127" s="145">
        <v>27.013868452119098</v>
      </c>
      <c r="BQ127" s="145">
        <v>25.198644649641729</v>
      </c>
      <c r="BR127" s="145">
        <v>29.66389123106644</v>
      </c>
      <c r="BS127" s="145">
        <v>33.741393753108433</v>
      </c>
      <c r="BT127" s="145">
        <v>51.392640481424124</v>
      </c>
      <c r="BU127" s="145">
        <v>46.684579190561045</v>
      </c>
      <c r="BV127" s="145">
        <v>40.143376340629032</v>
      </c>
    </row>
    <row r="128" spans="1:74" x14ac:dyDescent="0.25">
      <c r="A128" s="141">
        <v>42837</v>
      </c>
      <c r="B128" s="142">
        <v>0.49201388888888892</v>
      </c>
      <c r="C128" s="143">
        <v>122.46</v>
      </c>
      <c r="E128" s="144" t="s">
        <v>169</v>
      </c>
      <c r="F128" s="158">
        <v>122.46</v>
      </c>
      <c r="I128" s="143">
        <v>122.03</v>
      </c>
      <c r="J128" s="143">
        <v>122.67</v>
      </c>
      <c r="K128" s="143">
        <v>122.03</v>
      </c>
      <c r="L128" s="143">
        <v>123.23</v>
      </c>
      <c r="M128" s="143">
        <v>122.18</v>
      </c>
      <c r="N128" s="143">
        <v>122.2</v>
      </c>
      <c r="O128" s="143">
        <v>121.96</v>
      </c>
      <c r="P128" s="143">
        <v>122.02</v>
      </c>
      <c r="Q128" s="143">
        <v>121.92</v>
      </c>
      <c r="S128" s="145">
        <v>21.245964303321013</v>
      </c>
      <c r="T128" s="145">
        <v>13.918787960851809</v>
      </c>
      <c r="U128" s="145">
        <v>21.245964303321013</v>
      </c>
      <c r="V128" s="145">
        <v>27.830394426066267</v>
      </c>
      <c r="W128" s="145">
        <v>25.83980994096974</v>
      </c>
      <c r="X128" s="145">
        <v>30.308016006913007</v>
      </c>
      <c r="Y128" s="145">
        <v>34.350888552570865</v>
      </c>
      <c r="Z128" s="145">
        <v>52.010614198146378</v>
      </c>
      <c r="AA128" s="145">
        <v>47.288486108114434</v>
      </c>
      <c r="AB128" s="145">
        <v>40.827240753426956</v>
      </c>
      <c r="BB128" s="136">
        <v>122.03</v>
      </c>
      <c r="BC128" s="136">
        <v>122.67</v>
      </c>
      <c r="BD128" s="136">
        <v>122.03</v>
      </c>
      <c r="BE128" s="136">
        <v>123.23</v>
      </c>
      <c r="BF128" s="136">
        <v>122.18</v>
      </c>
      <c r="BG128" s="136">
        <v>122.2</v>
      </c>
      <c r="BH128" s="136">
        <v>121.96</v>
      </c>
      <c r="BI128" s="136">
        <v>122.02</v>
      </c>
      <c r="BJ128" s="136">
        <v>121.92</v>
      </c>
      <c r="BK128" s="136">
        <v>122.46</v>
      </c>
      <c r="BM128" s="145">
        <v>21.245964303321013</v>
      </c>
      <c r="BN128" s="145">
        <v>13.918787960851809</v>
      </c>
      <c r="BO128" s="145">
        <v>21.245964303321013</v>
      </c>
      <c r="BP128" s="145">
        <v>27.830394426066267</v>
      </c>
      <c r="BQ128" s="145">
        <v>25.83980994096974</v>
      </c>
      <c r="BR128" s="145">
        <v>30.308016006913007</v>
      </c>
      <c r="BS128" s="145">
        <v>34.350888552570865</v>
      </c>
      <c r="BT128" s="145">
        <v>52.010614198146378</v>
      </c>
      <c r="BU128" s="145">
        <v>47.288486108114434</v>
      </c>
      <c r="BV128" s="145">
        <v>40.827240753426956</v>
      </c>
    </row>
    <row r="129" spans="1:74" x14ac:dyDescent="0.25">
      <c r="A129" s="141">
        <v>42837</v>
      </c>
      <c r="B129" s="142">
        <v>0.49236111111111108</v>
      </c>
      <c r="C129" s="143">
        <v>122.45</v>
      </c>
      <c r="E129" s="144" t="s">
        <v>169</v>
      </c>
      <c r="F129" s="158">
        <v>122.45</v>
      </c>
      <c r="I129" s="143">
        <v>122.04</v>
      </c>
      <c r="J129" s="143">
        <v>122.74</v>
      </c>
      <c r="K129" s="143">
        <v>122.04</v>
      </c>
      <c r="L129" s="143">
        <v>123.25</v>
      </c>
      <c r="M129" s="143">
        <v>122.17</v>
      </c>
      <c r="N129" s="143">
        <v>122.14</v>
      </c>
      <c r="O129" s="143">
        <v>122.65</v>
      </c>
      <c r="P129" s="143">
        <v>122.79</v>
      </c>
      <c r="Q129" s="143">
        <v>122.66</v>
      </c>
      <c r="S129" s="145">
        <v>21.866790457117222</v>
      </c>
      <c r="T129" s="145">
        <v>14.648195090989484</v>
      </c>
      <c r="U129" s="145">
        <v>21.866790457117222</v>
      </c>
      <c r="V129" s="145">
        <v>28.650689312666039</v>
      </c>
      <c r="W129" s="145">
        <v>26.479500593048503</v>
      </c>
      <c r="X129" s="145">
        <v>30.94330305951728</v>
      </c>
      <c r="Y129" s="145">
        <v>35.06533553182642</v>
      </c>
      <c r="Z129" s="145">
        <v>52.748467464784326</v>
      </c>
      <c r="AA129" s="145">
        <v>48.004580057751205</v>
      </c>
      <c r="AB129" s="145">
        <v>41.509532321721423</v>
      </c>
      <c r="BB129" s="136">
        <v>122.04</v>
      </c>
      <c r="BC129" s="136">
        <v>122.74</v>
      </c>
      <c r="BD129" s="136">
        <v>122.04</v>
      </c>
      <c r="BE129" s="136">
        <v>123.25</v>
      </c>
      <c r="BF129" s="136">
        <v>122.17</v>
      </c>
      <c r="BG129" s="136">
        <v>122.14</v>
      </c>
      <c r="BH129" s="136">
        <v>122.65</v>
      </c>
      <c r="BI129" s="136">
        <v>122.79</v>
      </c>
      <c r="BJ129" s="136">
        <v>122.66</v>
      </c>
      <c r="BK129" s="136">
        <v>122.45</v>
      </c>
      <c r="BM129" s="145">
        <v>21.866790457117222</v>
      </c>
      <c r="BN129" s="145">
        <v>14.648195090989484</v>
      </c>
      <c r="BO129" s="145">
        <v>21.866790457117222</v>
      </c>
      <c r="BP129" s="145">
        <v>28.650689312666039</v>
      </c>
      <c r="BQ129" s="145">
        <v>26.479500593048503</v>
      </c>
      <c r="BR129" s="145">
        <v>30.94330305951728</v>
      </c>
      <c r="BS129" s="145">
        <v>35.06533553182642</v>
      </c>
      <c r="BT129" s="145">
        <v>52.748467464784326</v>
      </c>
      <c r="BU129" s="145">
        <v>48.004580057751205</v>
      </c>
      <c r="BV129" s="145">
        <v>41.509532321721423</v>
      </c>
    </row>
    <row r="130" spans="1:74" x14ac:dyDescent="0.25">
      <c r="A130" s="137">
        <v>42837</v>
      </c>
      <c r="B130" s="138">
        <v>0.4927083333333333</v>
      </c>
      <c r="C130" s="139">
        <v>121.72</v>
      </c>
      <c r="E130" s="140" t="s">
        <v>169</v>
      </c>
      <c r="F130" s="140">
        <v>121.72</v>
      </c>
      <c r="I130" s="139">
        <v>119.99</v>
      </c>
      <c r="J130" s="139">
        <v>122.2</v>
      </c>
      <c r="K130" s="139">
        <v>119.99</v>
      </c>
      <c r="L130" s="139">
        <v>121.27</v>
      </c>
      <c r="M130" s="139">
        <v>120.49</v>
      </c>
      <c r="N130" s="139">
        <v>118.55</v>
      </c>
      <c r="O130" s="139">
        <v>117.34</v>
      </c>
      <c r="P130" s="139">
        <v>116.9</v>
      </c>
      <c r="Q130" s="139">
        <v>116.66</v>
      </c>
      <c r="S130" s="139">
        <v>22.25402135601848</v>
      </c>
      <c r="T130" s="139">
        <v>15.292319866836053</v>
      </c>
      <c r="U130" s="139">
        <v>22.25402135601848</v>
      </c>
      <c r="V130" s="139">
        <v>29.170649395580568</v>
      </c>
      <c r="W130" s="139">
        <v>26.913980807691654</v>
      </c>
      <c r="X130" s="139">
        <v>31.221255188152483</v>
      </c>
      <c r="Y130" s="139">
        <v>35.275698846018642</v>
      </c>
      <c r="Z130" s="139">
        <v>52.938562162944606</v>
      </c>
      <c r="AA130" s="139">
        <v>48.184454725329076</v>
      </c>
      <c r="AB130" s="139">
        <v>42.086258950631972</v>
      </c>
      <c r="BB130" s="136">
        <v>119.99</v>
      </c>
      <c r="BC130" s="136">
        <v>122.2</v>
      </c>
      <c r="BD130" s="136">
        <v>119.99</v>
      </c>
      <c r="BE130" s="136">
        <v>121.27</v>
      </c>
      <c r="BF130" s="136">
        <v>120.49</v>
      </c>
      <c r="BG130" s="136">
        <v>118.55</v>
      </c>
      <c r="BH130" s="136">
        <v>117.34</v>
      </c>
      <c r="BI130" s="136">
        <v>116.9</v>
      </c>
      <c r="BJ130" s="136">
        <v>116.66</v>
      </c>
      <c r="BK130" s="136">
        <v>121.72</v>
      </c>
      <c r="BM130" s="139">
        <v>22.25402135601848</v>
      </c>
      <c r="BN130" s="139">
        <v>15.292319866836053</v>
      </c>
      <c r="BO130" s="139">
        <v>22.25402135601848</v>
      </c>
      <c r="BP130" s="139">
        <v>29.170649395580568</v>
      </c>
      <c r="BQ130" s="139">
        <v>26.913980807691654</v>
      </c>
      <c r="BR130" s="139">
        <v>31.221255188152483</v>
      </c>
      <c r="BS130" s="139">
        <v>35.275698846018642</v>
      </c>
      <c r="BT130" s="139">
        <v>52.938562162944606</v>
      </c>
      <c r="BU130" s="139">
        <v>48.184454725329076</v>
      </c>
      <c r="BV130" s="139">
        <v>42.086258950631972</v>
      </c>
    </row>
    <row r="131" spans="1:74" x14ac:dyDescent="0.25">
      <c r="A131" s="137">
        <v>42837</v>
      </c>
      <c r="B131" s="138">
        <v>0.49305555555555558</v>
      </c>
      <c r="C131" s="139">
        <v>119.53</v>
      </c>
      <c r="E131" s="140" t="s">
        <v>169</v>
      </c>
      <c r="F131" s="140">
        <v>119.53</v>
      </c>
      <c r="I131" s="139">
        <v>114.47</v>
      </c>
      <c r="J131" s="139">
        <v>117.5</v>
      </c>
      <c r="K131" s="139">
        <v>114.47</v>
      </c>
      <c r="L131" s="139">
        <v>116.16</v>
      </c>
      <c r="M131" s="139">
        <v>115.35</v>
      </c>
      <c r="N131" s="139">
        <v>112.77</v>
      </c>
      <c r="O131" s="139">
        <v>111.34</v>
      </c>
      <c r="P131" s="139">
        <v>110.96</v>
      </c>
      <c r="Q131" s="139">
        <v>110.7</v>
      </c>
      <c r="S131" s="139">
        <v>22.362656414961666</v>
      </c>
      <c r="T131" s="139">
        <v>15.510577782956137</v>
      </c>
      <c r="U131" s="139">
        <v>22.362656414961666</v>
      </c>
      <c r="V131" s="139">
        <v>29.33096286180584</v>
      </c>
      <c r="W131" s="139">
        <v>27.047017060681593</v>
      </c>
      <c r="X131" s="139">
        <v>31.294701502034677</v>
      </c>
      <c r="Y131" s="139">
        <v>35.328539721479324</v>
      </c>
      <c r="Z131" s="139">
        <v>52.986976055757665</v>
      </c>
      <c r="AA131" s="139">
        <v>48.230055267296869</v>
      </c>
      <c r="AB131" s="139">
        <v>42.43457220768736</v>
      </c>
      <c r="BB131" s="136">
        <v>114.47</v>
      </c>
      <c r="BC131" s="136">
        <v>117.5</v>
      </c>
      <c r="BD131" s="136">
        <v>114.47</v>
      </c>
      <c r="BE131" s="136">
        <v>116.16</v>
      </c>
      <c r="BF131" s="136">
        <v>115.35</v>
      </c>
      <c r="BG131" s="136">
        <v>112.77</v>
      </c>
      <c r="BH131" s="136">
        <v>111.34</v>
      </c>
      <c r="BI131" s="136">
        <v>110.96</v>
      </c>
      <c r="BJ131" s="136">
        <v>110.7</v>
      </c>
      <c r="BK131" s="136">
        <v>119.53</v>
      </c>
      <c r="BM131" s="139">
        <v>22.362656414961666</v>
      </c>
      <c r="BN131" s="139">
        <v>15.510577782956137</v>
      </c>
      <c r="BO131" s="139">
        <v>22.362656414961666</v>
      </c>
      <c r="BP131" s="139">
        <v>29.33096286180584</v>
      </c>
      <c r="BQ131" s="139">
        <v>27.047017060681593</v>
      </c>
      <c r="BR131" s="139">
        <v>31.294701502034677</v>
      </c>
      <c r="BS131" s="139">
        <v>35.328539721479324</v>
      </c>
      <c r="BT131" s="139">
        <v>52.986976055757665</v>
      </c>
      <c r="BU131" s="139">
        <v>48.230055267296869</v>
      </c>
      <c r="BV131" s="139">
        <v>42.43457220768736</v>
      </c>
    </row>
    <row r="132" spans="1:74" x14ac:dyDescent="0.25">
      <c r="A132" s="137">
        <v>42837</v>
      </c>
      <c r="B132" s="138">
        <v>0.4934027777777778</v>
      </c>
      <c r="C132" s="139">
        <v>116.51</v>
      </c>
      <c r="E132" s="140" t="s">
        <v>169</v>
      </c>
      <c r="F132" s="140">
        <v>116.51</v>
      </c>
      <c r="I132" s="139">
        <v>108.94</v>
      </c>
      <c r="J132" s="139">
        <v>112.19</v>
      </c>
      <c r="K132" s="139">
        <v>108.94</v>
      </c>
      <c r="L132" s="139">
        <v>110.62</v>
      </c>
      <c r="M132" s="139">
        <v>111.11</v>
      </c>
      <c r="N132" s="139">
        <v>107.25</v>
      </c>
      <c r="O132" s="139">
        <v>105.97</v>
      </c>
      <c r="P132" s="139">
        <v>105.95</v>
      </c>
      <c r="Q132" s="139">
        <v>105.37</v>
      </c>
      <c r="S132" s="139">
        <v>22.393063165025602</v>
      </c>
      <c r="T132" s="139">
        <v>15.574842115953318</v>
      </c>
      <c r="U132" s="139">
        <v>22.393063165025602</v>
      </c>
      <c r="V132" s="139">
        <v>29.375731100083321</v>
      </c>
      <c r="W132" s="139">
        <v>27.097132322585487</v>
      </c>
      <c r="X132" s="139">
        <v>31.315306377989543</v>
      </c>
      <c r="Y132" s="139">
        <v>35.343884831421278</v>
      </c>
      <c r="Z132" s="139">
        <v>53.002250661323743</v>
      </c>
      <c r="AA132" s="139">
        <v>48.243420299340187</v>
      </c>
      <c r="AB132" s="139">
        <v>42.608340288408961</v>
      </c>
      <c r="BB132" s="136">
        <v>108.94</v>
      </c>
      <c r="BC132" s="136">
        <v>112.19</v>
      </c>
      <c r="BD132" s="136">
        <v>108.94</v>
      </c>
      <c r="BE132" s="136">
        <v>110.62</v>
      </c>
      <c r="BF132" s="136">
        <v>111.11</v>
      </c>
      <c r="BG132" s="136">
        <v>107.25</v>
      </c>
      <c r="BH132" s="136">
        <v>105.97</v>
      </c>
      <c r="BI132" s="136">
        <v>105.95</v>
      </c>
      <c r="BJ132" s="136">
        <v>105.37</v>
      </c>
      <c r="BK132" s="136">
        <v>116.51</v>
      </c>
      <c r="BM132" s="139">
        <v>22.393063165025602</v>
      </c>
      <c r="BN132" s="139">
        <v>15.574842115953318</v>
      </c>
      <c r="BO132" s="139">
        <v>22.393063165025602</v>
      </c>
      <c r="BP132" s="139">
        <v>29.375731100083321</v>
      </c>
      <c r="BQ132" s="139">
        <v>27.097132322585487</v>
      </c>
      <c r="BR132" s="139">
        <v>31.315306377989543</v>
      </c>
      <c r="BS132" s="139">
        <v>35.343884831421278</v>
      </c>
      <c r="BT132" s="139">
        <v>53.002250661323743</v>
      </c>
      <c r="BU132" s="139">
        <v>48.243420299340187</v>
      </c>
      <c r="BV132" s="139">
        <v>42.608340288408961</v>
      </c>
    </row>
    <row r="133" spans="1:74" x14ac:dyDescent="0.25">
      <c r="A133" s="137">
        <v>42837</v>
      </c>
      <c r="B133" s="138">
        <v>0.49374999999999997</v>
      </c>
      <c r="C133" s="139">
        <v>113.18</v>
      </c>
      <c r="E133" s="140" t="s">
        <v>169</v>
      </c>
      <c r="F133" s="140">
        <v>113.18</v>
      </c>
      <c r="I133" s="139">
        <v>104.34</v>
      </c>
      <c r="J133" s="139">
        <v>107.83</v>
      </c>
      <c r="K133" s="139">
        <v>104.34</v>
      </c>
      <c r="L133" s="139">
        <v>105.72</v>
      </c>
      <c r="M133" s="139">
        <v>107.41</v>
      </c>
      <c r="N133" s="139">
        <v>102.66</v>
      </c>
      <c r="O133" s="139">
        <v>101.57</v>
      </c>
      <c r="P133" s="139">
        <v>103.38</v>
      </c>
      <c r="Q133" s="139">
        <v>101.09</v>
      </c>
      <c r="S133" s="139">
        <v>22.40360630577527</v>
      </c>
      <c r="T133" s="139">
        <v>15.598390982273166</v>
      </c>
      <c r="U133" s="139">
        <v>22.40360630577527</v>
      </c>
      <c r="V133" s="139">
        <v>29.390217818021828</v>
      </c>
      <c r="W133" s="139">
        <v>27.118510466893067</v>
      </c>
      <c r="X133" s="139">
        <v>31.322467317485913</v>
      </c>
      <c r="Y133" s="139">
        <v>35.349456304089237</v>
      </c>
      <c r="Z133" s="139">
        <v>53.010702865981962</v>
      </c>
      <c r="AA133" s="139">
        <v>48.248408799659302</v>
      </c>
      <c r="AB133" s="139">
        <v>42.689058216250288</v>
      </c>
      <c r="BB133" s="136">
        <v>104.34</v>
      </c>
      <c r="BC133" s="136">
        <v>107.83</v>
      </c>
      <c r="BD133" s="136">
        <v>104.34</v>
      </c>
      <c r="BE133" s="136">
        <v>105.72</v>
      </c>
      <c r="BF133" s="136">
        <v>107.41</v>
      </c>
      <c r="BG133" s="136">
        <v>102.66</v>
      </c>
      <c r="BH133" s="136">
        <v>101.57</v>
      </c>
      <c r="BI133" s="136">
        <v>103.38</v>
      </c>
      <c r="BJ133" s="136">
        <v>101.09</v>
      </c>
      <c r="BK133" s="136">
        <v>113.18</v>
      </c>
      <c r="BM133" s="139">
        <v>22.40360630577527</v>
      </c>
      <c r="BN133" s="139">
        <v>15.598390982273166</v>
      </c>
      <c r="BO133" s="139">
        <v>22.40360630577527</v>
      </c>
      <c r="BP133" s="139">
        <v>29.390217818021828</v>
      </c>
      <c r="BQ133" s="139">
        <v>27.118510466893067</v>
      </c>
      <c r="BR133" s="139">
        <v>31.322467317485913</v>
      </c>
      <c r="BS133" s="139">
        <v>35.349456304089237</v>
      </c>
      <c r="BT133" s="139">
        <v>53.010702865981962</v>
      </c>
      <c r="BU133" s="139">
        <v>48.248408799659302</v>
      </c>
      <c r="BV133" s="139">
        <v>42.689058216250288</v>
      </c>
    </row>
    <row r="134" spans="1:74" x14ac:dyDescent="0.25">
      <c r="A134" s="137">
        <v>42837</v>
      </c>
      <c r="B134" s="138">
        <v>0.49409722222222219</v>
      </c>
      <c r="C134" s="139">
        <v>110.15</v>
      </c>
      <c r="E134" s="140" t="s">
        <v>169</v>
      </c>
      <c r="F134" s="140">
        <v>110.15</v>
      </c>
      <c r="I134" s="139">
        <v>100.83</v>
      </c>
      <c r="J134" s="139">
        <v>104.01</v>
      </c>
      <c r="K134" s="139">
        <v>100.83</v>
      </c>
      <c r="L134" s="139">
        <v>101.73</v>
      </c>
      <c r="M134" s="139">
        <v>103.79</v>
      </c>
      <c r="N134" s="139">
        <v>99.1</v>
      </c>
      <c r="O134" s="139">
        <v>98.13</v>
      </c>
      <c r="P134" s="139">
        <v>101.27</v>
      </c>
      <c r="Q134" s="139">
        <v>98.03</v>
      </c>
      <c r="S134" s="139">
        <v>22.408304922328092</v>
      </c>
      <c r="T134" s="139">
        <v>15.608162679552043</v>
      </c>
      <c r="U134" s="139">
        <v>22.408304922328092</v>
      </c>
      <c r="V134" s="139">
        <v>29.39599837923279</v>
      </c>
      <c r="W134" s="139">
        <v>27.127799489168524</v>
      </c>
      <c r="X134" s="139">
        <v>31.325622104208314</v>
      </c>
      <c r="Y134" s="139">
        <v>35.351979610577054</v>
      </c>
      <c r="Z134" s="139">
        <v>53.015902466811106</v>
      </c>
      <c r="AA134" s="139">
        <v>48.250874668679074</v>
      </c>
      <c r="AB134" s="139">
        <v>42.729234522359569</v>
      </c>
      <c r="BB134" s="136">
        <v>100.83</v>
      </c>
      <c r="BC134" s="136">
        <v>104.01</v>
      </c>
      <c r="BD134" s="136">
        <v>100.83</v>
      </c>
      <c r="BE134" s="136">
        <v>101.73</v>
      </c>
      <c r="BF134" s="136">
        <v>103.79</v>
      </c>
      <c r="BG134" s="136">
        <v>99.1</v>
      </c>
      <c r="BH134" s="136">
        <v>98.13</v>
      </c>
      <c r="BI134" s="136">
        <v>101.27</v>
      </c>
      <c r="BJ134" s="136">
        <v>98.03</v>
      </c>
      <c r="BK134" s="136">
        <v>110.15</v>
      </c>
      <c r="BM134" s="139">
        <v>22.408304922328092</v>
      </c>
      <c r="BN134" s="139">
        <v>15.608162679552043</v>
      </c>
      <c r="BO134" s="139">
        <v>22.408304922328092</v>
      </c>
      <c r="BP134" s="139">
        <v>29.39599837923279</v>
      </c>
      <c r="BQ134" s="139">
        <v>27.127799489168524</v>
      </c>
      <c r="BR134" s="139">
        <v>31.325622104208314</v>
      </c>
      <c r="BS134" s="139">
        <v>35.351979610577054</v>
      </c>
      <c r="BT134" s="139">
        <v>53.015902466811106</v>
      </c>
      <c r="BU134" s="139">
        <v>48.250874668679074</v>
      </c>
      <c r="BV134" s="139">
        <v>42.729234522359569</v>
      </c>
    </row>
    <row r="135" spans="1:74" x14ac:dyDescent="0.25">
      <c r="A135" s="137">
        <v>42837</v>
      </c>
      <c r="B135" s="138">
        <v>0.49444444444444446</v>
      </c>
      <c r="C135" s="139">
        <v>107.76</v>
      </c>
      <c r="E135" s="140" t="s">
        <v>169</v>
      </c>
      <c r="F135" s="140">
        <v>107.76</v>
      </c>
      <c r="I135" s="139">
        <v>98.1</v>
      </c>
      <c r="J135" s="139">
        <v>101.35</v>
      </c>
      <c r="K135" s="139">
        <v>98.1</v>
      </c>
      <c r="L135" s="139">
        <v>98.78</v>
      </c>
      <c r="M135" s="139">
        <v>100.12</v>
      </c>
      <c r="N135" s="139">
        <v>96.5</v>
      </c>
      <c r="O135" s="139">
        <v>95.62</v>
      </c>
      <c r="P135" s="139">
        <v>100.14</v>
      </c>
      <c r="Q135" s="139">
        <v>95.7</v>
      </c>
      <c r="S135" s="139">
        <v>22.41081085849623</v>
      </c>
      <c r="T135" s="139">
        <v>15.61345894817793</v>
      </c>
      <c r="U135" s="139">
        <v>22.41081085849623</v>
      </c>
      <c r="V135" s="139">
        <v>29.39892907005536</v>
      </c>
      <c r="W135" s="139">
        <v>27.131789462604864</v>
      </c>
      <c r="X135" s="139">
        <v>31.327355788460576</v>
      </c>
      <c r="Y135" s="139">
        <v>35.353395306574953</v>
      </c>
      <c r="Z135" s="139">
        <v>53.019910857128046</v>
      </c>
      <c r="AA135" s="139">
        <v>48.252316684430639</v>
      </c>
      <c r="AB135" s="139">
        <v>42.752406868346384</v>
      </c>
      <c r="BB135" s="136">
        <v>98.1</v>
      </c>
      <c r="BC135" s="136">
        <v>101.35</v>
      </c>
      <c r="BD135" s="136">
        <v>98.1</v>
      </c>
      <c r="BE135" s="136">
        <v>98.78</v>
      </c>
      <c r="BF135" s="136">
        <v>100.12</v>
      </c>
      <c r="BG135" s="136">
        <v>96.5</v>
      </c>
      <c r="BH135" s="136">
        <v>95.62</v>
      </c>
      <c r="BI135" s="136">
        <v>100.14</v>
      </c>
      <c r="BJ135" s="136">
        <v>95.7</v>
      </c>
      <c r="BK135" s="136">
        <v>107.76</v>
      </c>
      <c r="BM135" s="139">
        <v>22.41081085849623</v>
      </c>
      <c r="BN135" s="139">
        <v>15.61345894817793</v>
      </c>
      <c r="BO135" s="139">
        <v>22.41081085849623</v>
      </c>
      <c r="BP135" s="139">
        <v>29.39892907005536</v>
      </c>
      <c r="BQ135" s="139">
        <v>27.131789462604864</v>
      </c>
      <c r="BR135" s="139">
        <v>31.327355788460576</v>
      </c>
      <c r="BS135" s="139">
        <v>35.353395306574953</v>
      </c>
      <c r="BT135" s="139">
        <v>53.019910857128046</v>
      </c>
      <c r="BU135" s="139">
        <v>48.252316684430639</v>
      </c>
      <c r="BV135" s="139">
        <v>42.752406868346384</v>
      </c>
    </row>
    <row r="136" spans="1:74" x14ac:dyDescent="0.25">
      <c r="A136" s="137">
        <v>42837</v>
      </c>
      <c r="B136" s="138">
        <v>0.49479166666666669</v>
      </c>
      <c r="C136" s="139">
        <v>105.88</v>
      </c>
      <c r="E136" s="140" t="s">
        <v>169</v>
      </c>
      <c r="F136" s="140">
        <v>105.88</v>
      </c>
      <c r="I136" s="139">
        <v>96.12</v>
      </c>
      <c r="J136" s="139">
        <v>99.7</v>
      </c>
      <c r="K136" s="139">
        <v>96.12</v>
      </c>
      <c r="L136" s="139">
        <v>96.74</v>
      </c>
      <c r="M136" s="139">
        <v>96.94</v>
      </c>
      <c r="N136" s="139">
        <v>94.75</v>
      </c>
      <c r="O136" s="139">
        <v>94.06</v>
      </c>
      <c r="P136" s="139">
        <v>102.85</v>
      </c>
      <c r="Q136" s="139">
        <v>94.23</v>
      </c>
      <c r="S136" s="139">
        <v>22.412399295531554</v>
      </c>
      <c r="T136" s="139">
        <v>15.617081127978306</v>
      </c>
      <c r="U136" s="139">
        <v>22.412399295531554</v>
      </c>
      <c r="V136" s="139">
        <v>29.4007612579286</v>
      </c>
      <c r="W136" s="139">
        <v>27.133707998832325</v>
      </c>
      <c r="X136" s="139">
        <v>31.328514485785561</v>
      </c>
      <c r="Y136" s="139">
        <v>35.354383791395009</v>
      </c>
      <c r="Z136" s="139">
        <v>53.027392035408518</v>
      </c>
      <c r="AA136" s="139">
        <v>48.25334462972863</v>
      </c>
      <c r="AB136" s="139">
        <v>42.767437249859526</v>
      </c>
      <c r="BB136" s="136">
        <v>96.12</v>
      </c>
      <c r="BC136" s="136">
        <v>99.7</v>
      </c>
      <c r="BD136" s="136">
        <v>96.12</v>
      </c>
      <c r="BE136" s="136">
        <v>96.74</v>
      </c>
      <c r="BF136" s="136">
        <v>96.94</v>
      </c>
      <c r="BG136" s="136">
        <v>94.75</v>
      </c>
      <c r="BH136" s="136">
        <v>94.06</v>
      </c>
      <c r="BI136" s="136">
        <v>102.85</v>
      </c>
      <c r="BJ136" s="136">
        <v>94.23</v>
      </c>
      <c r="BK136" s="136">
        <v>105.88</v>
      </c>
      <c r="BM136" s="139">
        <v>22.412399295531554</v>
      </c>
      <c r="BN136" s="139">
        <v>15.617081127978306</v>
      </c>
      <c r="BO136" s="139">
        <v>22.412399295531554</v>
      </c>
      <c r="BP136" s="139">
        <v>29.4007612579286</v>
      </c>
      <c r="BQ136" s="139">
        <v>27.133707998832325</v>
      </c>
      <c r="BR136" s="139">
        <v>31.328514485785561</v>
      </c>
      <c r="BS136" s="139">
        <v>35.354383791395009</v>
      </c>
      <c r="BT136" s="139">
        <v>53.027392035408518</v>
      </c>
      <c r="BU136" s="139">
        <v>48.25334462972863</v>
      </c>
      <c r="BV136" s="139">
        <v>42.767437249859526</v>
      </c>
    </row>
    <row r="137" spans="1:74" x14ac:dyDescent="0.25">
      <c r="A137" s="137">
        <v>42837</v>
      </c>
      <c r="B137" s="138">
        <v>0.49513888888888885</v>
      </c>
      <c r="C137" s="139">
        <v>104.47</v>
      </c>
      <c r="E137" s="140" t="s">
        <v>169</v>
      </c>
      <c r="F137" s="140">
        <v>104.47</v>
      </c>
      <c r="I137" s="139">
        <v>94.93</v>
      </c>
      <c r="J137" s="139">
        <v>98.51</v>
      </c>
      <c r="K137" s="139">
        <v>94.93</v>
      </c>
      <c r="L137" s="139">
        <v>95.63</v>
      </c>
      <c r="M137" s="139">
        <v>95.28</v>
      </c>
      <c r="N137" s="139">
        <v>93.67</v>
      </c>
      <c r="O137" s="139">
        <v>93.04</v>
      </c>
      <c r="P137" s="139">
        <v>103.89</v>
      </c>
      <c r="Q137" s="139">
        <v>93.36</v>
      </c>
      <c r="S137" s="139">
        <v>22.413607025948775</v>
      </c>
      <c r="T137" s="139">
        <v>15.619835166460334</v>
      </c>
      <c r="U137" s="139">
        <v>22.413607025948775</v>
      </c>
      <c r="V137" s="139">
        <v>29.402180217442822</v>
      </c>
      <c r="W137" s="139">
        <v>27.135017090336433</v>
      </c>
      <c r="X137" s="139">
        <v>31.329418072848568</v>
      </c>
      <c r="Y137" s="139">
        <v>35.35516536521633</v>
      </c>
      <c r="Z137" s="139">
        <v>53.036897426808132</v>
      </c>
      <c r="AA137" s="139">
        <v>48.254185966759167</v>
      </c>
      <c r="AB137" s="139">
        <v>42.778300755753847</v>
      </c>
      <c r="BB137" s="136">
        <v>94.93</v>
      </c>
      <c r="BC137" s="136">
        <v>98.51</v>
      </c>
      <c r="BD137" s="136">
        <v>94.93</v>
      </c>
      <c r="BE137" s="136">
        <v>95.63</v>
      </c>
      <c r="BF137" s="136">
        <v>95.28</v>
      </c>
      <c r="BG137" s="136">
        <v>93.67</v>
      </c>
      <c r="BH137" s="136">
        <v>93.04</v>
      </c>
      <c r="BI137" s="136">
        <v>103.89</v>
      </c>
      <c r="BJ137" s="136">
        <v>93.36</v>
      </c>
      <c r="BK137" s="136">
        <v>104.47</v>
      </c>
      <c r="BM137" s="139">
        <v>22.413607025948775</v>
      </c>
      <c r="BN137" s="139">
        <v>15.619835166460334</v>
      </c>
      <c r="BO137" s="139">
        <v>22.413607025948775</v>
      </c>
      <c r="BP137" s="139">
        <v>29.402180217442822</v>
      </c>
      <c r="BQ137" s="139">
        <v>27.135017090336433</v>
      </c>
      <c r="BR137" s="139">
        <v>31.329418072848568</v>
      </c>
      <c r="BS137" s="139">
        <v>35.35516536521633</v>
      </c>
      <c r="BT137" s="139">
        <v>53.036897426808132</v>
      </c>
      <c r="BU137" s="139">
        <v>48.254185966759167</v>
      </c>
      <c r="BV137" s="139">
        <v>42.778300755753847</v>
      </c>
    </row>
    <row r="138" spans="1:74" x14ac:dyDescent="0.25">
      <c r="A138" s="137">
        <v>42837</v>
      </c>
      <c r="B138" s="138">
        <v>0.49548611111111113</v>
      </c>
      <c r="C138" s="139">
        <v>103.34</v>
      </c>
      <c r="E138" s="140" t="s">
        <v>169</v>
      </c>
      <c r="F138" s="140">
        <v>103.34</v>
      </c>
      <c r="I138" s="139">
        <v>94.38</v>
      </c>
      <c r="J138" s="139">
        <v>97.4</v>
      </c>
      <c r="K138" s="139">
        <v>94.38</v>
      </c>
      <c r="L138" s="139">
        <v>95.06</v>
      </c>
      <c r="M138" s="139">
        <v>94.37</v>
      </c>
      <c r="N138" s="139">
        <v>93.13</v>
      </c>
      <c r="O138" s="139">
        <v>92.67</v>
      </c>
      <c r="P138" s="139">
        <v>104.64</v>
      </c>
      <c r="Q138" s="139">
        <v>93.06</v>
      </c>
      <c r="S138" s="139">
        <v>22.414671095471768</v>
      </c>
      <c r="T138" s="139">
        <v>15.621968064054341</v>
      </c>
      <c r="U138" s="139">
        <v>22.414671095471768</v>
      </c>
      <c r="V138" s="139">
        <v>29.403424646101964</v>
      </c>
      <c r="W138" s="139">
        <v>27.136078712567432</v>
      </c>
      <c r="X138" s="139">
        <v>31.330216012422188</v>
      </c>
      <c r="Y138" s="139">
        <v>35.355883109933004</v>
      </c>
      <c r="Z138" s="139">
        <v>53.048194605659234</v>
      </c>
      <c r="AA138" s="139">
        <v>48.254971148161331</v>
      </c>
      <c r="AB138" s="139">
        <v>42.786675470133979</v>
      </c>
      <c r="BB138" s="136">
        <v>94.38</v>
      </c>
      <c r="BC138" s="136">
        <v>97.4</v>
      </c>
      <c r="BD138" s="136">
        <v>94.38</v>
      </c>
      <c r="BE138" s="136">
        <v>95.06</v>
      </c>
      <c r="BF138" s="136">
        <v>94.37</v>
      </c>
      <c r="BG138" s="136">
        <v>93.13</v>
      </c>
      <c r="BH138" s="136">
        <v>92.67</v>
      </c>
      <c r="BI138" s="136">
        <v>104.64</v>
      </c>
      <c r="BJ138" s="136">
        <v>93.06</v>
      </c>
      <c r="BK138" s="136">
        <v>103.34</v>
      </c>
      <c r="BM138" s="139">
        <v>22.414671095471768</v>
      </c>
      <c r="BN138" s="139">
        <v>15.621968064054341</v>
      </c>
      <c r="BO138" s="139">
        <v>22.414671095471768</v>
      </c>
      <c r="BP138" s="139">
        <v>29.403424646101964</v>
      </c>
      <c r="BQ138" s="139">
        <v>27.136078712567432</v>
      </c>
      <c r="BR138" s="139">
        <v>31.330216012422188</v>
      </c>
      <c r="BS138" s="139">
        <v>35.355883109933004</v>
      </c>
      <c r="BT138" s="139">
        <v>53.048194605659234</v>
      </c>
      <c r="BU138" s="139">
        <v>48.254971148161331</v>
      </c>
      <c r="BV138" s="139">
        <v>42.786675470133979</v>
      </c>
    </row>
    <row r="139" spans="1:74" x14ac:dyDescent="0.25">
      <c r="A139" s="137">
        <v>42837</v>
      </c>
      <c r="B139" s="138">
        <v>0.49583333333333335</v>
      </c>
      <c r="C139" s="139">
        <v>102.39</v>
      </c>
      <c r="E139" s="140" t="s">
        <v>169</v>
      </c>
      <c r="F139" s="140">
        <v>102.39</v>
      </c>
      <c r="I139" s="139">
        <v>94.11</v>
      </c>
      <c r="J139" s="139">
        <v>96.71</v>
      </c>
      <c r="K139" s="139">
        <v>94.11</v>
      </c>
      <c r="L139" s="139">
        <v>94.73</v>
      </c>
      <c r="M139" s="139">
        <v>93.98</v>
      </c>
      <c r="N139" s="139">
        <v>92.9</v>
      </c>
      <c r="O139" s="139">
        <v>92.5</v>
      </c>
      <c r="P139" s="139">
        <v>105.13</v>
      </c>
      <c r="Q139" s="139">
        <v>92.92</v>
      </c>
      <c r="S139" s="139">
        <v>22.415671026406585</v>
      </c>
      <c r="T139" s="139">
        <v>15.623787639234978</v>
      </c>
      <c r="U139" s="139">
        <v>22.415671026406585</v>
      </c>
      <c r="V139" s="139">
        <v>29.404578019696324</v>
      </c>
      <c r="W139" s="139">
        <v>27.137049155506229</v>
      </c>
      <c r="X139" s="139">
        <v>31.330972793046406</v>
      </c>
      <c r="Y139" s="139">
        <v>35.356573302065307</v>
      </c>
      <c r="Z139" s="139">
        <v>53.060841095641464</v>
      </c>
      <c r="AA139" s="139">
        <v>48.2557314219262</v>
      </c>
      <c r="AB139" s="139">
        <v>42.793404771904257</v>
      </c>
      <c r="BB139" s="136">
        <v>94.11</v>
      </c>
      <c r="BC139" s="136">
        <v>96.71</v>
      </c>
      <c r="BD139" s="136">
        <v>94.11</v>
      </c>
      <c r="BE139" s="136">
        <v>94.73</v>
      </c>
      <c r="BF139" s="136">
        <v>93.98</v>
      </c>
      <c r="BG139" s="136">
        <v>92.9</v>
      </c>
      <c r="BH139" s="136">
        <v>92.5</v>
      </c>
      <c r="BI139" s="136">
        <v>105.13</v>
      </c>
      <c r="BJ139" s="136">
        <v>92.92</v>
      </c>
      <c r="BK139" s="136">
        <v>102.39</v>
      </c>
      <c r="BM139" s="139">
        <v>22.415671026406585</v>
      </c>
      <c r="BN139" s="139">
        <v>15.623787639234978</v>
      </c>
      <c r="BO139" s="139">
        <v>22.415671026406585</v>
      </c>
      <c r="BP139" s="139">
        <v>29.404578019696324</v>
      </c>
      <c r="BQ139" s="139">
        <v>27.137049155506229</v>
      </c>
      <c r="BR139" s="139">
        <v>31.330972793046406</v>
      </c>
      <c r="BS139" s="139">
        <v>35.356573302065307</v>
      </c>
      <c r="BT139" s="139">
        <v>53.060841095641464</v>
      </c>
      <c r="BU139" s="139">
        <v>48.2557314219262</v>
      </c>
      <c r="BV139" s="139">
        <v>42.793404771904257</v>
      </c>
    </row>
    <row r="140" spans="1:74" x14ac:dyDescent="0.25">
      <c r="A140" s="137">
        <v>42837</v>
      </c>
      <c r="B140" s="138">
        <v>0.49618055555555557</v>
      </c>
      <c r="C140" s="139">
        <v>101.56</v>
      </c>
      <c r="E140" s="140" t="s">
        <v>169</v>
      </c>
      <c r="F140" s="140">
        <v>101.56</v>
      </c>
      <c r="I140" s="139">
        <v>93.93</v>
      </c>
      <c r="J140" s="139">
        <v>96.41</v>
      </c>
      <c r="K140" s="139">
        <v>93.93</v>
      </c>
      <c r="L140" s="139">
        <v>94.61</v>
      </c>
      <c r="M140" s="139">
        <v>93.72</v>
      </c>
      <c r="N140" s="139">
        <v>92.81</v>
      </c>
      <c r="O140" s="139">
        <v>92.42</v>
      </c>
      <c r="P140" s="139">
        <v>105.4</v>
      </c>
      <c r="Q140" s="139">
        <v>92.89</v>
      </c>
      <c r="S140" s="139">
        <v>22.416630360776921</v>
      </c>
      <c r="T140" s="139">
        <v>15.625485765597929</v>
      </c>
      <c r="U140" s="139">
        <v>22.416630360776921</v>
      </c>
      <c r="V140" s="139">
        <v>29.405699960658215</v>
      </c>
      <c r="W140" s="139">
        <v>27.137963205614302</v>
      </c>
      <c r="X140" s="139">
        <v>31.33171405208898</v>
      </c>
      <c r="Y140" s="139">
        <v>35.357250896771482</v>
      </c>
      <c r="Z140" s="139">
        <v>53.074298769661098</v>
      </c>
      <c r="AA140" s="139">
        <v>48.256486462003281</v>
      </c>
      <c r="AB140" s="139">
        <v>42.798963430540667</v>
      </c>
      <c r="BB140" s="136">
        <v>93.93</v>
      </c>
      <c r="BC140" s="136">
        <v>96.41</v>
      </c>
      <c r="BD140" s="136">
        <v>93.93</v>
      </c>
      <c r="BE140" s="136">
        <v>94.61</v>
      </c>
      <c r="BF140" s="136">
        <v>93.72</v>
      </c>
      <c r="BG140" s="136">
        <v>92.81</v>
      </c>
      <c r="BH140" s="136">
        <v>92.42</v>
      </c>
      <c r="BI140" s="136">
        <v>105.4</v>
      </c>
      <c r="BJ140" s="136">
        <v>92.89</v>
      </c>
      <c r="BK140" s="136">
        <v>101.56</v>
      </c>
      <c r="BM140" s="139">
        <v>22.416630360776921</v>
      </c>
      <c r="BN140" s="139">
        <v>15.625485765597929</v>
      </c>
      <c r="BO140" s="139">
        <v>22.416630360776921</v>
      </c>
      <c r="BP140" s="139">
        <v>29.405699960658215</v>
      </c>
      <c r="BQ140" s="139">
        <v>27.137963205614302</v>
      </c>
      <c r="BR140" s="139">
        <v>31.33171405208898</v>
      </c>
      <c r="BS140" s="139">
        <v>35.357250896771482</v>
      </c>
      <c r="BT140" s="139">
        <v>53.074298769661098</v>
      </c>
      <c r="BU140" s="139">
        <v>48.256486462003281</v>
      </c>
      <c r="BV140" s="139">
        <v>42.798963430540667</v>
      </c>
    </row>
    <row r="141" spans="1:74" x14ac:dyDescent="0.25">
      <c r="A141" s="137">
        <v>42837</v>
      </c>
      <c r="B141" s="138">
        <v>0.49652777777777773</v>
      </c>
      <c r="C141" s="139">
        <v>100.83</v>
      </c>
      <c r="E141" s="140" t="s">
        <v>169</v>
      </c>
      <c r="F141" s="140">
        <v>100.83</v>
      </c>
      <c r="I141" s="139">
        <v>93.81</v>
      </c>
      <c r="J141" s="139">
        <v>96.09</v>
      </c>
      <c r="K141" s="139">
        <v>93.81</v>
      </c>
      <c r="L141" s="139">
        <v>94.46</v>
      </c>
      <c r="M141" s="139">
        <v>93.63</v>
      </c>
      <c r="N141" s="139">
        <v>92.7</v>
      </c>
      <c r="O141" s="139">
        <v>92.35</v>
      </c>
      <c r="P141" s="139">
        <v>105.53</v>
      </c>
      <c r="Q141" s="139">
        <v>93.12</v>
      </c>
      <c r="S141" s="139">
        <v>22.417563550622337</v>
      </c>
      <c r="T141" s="139">
        <v>15.627063267909616</v>
      </c>
      <c r="U141" s="139">
        <v>22.417563550622337</v>
      </c>
      <c r="V141" s="139">
        <v>29.406783812710625</v>
      </c>
      <c r="W141" s="139">
        <v>27.138858508541318</v>
      </c>
      <c r="X141" s="139">
        <v>31.332436771974354</v>
      </c>
      <c r="Y141" s="139">
        <v>35.357917657487562</v>
      </c>
      <c r="Z141" s="139">
        <v>53.088165370184356</v>
      </c>
      <c r="AA141" s="139">
        <v>48.257282566366804</v>
      </c>
      <c r="AB141" s="139">
        <v>42.803662047093489</v>
      </c>
      <c r="BB141" s="136">
        <v>93.81</v>
      </c>
      <c r="BC141" s="136">
        <v>96.09</v>
      </c>
      <c r="BD141" s="136">
        <v>93.81</v>
      </c>
      <c r="BE141" s="136">
        <v>94.46</v>
      </c>
      <c r="BF141" s="136">
        <v>93.63</v>
      </c>
      <c r="BG141" s="136">
        <v>92.7</v>
      </c>
      <c r="BH141" s="136">
        <v>92.35</v>
      </c>
      <c r="BI141" s="136">
        <v>105.53</v>
      </c>
      <c r="BJ141" s="136">
        <v>93.12</v>
      </c>
      <c r="BK141" s="136">
        <v>100.83</v>
      </c>
      <c r="BM141" s="139">
        <v>22.417563550622337</v>
      </c>
      <c r="BN141" s="139">
        <v>15.627063267909616</v>
      </c>
      <c r="BO141" s="139">
        <v>22.417563550622337</v>
      </c>
      <c r="BP141" s="139">
        <v>29.406783812710625</v>
      </c>
      <c r="BQ141" s="139">
        <v>27.138858508541318</v>
      </c>
      <c r="BR141" s="139">
        <v>31.332436771974354</v>
      </c>
      <c r="BS141" s="139">
        <v>35.357917657487562</v>
      </c>
      <c r="BT141" s="139">
        <v>53.088165370184356</v>
      </c>
      <c r="BU141" s="139">
        <v>48.257282566366804</v>
      </c>
      <c r="BV141" s="139">
        <v>42.803662047093489</v>
      </c>
    </row>
    <row r="142" spans="1:74" x14ac:dyDescent="0.25">
      <c r="A142" s="137">
        <v>42837</v>
      </c>
      <c r="B142" s="138">
        <v>0.49687500000000001</v>
      </c>
      <c r="C142" s="139">
        <v>100.17</v>
      </c>
      <c r="E142" s="140" t="s">
        <v>169</v>
      </c>
      <c r="F142" s="140">
        <v>100.17</v>
      </c>
      <c r="I142" s="139">
        <v>93.69</v>
      </c>
      <c r="J142" s="139">
        <v>95.97</v>
      </c>
      <c r="K142" s="139">
        <v>93.69</v>
      </c>
      <c r="L142" s="139">
        <v>94.33</v>
      </c>
      <c r="M142" s="139">
        <v>93.51</v>
      </c>
      <c r="N142" s="139">
        <v>92.64</v>
      </c>
      <c r="O142" s="139">
        <v>92.27</v>
      </c>
      <c r="P142" s="139">
        <v>105.55</v>
      </c>
      <c r="Q142" s="139">
        <v>100.1</v>
      </c>
      <c r="S142" s="139">
        <v>22.418471308453721</v>
      </c>
      <c r="T142" s="139">
        <v>15.628597778903812</v>
      </c>
      <c r="U142" s="139">
        <v>22.418471308453721</v>
      </c>
      <c r="V142" s="139">
        <v>29.407835701930509</v>
      </c>
      <c r="W142" s="139">
        <v>27.139729411978013</v>
      </c>
      <c r="X142" s="139">
        <v>31.333149575771156</v>
      </c>
      <c r="Y142" s="139">
        <v>35.358572248449065</v>
      </c>
      <c r="Z142" s="139">
        <v>53.102095976027506</v>
      </c>
      <c r="AA142" s="139">
        <v>48.261254207540425</v>
      </c>
      <c r="AB142" s="139">
        <v>42.807698222244731</v>
      </c>
      <c r="BB142" s="136">
        <v>93.69</v>
      </c>
      <c r="BC142" s="136">
        <v>95.97</v>
      </c>
      <c r="BD142" s="136">
        <v>93.69</v>
      </c>
      <c r="BE142" s="136">
        <v>94.33</v>
      </c>
      <c r="BF142" s="136">
        <v>93.51</v>
      </c>
      <c r="BG142" s="136">
        <v>92.64</v>
      </c>
      <c r="BH142" s="136">
        <v>92.27</v>
      </c>
      <c r="BI142" s="136">
        <v>105.55</v>
      </c>
      <c r="BJ142" s="136">
        <v>100.1</v>
      </c>
      <c r="BK142" s="136">
        <v>100.17</v>
      </c>
      <c r="BM142" s="139">
        <v>22.418471308453721</v>
      </c>
      <c r="BN142" s="139">
        <v>15.628597778903812</v>
      </c>
      <c r="BO142" s="139">
        <v>22.418471308453721</v>
      </c>
      <c r="BP142" s="139">
        <v>29.407835701930509</v>
      </c>
      <c r="BQ142" s="139">
        <v>27.139729411978013</v>
      </c>
      <c r="BR142" s="139">
        <v>31.333149575771156</v>
      </c>
      <c r="BS142" s="139">
        <v>35.358572248449065</v>
      </c>
      <c r="BT142" s="139">
        <v>53.102095976027506</v>
      </c>
      <c r="BU142" s="139">
        <v>48.261254207540425</v>
      </c>
      <c r="BV142" s="139">
        <v>42.807698222244731</v>
      </c>
    </row>
    <row r="143" spans="1:74" x14ac:dyDescent="0.25">
      <c r="A143" s="137">
        <v>42837</v>
      </c>
      <c r="B143" s="138">
        <v>0.49722222222222223</v>
      </c>
      <c r="C143" s="139">
        <v>99.57</v>
      </c>
      <c r="E143" s="140" t="s">
        <v>169</v>
      </c>
      <c r="F143" s="140">
        <v>99.57</v>
      </c>
      <c r="I143" s="139">
        <v>93.58</v>
      </c>
      <c r="J143" s="139">
        <v>95.75</v>
      </c>
      <c r="K143" s="139">
        <v>93.58</v>
      </c>
      <c r="L143" s="139">
        <v>94.22</v>
      </c>
      <c r="M143" s="139">
        <v>93.43</v>
      </c>
      <c r="N143" s="139">
        <v>92.62</v>
      </c>
      <c r="O143" s="139">
        <v>92.33</v>
      </c>
      <c r="P143" s="139">
        <v>105.56</v>
      </c>
      <c r="Q143" s="139">
        <v>103.73</v>
      </c>
      <c r="S143" s="139">
        <v>22.419356362932881</v>
      </c>
      <c r="T143" s="139">
        <v>15.630056492410812</v>
      </c>
      <c r="U143" s="139">
        <v>22.419356362932881</v>
      </c>
      <c r="V143" s="139">
        <v>29.40886128301992</v>
      </c>
      <c r="W143" s="139">
        <v>27.140584419635559</v>
      </c>
      <c r="X143" s="139">
        <v>31.333859104531999</v>
      </c>
      <c r="Y143" s="139">
        <v>35.359235945677931</v>
      </c>
      <c r="Z143" s="139">
        <v>53.11605869523369</v>
      </c>
      <c r="AA143" s="139">
        <v>48.270415779652282</v>
      </c>
      <c r="AB143" s="139">
        <v>42.81121358384415</v>
      </c>
      <c r="BB143" s="136">
        <v>93.58</v>
      </c>
      <c r="BC143" s="136">
        <v>95.75</v>
      </c>
      <c r="BD143" s="136">
        <v>93.58</v>
      </c>
      <c r="BE143" s="136">
        <v>94.22</v>
      </c>
      <c r="BF143" s="136">
        <v>93.43</v>
      </c>
      <c r="BG143" s="136">
        <v>92.62</v>
      </c>
      <c r="BH143" s="136">
        <v>92.33</v>
      </c>
      <c r="BI143" s="136">
        <v>105.56</v>
      </c>
      <c r="BJ143" s="136">
        <v>103.73</v>
      </c>
      <c r="BK143" s="136">
        <v>99.57</v>
      </c>
      <c r="BM143" s="139">
        <v>22.419356362932881</v>
      </c>
      <c r="BN143" s="139">
        <v>15.630056492410812</v>
      </c>
      <c r="BO143" s="139">
        <v>22.419356362932881</v>
      </c>
      <c r="BP143" s="139">
        <v>29.40886128301992</v>
      </c>
      <c r="BQ143" s="139">
        <v>27.140584419635559</v>
      </c>
      <c r="BR143" s="139">
        <v>31.333859104531999</v>
      </c>
      <c r="BS143" s="139">
        <v>35.359235945677931</v>
      </c>
      <c r="BT143" s="139">
        <v>53.11605869523369</v>
      </c>
      <c r="BU143" s="139">
        <v>48.270415779652282</v>
      </c>
      <c r="BV143" s="139">
        <v>42.81121358384415</v>
      </c>
    </row>
    <row r="144" spans="1:74" x14ac:dyDescent="0.25">
      <c r="A144" s="137">
        <v>42837</v>
      </c>
      <c r="B144" s="138">
        <v>0.49756944444444445</v>
      </c>
      <c r="C144" s="139">
        <v>99.01</v>
      </c>
      <c r="E144" s="140" t="s">
        <v>169</v>
      </c>
      <c r="F144" s="140">
        <v>99.01</v>
      </c>
      <c r="I144" s="139">
        <v>93.5</v>
      </c>
      <c r="J144" s="139">
        <v>95.59</v>
      </c>
      <c r="K144" s="139">
        <v>93.5</v>
      </c>
      <c r="L144" s="139">
        <v>94.15</v>
      </c>
      <c r="M144" s="139">
        <v>93.36</v>
      </c>
      <c r="N144" s="139">
        <v>92.61</v>
      </c>
      <c r="O144" s="139">
        <v>92.3</v>
      </c>
      <c r="P144" s="139">
        <v>105.49</v>
      </c>
      <c r="Q144" s="139">
        <v>104.82</v>
      </c>
      <c r="S144" s="139">
        <v>22.420225263347255</v>
      </c>
      <c r="T144" s="139">
        <v>15.631462442826011</v>
      </c>
      <c r="U144" s="139">
        <v>22.420225263347255</v>
      </c>
      <c r="V144" s="139">
        <v>29.40987046620176</v>
      </c>
      <c r="W144" s="139">
        <v>27.141425756666095</v>
      </c>
      <c r="X144" s="139">
        <v>31.334567001421977</v>
      </c>
      <c r="Y144" s="139">
        <v>35.359895074047209</v>
      </c>
      <c r="Z144" s="139">
        <v>53.129798165999205</v>
      </c>
      <c r="AA144" s="139">
        <v>48.282191026071764</v>
      </c>
      <c r="AB144" s="139">
        <v>42.814303665844839</v>
      </c>
      <c r="BB144" s="136">
        <v>93.5</v>
      </c>
      <c r="BC144" s="136">
        <v>95.59</v>
      </c>
      <c r="BD144" s="136">
        <v>93.5</v>
      </c>
      <c r="BE144" s="136">
        <v>94.15</v>
      </c>
      <c r="BF144" s="136">
        <v>93.36</v>
      </c>
      <c r="BG144" s="136">
        <v>92.61</v>
      </c>
      <c r="BH144" s="136">
        <v>92.3</v>
      </c>
      <c r="BI144" s="136">
        <v>105.49</v>
      </c>
      <c r="BJ144" s="136">
        <v>104.82</v>
      </c>
      <c r="BK144" s="136">
        <v>99.01</v>
      </c>
      <c r="BM144" s="139">
        <v>22.420225263347255</v>
      </c>
      <c r="BN144" s="139">
        <v>15.631462442826011</v>
      </c>
      <c r="BO144" s="139">
        <v>22.420225263347255</v>
      </c>
      <c r="BP144" s="139">
        <v>29.40987046620176</v>
      </c>
      <c r="BQ144" s="139">
        <v>27.141425756666095</v>
      </c>
      <c r="BR144" s="139">
        <v>31.334567001421977</v>
      </c>
      <c r="BS144" s="139">
        <v>35.359895074047209</v>
      </c>
      <c r="BT144" s="139">
        <v>53.129798165999205</v>
      </c>
      <c r="BU144" s="139">
        <v>48.282191026071764</v>
      </c>
      <c r="BV144" s="139">
        <v>42.814303665844839</v>
      </c>
    </row>
    <row r="145" spans="1:74" x14ac:dyDescent="0.25">
      <c r="A145" s="137">
        <v>42837</v>
      </c>
      <c r="B145" s="138">
        <v>0.49791666666666662</v>
      </c>
      <c r="C145" s="139">
        <v>98.52</v>
      </c>
      <c r="E145" s="140" t="s">
        <v>169</v>
      </c>
      <c r="F145" s="140">
        <v>98.52</v>
      </c>
      <c r="I145" s="139">
        <v>93.45</v>
      </c>
      <c r="J145" s="139">
        <v>95.48</v>
      </c>
      <c r="K145" s="139">
        <v>93.45</v>
      </c>
      <c r="L145" s="139">
        <v>94.08</v>
      </c>
      <c r="M145" s="139">
        <v>93.32</v>
      </c>
      <c r="N145" s="139">
        <v>92.61</v>
      </c>
      <c r="O145" s="139">
        <v>92.25</v>
      </c>
      <c r="P145" s="139">
        <v>105.38</v>
      </c>
      <c r="Q145" s="139">
        <v>105.15</v>
      </c>
      <c r="S145" s="139">
        <v>22.421084217540834</v>
      </c>
      <c r="T145" s="139">
        <v>15.632833229911975</v>
      </c>
      <c r="U145" s="139">
        <v>22.421084217540834</v>
      </c>
      <c r="V145" s="139">
        <v>29.410863513660438</v>
      </c>
      <c r="W145" s="139">
        <v>27.142259380272371</v>
      </c>
      <c r="X145" s="139">
        <v>31.335274898311955</v>
      </c>
      <c r="Y145" s="139">
        <v>35.360546657436437</v>
      </c>
      <c r="Z145" s="139">
        <v>53.1431940076233</v>
      </c>
      <c r="AA145" s="139">
        <v>48.294895889599509</v>
      </c>
      <c r="AB145" s="139">
        <v>42.817064053041243</v>
      </c>
      <c r="BB145" s="136">
        <v>93.45</v>
      </c>
      <c r="BC145" s="136">
        <v>95.48</v>
      </c>
      <c r="BD145" s="136">
        <v>93.45</v>
      </c>
      <c r="BE145" s="136">
        <v>94.08</v>
      </c>
      <c r="BF145" s="136">
        <v>93.32</v>
      </c>
      <c r="BG145" s="136">
        <v>92.61</v>
      </c>
      <c r="BH145" s="136">
        <v>92.25</v>
      </c>
      <c r="BI145" s="136">
        <v>105.38</v>
      </c>
      <c r="BJ145" s="136">
        <v>105.15</v>
      </c>
      <c r="BK145" s="136">
        <v>98.52</v>
      </c>
      <c r="BM145" s="139">
        <v>22.421084217540834</v>
      </c>
      <c r="BN145" s="139">
        <v>15.632833229911975</v>
      </c>
      <c r="BO145" s="139">
        <v>22.421084217540834</v>
      </c>
      <c r="BP145" s="139">
        <v>29.410863513660438</v>
      </c>
      <c r="BQ145" s="139">
        <v>27.142259380272371</v>
      </c>
      <c r="BR145" s="139">
        <v>31.335274898311955</v>
      </c>
      <c r="BS145" s="139">
        <v>35.360546657436437</v>
      </c>
      <c r="BT145" s="139">
        <v>53.1431940076233</v>
      </c>
      <c r="BU145" s="139">
        <v>48.294895889599509</v>
      </c>
      <c r="BV145" s="139">
        <v>42.817064053041243</v>
      </c>
    </row>
    <row r="146" spans="1:74" x14ac:dyDescent="0.25">
      <c r="A146" s="137">
        <v>42837</v>
      </c>
      <c r="B146" s="138">
        <v>0.4982638888888889</v>
      </c>
      <c r="C146" s="139">
        <v>98.06</v>
      </c>
      <c r="E146" s="140" t="s">
        <v>169</v>
      </c>
      <c r="F146" s="140">
        <v>98.06</v>
      </c>
      <c r="I146" s="139">
        <v>93.37</v>
      </c>
      <c r="J146" s="139">
        <v>95.4</v>
      </c>
      <c r="K146" s="139">
        <v>93.37</v>
      </c>
      <c r="L146" s="139">
        <v>94.05</v>
      </c>
      <c r="M146" s="139">
        <v>93.27</v>
      </c>
      <c r="N146" s="139">
        <v>92.56</v>
      </c>
      <c r="O146" s="139">
        <v>92.21</v>
      </c>
      <c r="P146" s="139">
        <v>105.27</v>
      </c>
      <c r="Q146" s="139">
        <v>105.29</v>
      </c>
      <c r="S146" s="139">
        <v>22.421927494053527</v>
      </c>
      <c r="T146" s="139">
        <v>15.634178997313938</v>
      </c>
      <c r="U146" s="139">
        <v>22.421927494053527</v>
      </c>
      <c r="V146" s="139">
        <v>29.411849725028496</v>
      </c>
      <c r="W146" s="139">
        <v>27.143083461468134</v>
      </c>
      <c r="X146" s="139">
        <v>31.335974691973242</v>
      </c>
      <c r="Y146" s="139">
        <v>35.361192267073243</v>
      </c>
      <c r="Z146" s="139">
        <v>53.156254814395297</v>
      </c>
      <c r="AA146" s="139">
        <v>48.308016982316431</v>
      </c>
      <c r="AB146" s="139">
        <v>42.819547014648492</v>
      </c>
      <c r="BB146" s="136">
        <v>93.37</v>
      </c>
      <c r="BC146" s="136">
        <v>95.4</v>
      </c>
      <c r="BD146" s="136">
        <v>93.37</v>
      </c>
      <c r="BE146" s="136">
        <v>94.05</v>
      </c>
      <c r="BF146" s="136">
        <v>93.27</v>
      </c>
      <c r="BG146" s="136">
        <v>92.56</v>
      </c>
      <c r="BH146" s="136">
        <v>92.21</v>
      </c>
      <c r="BI146" s="136">
        <v>105.27</v>
      </c>
      <c r="BJ146" s="136">
        <v>105.29</v>
      </c>
      <c r="BK146" s="136">
        <v>98.06</v>
      </c>
      <c r="BM146" s="139">
        <v>22.421927494053527</v>
      </c>
      <c r="BN146" s="139">
        <v>15.634178997313938</v>
      </c>
      <c r="BO146" s="139">
        <v>22.421927494053527</v>
      </c>
      <c r="BP146" s="139">
        <v>29.411849725028496</v>
      </c>
      <c r="BQ146" s="139">
        <v>27.143083461468134</v>
      </c>
      <c r="BR146" s="139">
        <v>31.335974691973242</v>
      </c>
      <c r="BS146" s="139">
        <v>35.361192267073243</v>
      </c>
      <c r="BT146" s="139">
        <v>53.156254814395297</v>
      </c>
      <c r="BU146" s="139">
        <v>48.308016982316431</v>
      </c>
      <c r="BV146" s="139">
        <v>42.819547014648492</v>
      </c>
    </row>
    <row r="147" spans="1:74" x14ac:dyDescent="0.25">
      <c r="A147" s="137">
        <v>42837</v>
      </c>
      <c r="B147" s="138">
        <v>0.49861111111111112</v>
      </c>
      <c r="C147" s="139">
        <v>97.64</v>
      </c>
      <c r="E147" s="140" t="s">
        <v>169</v>
      </c>
      <c r="F147" s="140">
        <v>97.64</v>
      </c>
      <c r="I147" s="139">
        <v>93.3</v>
      </c>
      <c r="J147" s="139">
        <v>95.31</v>
      </c>
      <c r="K147" s="139">
        <v>93.3</v>
      </c>
      <c r="L147" s="139">
        <v>93.98</v>
      </c>
      <c r="M147" s="139">
        <v>93.23</v>
      </c>
      <c r="N147" s="139">
        <v>92.43</v>
      </c>
      <c r="O147" s="139">
        <v>91.97</v>
      </c>
      <c r="P147" s="139">
        <v>90.62</v>
      </c>
      <c r="Q147" s="139">
        <v>81.59</v>
      </c>
      <c r="S147" s="139">
        <v>22.422757287507245</v>
      </c>
      <c r="T147" s="139">
        <v>15.635497163006852</v>
      </c>
      <c r="U147" s="139">
        <v>22.422757287507245</v>
      </c>
      <c r="V147" s="139">
        <v>29.412820167967293</v>
      </c>
      <c r="W147" s="139">
        <v>27.143899987442079</v>
      </c>
      <c r="X147" s="139">
        <v>31.336653848696535</v>
      </c>
      <c r="Y147" s="139">
        <v>35.361803166903321</v>
      </c>
      <c r="Z147" s="139">
        <v>53.156702496778074</v>
      </c>
      <c r="AA147" s="139">
        <v>48.308072954210601</v>
      </c>
      <c r="AB147" s="139">
        <v>42.8218010981712</v>
      </c>
      <c r="BB147" s="136">
        <v>93.3</v>
      </c>
      <c r="BC147" s="136">
        <v>95.31</v>
      </c>
      <c r="BD147" s="136">
        <v>93.3</v>
      </c>
      <c r="BE147" s="136">
        <v>93.98</v>
      </c>
      <c r="BF147" s="136">
        <v>93.23</v>
      </c>
      <c r="BG147" s="136">
        <v>92.43</v>
      </c>
      <c r="BH147" s="136">
        <v>91.97</v>
      </c>
      <c r="BI147" s="136">
        <v>90.62</v>
      </c>
      <c r="BJ147" s="136">
        <v>81.59</v>
      </c>
      <c r="BK147" s="136">
        <v>97.64</v>
      </c>
      <c r="BM147" s="139">
        <v>22.422757287507245</v>
      </c>
      <c r="BN147" s="139">
        <v>15.635497163006852</v>
      </c>
      <c r="BO147" s="139">
        <v>22.422757287507245</v>
      </c>
      <c r="BP147" s="139">
        <v>29.412820167967293</v>
      </c>
      <c r="BQ147" s="139">
        <v>27.143899987442079</v>
      </c>
      <c r="BR147" s="139">
        <v>31.336653848696535</v>
      </c>
      <c r="BS147" s="139">
        <v>35.361803166903321</v>
      </c>
      <c r="BT147" s="139">
        <v>53.156702496778074</v>
      </c>
      <c r="BU147" s="139">
        <v>48.308072954210601</v>
      </c>
      <c r="BV147" s="139">
        <v>42.8218010981712</v>
      </c>
    </row>
    <row r="148" spans="1:74" x14ac:dyDescent="0.25">
      <c r="A148" s="137">
        <v>42837</v>
      </c>
      <c r="B148" s="138">
        <v>0.49895833333333334</v>
      </c>
      <c r="C148" s="139">
        <v>96.41</v>
      </c>
      <c r="E148" s="140" t="s">
        <v>169</v>
      </c>
      <c r="F148" s="140">
        <v>96.41</v>
      </c>
      <c r="I148" s="139">
        <v>93.04</v>
      </c>
      <c r="J148" s="139">
        <v>95.19</v>
      </c>
      <c r="K148" s="139">
        <v>93.04</v>
      </c>
      <c r="L148" s="139">
        <v>93.82</v>
      </c>
      <c r="M148" s="139">
        <v>93.09</v>
      </c>
      <c r="N148" s="139">
        <v>92.23</v>
      </c>
      <c r="O148" s="139">
        <v>91.94</v>
      </c>
      <c r="P148" s="139">
        <v>44.35</v>
      </c>
      <c r="Q148" s="139">
        <v>36.99</v>
      </c>
      <c r="S148" s="139">
        <v>22.423538861328566</v>
      </c>
      <c r="T148" s="139">
        <v>15.636779405025111</v>
      </c>
      <c r="U148" s="139">
        <v>22.423538861328566</v>
      </c>
      <c r="V148" s="139">
        <v>29.413755509037475</v>
      </c>
      <c r="W148" s="139">
        <v>27.144690611461716</v>
      </c>
      <c r="X148" s="139">
        <v>31.337302438332028</v>
      </c>
      <c r="Y148" s="139">
        <v>35.362409861328551</v>
      </c>
      <c r="Z148" s="139">
        <v>53.156702507345521</v>
      </c>
      <c r="AA148" s="139">
        <v>48.308072956151356</v>
      </c>
      <c r="AB148" s="139">
        <v>42.823499224534153</v>
      </c>
      <c r="BB148" s="136">
        <v>93.04</v>
      </c>
      <c r="BC148" s="136">
        <v>95.19</v>
      </c>
      <c r="BD148" s="136">
        <v>93.04</v>
      </c>
      <c r="BE148" s="136">
        <v>93.82</v>
      </c>
      <c r="BF148" s="136">
        <v>93.09</v>
      </c>
      <c r="BG148" s="136">
        <v>92.23</v>
      </c>
      <c r="BH148" s="136">
        <v>91.94</v>
      </c>
      <c r="BI148" s="136">
        <v>44.35</v>
      </c>
      <c r="BJ148" s="136">
        <v>36.99</v>
      </c>
      <c r="BK148" s="136">
        <v>96.41</v>
      </c>
      <c r="BM148" s="139">
        <v>22.423538861328566</v>
      </c>
      <c r="BN148" s="139">
        <v>15.636779405025111</v>
      </c>
      <c r="BO148" s="139">
        <v>22.423538861328566</v>
      </c>
      <c r="BP148" s="139">
        <v>29.413755509037475</v>
      </c>
      <c r="BQ148" s="139">
        <v>27.144690611461716</v>
      </c>
      <c r="BR148" s="139">
        <v>31.337302438332028</v>
      </c>
      <c r="BS148" s="139">
        <v>35.362409861328551</v>
      </c>
      <c r="BT148" s="139">
        <v>53.156702507345521</v>
      </c>
      <c r="BU148" s="139">
        <v>48.308072956151356</v>
      </c>
      <c r="BV148" s="139">
        <v>42.823499224534153</v>
      </c>
    </row>
    <row r="149" spans="1:74" x14ac:dyDescent="0.25">
      <c r="A149" s="137">
        <v>42837</v>
      </c>
      <c r="B149" s="138">
        <v>0.4993055555555555</v>
      </c>
      <c r="C149" s="139">
        <v>94.01</v>
      </c>
      <c r="E149" s="140" t="s">
        <v>169</v>
      </c>
      <c r="F149" s="140">
        <v>94.01</v>
      </c>
      <c r="I149" s="139">
        <v>92.66</v>
      </c>
      <c r="J149" s="139">
        <v>94.91</v>
      </c>
      <c r="K149" s="139">
        <v>92.66</v>
      </c>
      <c r="L149" s="139">
        <v>93.41</v>
      </c>
      <c r="M149" s="139">
        <v>92.69</v>
      </c>
      <c r="N149" s="139">
        <v>92.02</v>
      </c>
      <c r="O149" s="139">
        <v>91.62</v>
      </c>
      <c r="P149" s="139">
        <v>32.729999999999997</v>
      </c>
      <c r="Q149" s="139">
        <v>32.450000000000003</v>
      </c>
      <c r="S149" s="139">
        <v>22.424254955278204</v>
      </c>
      <c r="T149" s="139">
        <v>15.637981586425115</v>
      </c>
      <c r="U149" s="139">
        <v>22.424254955278204</v>
      </c>
      <c r="V149" s="139">
        <v>29.414606588291672</v>
      </c>
      <c r="W149" s="139">
        <v>27.145411669137477</v>
      </c>
      <c r="X149" s="139">
        <v>31.337920412048749</v>
      </c>
      <c r="Y149" s="139">
        <v>35.362973460056637</v>
      </c>
      <c r="Z149" s="139">
        <v>53.156702508073252</v>
      </c>
      <c r="AA149" s="139">
        <v>48.308072956833648</v>
      </c>
      <c r="AB149" s="139">
        <v>42.824476394262042</v>
      </c>
      <c r="BB149" s="136">
        <v>92.66</v>
      </c>
      <c r="BC149" s="136">
        <v>94.91</v>
      </c>
      <c r="BD149" s="136">
        <v>92.66</v>
      </c>
      <c r="BE149" s="136">
        <v>93.41</v>
      </c>
      <c r="BF149" s="136">
        <v>92.69</v>
      </c>
      <c r="BG149" s="136">
        <v>92.02</v>
      </c>
      <c r="BH149" s="136">
        <v>91.62</v>
      </c>
      <c r="BI149" s="136">
        <v>32.729999999999997</v>
      </c>
      <c r="BJ149" s="136">
        <v>32.450000000000003</v>
      </c>
      <c r="BK149" s="136">
        <v>94.01</v>
      </c>
      <c r="BM149" s="139">
        <v>22.424254955278204</v>
      </c>
      <c r="BN149" s="139">
        <v>15.637981586425115</v>
      </c>
      <c r="BO149" s="139">
        <v>22.424254955278204</v>
      </c>
      <c r="BP149" s="139">
        <v>29.414606588291672</v>
      </c>
      <c r="BQ149" s="139">
        <v>27.145411669137477</v>
      </c>
      <c r="BR149" s="139">
        <v>31.337920412048749</v>
      </c>
      <c r="BS149" s="139">
        <v>35.362973460056637</v>
      </c>
      <c r="BT149" s="139">
        <v>53.156702508073252</v>
      </c>
      <c r="BU149" s="139">
        <v>48.308072956833648</v>
      </c>
      <c r="BV149" s="139">
        <v>42.824476394262042</v>
      </c>
    </row>
    <row r="150" spans="1:74" x14ac:dyDescent="0.25">
      <c r="A150" s="137">
        <v>42837</v>
      </c>
      <c r="B150" s="138">
        <v>0.49965277777777778</v>
      </c>
      <c r="C150" s="139">
        <v>90.96</v>
      </c>
      <c r="E150" s="140" t="s">
        <v>169</v>
      </c>
      <c r="F150" s="140">
        <v>90.96</v>
      </c>
      <c r="I150" s="139">
        <v>92.28</v>
      </c>
      <c r="J150" s="139">
        <v>92.63</v>
      </c>
      <c r="K150" s="139">
        <v>92.28</v>
      </c>
      <c r="L150" s="139">
        <v>92.95</v>
      </c>
      <c r="M150" s="139">
        <v>92.31</v>
      </c>
      <c r="N150" s="139">
        <v>90.59</v>
      </c>
      <c r="O150" s="139">
        <v>90.88</v>
      </c>
      <c r="P150" s="139">
        <v>32.89</v>
      </c>
      <c r="Q150" s="139">
        <v>32.03</v>
      </c>
      <c r="S150" s="139">
        <v>22.424911055227714</v>
      </c>
      <c r="T150" s="139">
        <v>15.638692750818675</v>
      </c>
      <c r="U150" s="139">
        <v>22.424911055227714</v>
      </c>
      <c r="V150" s="139">
        <v>29.415372132022512</v>
      </c>
      <c r="W150" s="139">
        <v>27.146072316954569</v>
      </c>
      <c r="X150" s="139">
        <v>31.338365012607678</v>
      </c>
      <c r="Y150" s="139">
        <v>35.363448762453466</v>
      </c>
      <c r="Z150" s="139">
        <v>53.156702508828289</v>
      </c>
      <c r="AA150" s="139">
        <v>48.308072957453049</v>
      </c>
      <c r="AB150" s="139">
        <v>42.824960533190172</v>
      </c>
      <c r="BB150" s="136">
        <v>92.28</v>
      </c>
      <c r="BC150" s="136">
        <v>92.63</v>
      </c>
      <c r="BD150" s="136">
        <v>92.28</v>
      </c>
      <c r="BE150" s="136">
        <v>92.95</v>
      </c>
      <c r="BF150" s="136">
        <v>92.31</v>
      </c>
      <c r="BG150" s="136">
        <v>90.59</v>
      </c>
      <c r="BH150" s="136">
        <v>90.88</v>
      </c>
      <c r="BI150" s="136">
        <v>32.89</v>
      </c>
      <c r="BJ150" s="136">
        <v>32.03</v>
      </c>
      <c r="BK150" s="136">
        <v>90.96</v>
      </c>
      <c r="BM150" s="139">
        <v>22.424911055227714</v>
      </c>
      <c r="BN150" s="139">
        <v>15.638692750818675</v>
      </c>
      <c r="BO150" s="139">
        <v>22.424911055227714</v>
      </c>
      <c r="BP150" s="139">
        <v>29.415372132022512</v>
      </c>
      <c r="BQ150" s="139">
        <v>27.146072316954569</v>
      </c>
      <c r="BR150" s="139">
        <v>31.338365012607678</v>
      </c>
      <c r="BS150" s="139">
        <v>35.363448762453466</v>
      </c>
      <c r="BT150" s="139">
        <v>53.156702508828289</v>
      </c>
      <c r="BU150" s="139">
        <v>48.308072957453049</v>
      </c>
      <c r="BV150" s="139">
        <v>42.824960533190172</v>
      </c>
    </row>
    <row r="151" spans="1:74" x14ac:dyDescent="0.25">
      <c r="A151" s="137">
        <v>42837</v>
      </c>
      <c r="B151" s="138">
        <v>0.5</v>
      </c>
      <c r="C151" s="139">
        <v>88.01</v>
      </c>
      <c r="E151" s="140" t="s">
        <v>169</v>
      </c>
      <c r="F151" s="140">
        <v>88.01</v>
      </c>
      <c r="I151" s="139">
        <v>91.91</v>
      </c>
      <c r="J151" s="139">
        <v>92.17</v>
      </c>
      <c r="K151" s="139">
        <v>91.91</v>
      </c>
      <c r="L151" s="139">
        <v>92.26</v>
      </c>
      <c r="M151" s="139">
        <v>91.99</v>
      </c>
      <c r="N151" s="139">
        <v>52.27</v>
      </c>
      <c r="O151" s="139">
        <v>90.38</v>
      </c>
      <c r="P151" s="139">
        <v>32.71</v>
      </c>
      <c r="Q151" s="139">
        <v>31.79</v>
      </c>
      <c r="S151" s="139">
        <v>22.4255135731979</v>
      </c>
      <c r="T151" s="139">
        <v>15.639332441470755</v>
      </c>
      <c r="U151" s="139">
        <v>22.4255135731979</v>
      </c>
      <c r="V151" s="139">
        <v>29.416025217466579</v>
      </c>
      <c r="W151" s="139">
        <v>27.146686036570149</v>
      </c>
      <c r="X151" s="139">
        <v>31.338365078066776</v>
      </c>
      <c r="Y151" s="139">
        <v>35.363872376160536</v>
      </c>
      <c r="Z151" s="139">
        <v>53.156702509552673</v>
      </c>
      <c r="AA151" s="139">
        <v>48.308072958039148</v>
      </c>
      <c r="AB151" s="139">
        <v>42.82520598712825</v>
      </c>
      <c r="BB151" s="136">
        <v>91.91</v>
      </c>
      <c r="BC151" s="136">
        <v>92.17</v>
      </c>
      <c r="BD151" s="136">
        <v>91.91</v>
      </c>
      <c r="BE151" s="136">
        <v>92.26</v>
      </c>
      <c r="BF151" s="136">
        <v>91.99</v>
      </c>
      <c r="BG151" s="136">
        <v>52.27</v>
      </c>
      <c r="BH151" s="136">
        <v>90.38</v>
      </c>
      <c r="BI151" s="136">
        <v>32.71</v>
      </c>
      <c r="BJ151" s="136">
        <v>31.79</v>
      </c>
      <c r="BK151" s="136">
        <v>88.01</v>
      </c>
      <c r="BM151" s="139">
        <v>22.4255135731979</v>
      </c>
      <c r="BN151" s="139">
        <v>15.639332441470755</v>
      </c>
      <c r="BO151" s="139">
        <v>22.4255135731979</v>
      </c>
      <c r="BP151" s="139">
        <v>29.416025217466579</v>
      </c>
      <c r="BQ151" s="139">
        <v>27.146686036570149</v>
      </c>
      <c r="BR151" s="139">
        <v>31.338365078066776</v>
      </c>
      <c r="BS151" s="139">
        <v>35.363872376160536</v>
      </c>
      <c r="BT151" s="139">
        <v>53.156702509552673</v>
      </c>
      <c r="BU151" s="139">
        <v>48.308072958039148</v>
      </c>
      <c r="BV151" s="139">
        <v>42.82520598712825</v>
      </c>
    </row>
    <row r="152" spans="1:74" x14ac:dyDescent="0.25">
      <c r="A152" s="137">
        <v>42837</v>
      </c>
      <c r="B152" s="138">
        <v>0.50034722222222217</v>
      </c>
      <c r="C152" s="139">
        <v>85.1</v>
      </c>
      <c r="E152" s="140" t="s">
        <v>169</v>
      </c>
      <c r="F152" s="140">
        <v>85.1</v>
      </c>
      <c r="I152" s="139">
        <v>91.57</v>
      </c>
      <c r="J152" s="139">
        <v>91.8</v>
      </c>
      <c r="K152" s="139">
        <v>91.57</v>
      </c>
      <c r="L152" s="139">
        <v>81.92</v>
      </c>
      <c r="M152" s="139">
        <v>91.26</v>
      </c>
      <c r="N152" s="139">
        <v>42.05</v>
      </c>
      <c r="O152" s="139">
        <v>89.93</v>
      </c>
      <c r="P152" s="139">
        <v>33.4</v>
      </c>
      <c r="Q152" s="139">
        <v>31.81</v>
      </c>
      <c r="S152" s="139">
        <v>22.426070720464697</v>
      </c>
      <c r="T152" s="139">
        <v>15.639919890248224</v>
      </c>
      <c r="U152" s="139">
        <v>22.426070720464697</v>
      </c>
      <c r="V152" s="139">
        <v>29.416085608158333</v>
      </c>
      <c r="W152" s="139">
        <v>27.147204800778059</v>
      </c>
      <c r="X152" s="139">
        <v>31.33836508428935</v>
      </c>
      <c r="Y152" s="139">
        <v>35.364254294052323</v>
      </c>
      <c r="Z152" s="139">
        <v>53.156702510401793</v>
      </c>
      <c r="AA152" s="139">
        <v>48.308072958627953</v>
      </c>
      <c r="AB152" s="139">
        <v>42.825331581449824</v>
      </c>
      <c r="BB152" s="136">
        <v>91.57</v>
      </c>
      <c r="BC152" s="136">
        <v>91.8</v>
      </c>
      <c r="BD152" s="136">
        <v>91.57</v>
      </c>
      <c r="BE152" s="136">
        <v>81.92</v>
      </c>
      <c r="BF152" s="136">
        <v>91.26</v>
      </c>
      <c r="BG152" s="136">
        <v>42.05</v>
      </c>
      <c r="BH152" s="136">
        <v>89.93</v>
      </c>
      <c r="BI152" s="136">
        <v>33.4</v>
      </c>
      <c r="BJ152" s="136">
        <v>31.81</v>
      </c>
      <c r="BK152" s="136">
        <v>85.1</v>
      </c>
      <c r="BM152" s="139">
        <v>22.426070720464697</v>
      </c>
      <c r="BN152" s="139">
        <v>15.639919890248224</v>
      </c>
      <c r="BO152" s="139">
        <v>22.426070720464697</v>
      </c>
      <c r="BP152" s="139">
        <v>29.416085608158333</v>
      </c>
      <c r="BQ152" s="139">
        <v>27.147204800778059</v>
      </c>
      <c r="BR152" s="139">
        <v>31.33836508428935</v>
      </c>
      <c r="BS152" s="139">
        <v>35.364254294052323</v>
      </c>
      <c r="BT152" s="139">
        <v>53.156702510401793</v>
      </c>
      <c r="BU152" s="139">
        <v>48.308072958627953</v>
      </c>
      <c r="BV152" s="139">
        <v>42.825331581449824</v>
      </c>
    </row>
    <row r="153" spans="1:74" x14ac:dyDescent="0.25">
      <c r="A153" s="137">
        <v>42837</v>
      </c>
      <c r="B153" s="138">
        <v>0.50069444444444444</v>
      </c>
      <c r="C153" s="139">
        <v>82.36</v>
      </c>
      <c r="E153" s="140" t="s">
        <v>169</v>
      </c>
      <c r="F153" s="140">
        <v>82.36</v>
      </c>
      <c r="I153" s="139">
        <v>91.18</v>
      </c>
      <c r="J153" s="139">
        <v>91.45</v>
      </c>
      <c r="K153" s="139">
        <v>91.18</v>
      </c>
      <c r="L153" s="139">
        <v>59.17</v>
      </c>
      <c r="M153" s="139">
        <v>80.760000000000005</v>
      </c>
      <c r="N153" s="139">
        <v>37.04</v>
      </c>
      <c r="O153" s="139">
        <v>89.55</v>
      </c>
      <c r="P153" s="139">
        <v>32.71</v>
      </c>
      <c r="Q153" s="139">
        <v>31.97</v>
      </c>
      <c r="S153" s="139">
        <v>22.426580016158724</v>
      </c>
      <c r="T153" s="139">
        <v>15.640461853705235</v>
      </c>
      <c r="U153" s="139">
        <v>22.426580016158724</v>
      </c>
      <c r="V153" s="139">
        <v>29.41608592876312</v>
      </c>
      <c r="W153" s="139">
        <v>27.147251035686757</v>
      </c>
      <c r="X153" s="139">
        <v>31.338365086252576</v>
      </c>
      <c r="Y153" s="139">
        <v>35.364604215050321</v>
      </c>
      <c r="Z153" s="139">
        <v>53.156702511126177</v>
      </c>
      <c r="AA153" s="139">
        <v>48.308072959238856</v>
      </c>
      <c r="AB153" s="139">
        <v>42.825398411225649</v>
      </c>
      <c r="BB153" s="136">
        <v>91.18</v>
      </c>
      <c r="BC153" s="136">
        <v>91.45</v>
      </c>
      <c r="BD153" s="136">
        <v>91.18</v>
      </c>
      <c r="BE153" s="136">
        <v>59.17</v>
      </c>
      <c r="BF153" s="136">
        <v>80.760000000000005</v>
      </c>
      <c r="BG153" s="136">
        <v>37.04</v>
      </c>
      <c r="BH153" s="136">
        <v>89.55</v>
      </c>
      <c r="BI153" s="136">
        <v>32.71</v>
      </c>
      <c r="BJ153" s="136">
        <v>31.97</v>
      </c>
      <c r="BK153" s="136">
        <v>82.36</v>
      </c>
      <c r="BM153" s="139">
        <v>22.426580016158724</v>
      </c>
      <c r="BN153" s="139">
        <v>15.640461853705235</v>
      </c>
      <c r="BO153" s="139">
        <v>22.426580016158724</v>
      </c>
      <c r="BP153" s="139">
        <v>29.41608592876312</v>
      </c>
      <c r="BQ153" s="139">
        <v>27.147251035686757</v>
      </c>
      <c r="BR153" s="139">
        <v>31.338365086252576</v>
      </c>
      <c r="BS153" s="139">
        <v>35.364604215050321</v>
      </c>
      <c r="BT153" s="139">
        <v>53.156702511126177</v>
      </c>
      <c r="BU153" s="139">
        <v>48.308072959238856</v>
      </c>
      <c r="BV153" s="139">
        <v>42.825398411225649</v>
      </c>
    </row>
    <row r="154" spans="1:74" x14ac:dyDescent="0.25">
      <c r="A154" s="137">
        <v>42837</v>
      </c>
      <c r="B154" s="138">
        <v>0.50104166666666672</v>
      </c>
      <c r="C154" s="139">
        <v>79.75</v>
      </c>
      <c r="E154" s="140" t="s">
        <v>169</v>
      </c>
      <c r="F154" s="140">
        <v>79.75</v>
      </c>
      <c r="I154" s="139">
        <v>90.37</v>
      </c>
      <c r="J154" s="139">
        <v>91.11</v>
      </c>
      <c r="K154" s="139">
        <v>90.37</v>
      </c>
      <c r="L154" s="139">
        <v>44.52</v>
      </c>
      <c r="M154" s="139">
        <v>78.209999999999994</v>
      </c>
      <c r="N154" s="139">
        <v>38.950000000000003</v>
      </c>
      <c r="O154" s="139">
        <v>88.93</v>
      </c>
      <c r="P154" s="139">
        <v>31.78</v>
      </c>
      <c r="Q154" s="139">
        <v>35.1</v>
      </c>
      <c r="S154" s="139">
        <v>22.427002655581305</v>
      </c>
      <c r="T154" s="139">
        <v>15.640963006324274</v>
      </c>
      <c r="U154" s="139">
        <v>22.427002655581305</v>
      </c>
      <c r="V154" s="139">
        <v>29.416085939752421</v>
      </c>
      <c r="W154" s="139">
        <v>27.147276737869337</v>
      </c>
      <c r="X154" s="139">
        <v>31.338365089300261</v>
      </c>
      <c r="Y154" s="139">
        <v>35.364907583215114</v>
      </c>
      <c r="Z154" s="139">
        <v>53.156702511710925</v>
      </c>
      <c r="AA154" s="139">
        <v>48.308072960494798</v>
      </c>
      <c r="AB154" s="139">
        <v>42.825435052452306</v>
      </c>
      <c r="BB154" s="136">
        <v>90.37</v>
      </c>
      <c r="BC154" s="136">
        <v>91.11</v>
      </c>
      <c r="BD154" s="136">
        <v>90.37</v>
      </c>
      <c r="BE154" s="136">
        <v>44.52</v>
      </c>
      <c r="BF154" s="136">
        <v>78.209999999999994</v>
      </c>
      <c r="BG154" s="136">
        <v>38.950000000000003</v>
      </c>
      <c r="BH154" s="136">
        <v>88.93</v>
      </c>
      <c r="BI154" s="136">
        <v>31.78</v>
      </c>
      <c r="BJ154" s="136">
        <v>35.1</v>
      </c>
      <c r="BK154" s="136">
        <v>79.75</v>
      </c>
      <c r="BM154" s="139">
        <v>22.427002655581305</v>
      </c>
      <c r="BN154" s="139">
        <v>15.640963006324274</v>
      </c>
      <c r="BO154" s="139">
        <v>22.427002655581305</v>
      </c>
      <c r="BP154" s="139">
        <v>29.416085939752421</v>
      </c>
      <c r="BQ154" s="139">
        <v>27.147276737869337</v>
      </c>
      <c r="BR154" s="139">
        <v>31.338365089300261</v>
      </c>
      <c r="BS154" s="139">
        <v>35.364907583215114</v>
      </c>
      <c r="BT154" s="139">
        <v>53.156702511710925</v>
      </c>
      <c r="BU154" s="139">
        <v>48.308072960494798</v>
      </c>
      <c r="BV154" s="139">
        <v>42.825435052452306</v>
      </c>
    </row>
    <row r="155" spans="1:74" x14ac:dyDescent="0.25">
      <c r="A155" s="137">
        <v>42837</v>
      </c>
      <c r="B155" s="138">
        <v>0.50138888888888888</v>
      </c>
      <c r="C155" s="139">
        <v>77.33</v>
      </c>
      <c r="E155" s="140" t="s">
        <v>169</v>
      </c>
      <c r="F155" s="140">
        <v>77.33</v>
      </c>
      <c r="I155" s="139">
        <v>72.28</v>
      </c>
      <c r="J155" s="139">
        <v>90.77</v>
      </c>
      <c r="K155" s="139">
        <v>72.28</v>
      </c>
      <c r="L155" s="139">
        <v>41.27</v>
      </c>
      <c r="M155" s="139">
        <v>76.84</v>
      </c>
      <c r="N155" s="139">
        <v>41.26</v>
      </c>
      <c r="O155" s="139">
        <v>86.62</v>
      </c>
      <c r="P155" s="139">
        <v>31.37</v>
      </c>
      <c r="Q155" s="139">
        <v>36.08</v>
      </c>
      <c r="S155" s="139">
        <v>22.427009216580799</v>
      </c>
      <c r="T155" s="139">
        <v>15.641426421235963</v>
      </c>
      <c r="U155" s="139">
        <v>22.427009216580799</v>
      </c>
      <c r="V155" s="139">
        <v>29.416085944952023</v>
      </c>
      <c r="W155" s="139">
        <v>27.14729548651945</v>
      </c>
      <c r="X155" s="139">
        <v>31.338365094487902</v>
      </c>
      <c r="Y155" s="139">
        <v>35.365085808781828</v>
      </c>
      <c r="Z155" s="139">
        <v>53.156702512242994</v>
      </c>
      <c r="AA155" s="139">
        <v>48.308072962068671</v>
      </c>
      <c r="AB155" s="139">
        <v>42.825456040401505</v>
      </c>
      <c r="BB155" s="136">
        <v>72.28</v>
      </c>
      <c r="BC155" s="136">
        <v>90.77</v>
      </c>
      <c r="BD155" s="136">
        <v>72.28</v>
      </c>
      <c r="BE155" s="136">
        <v>41.27</v>
      </c>
      <c r="BF155" s="136">
        <v>76.84</v>
      </c>
      <c r="BG155" s="136">
        <v>41.26</v>
      </c>
      <c r="BH155" s="136">
        <v>86.62</v>
      </c>
      <c r="BI155" s="136">
        <v>31.37</v>
      </c>
      <c r="BJ155" s="136">
        <v>36.08</v>
      </c>
      <c r="BK155" s="136">
        <v>77.33</v>
      </c>
      <c r="BM155" s="139">
        <v>22.427009216580799</v>
      </c>
      <c r="BN155" s="139">
        <v>15.641426421235963</v>
      </c>
      <c r="BO155" s="139">
        <v>22.427009216580799</v>
      </c>
      <c r="BP155" s="139">
        <v>29.416085944952023</v>
      </c>
      <c r="BQ155" s="139">
        <v>27.14729548651945</v>
      </c>
      <c r="BR155" s="139">
        <v>31.338365094487902</v>
      </c>
      <c r="BS155" s="139">
        <v>35.365085808781828</v>
      </c>
      <c r="BT155" s="139">
        <v>53.156702512242994</v>
      </c>
      <c r="BU155" s="139">
        <v>48.308072962068671</v>
      </c>
      <c r="BV155" s="139">
        <v>42.825456040401505</v>
      </c>
    </row>
    <row r="156" spans="1:74" x14ac:dyDescent="0.25">
      <c r="A156" s="137">
        <v>42837</v>
      </c>
      <c r="B156" s="138">
        <v>0.50173611111111105</v>
      </c>
      <c r="C156" s="139">
        <v>75.12</v>
      </c>
      <c r="E156" s="140" t="s">
        <v>169</v>
      </c>
      <c r="F156" s="140">
        <v>75.12</v>
      </c>
      <c r="I156" s="139">
        <v>60.43</v>
      </c>
      <c r="J156" s="139">
        <v>90.41</v>
      </c>
      <c r="K156" s="139">
        <v>60.43</v>
      </c>
      <c r="L156" s="139">
        <v>38.31</v>
      </c>
      <c r="M156" s="139">
        <v>75.66</v>
      </c>
      <c r="N156" s="139">
        <v>42.06</v>
      </c>
      <c r="O156" s="139">
        <v>36.020000000000003</v>
      </c>
      <c r="P156" s="139">
        <v>32.01</v>
      </c>
      <c r="Q156" s="139">
        <v>35</v>
      </c>
      <c r="S156" s="139">
        <v>22.427009645099723</v>
      </c>
      <c r="T156" s="139">
        <v>15.641852971292971</v>
      </c>
      <c r="U156" s="139">
        <v>22.427009645099723</v>
      </c>
      <c r="V156" s="139">
        <v>29.416085947582108</v>
      </c>
      <c r="W156" s="139">
        <v>27.147309774472166</v>
      </c>
      <c r="X156" s="139">
        <v>31.338365100724818</v>
      </c>
      <c r="Y156" s="139">
        <v>35.365085810334108</v>
      </c>
      <c r="Z156" s="139">
        <v>53.156702512859546</v>
      </c>
      <c r="AA156" s="139">
        <v>48.308072963296027</v>
      </c>
      <c r="AB156" s="139">
        <v>42.825468657805366</v>
      </c>
      <c r="BB156" s="136">
        <v>60.43</v>
      </c>
      <c r="BC156" s="136">
        <v>90.41</v>
      </c>
      <c r="BD156" s="136">
        <v>60.43</v>
      </c>
      <c r="BE156" s="136">
        <v>38.31</v>
      </c>
      <c r="BF156" s="136">
        <v>75.66</v>
      </c>
      <c r="BG156" s="136">
        <v>42.06</v>
      </c>
      <c r="BH156" s="136">
        <v>36.020000000000003</v>
      </c>
      <c r="BI156" s="136">
        <v>32.01</v>
      </c>
      <c r="BJ156" s="136">
        <v>35</v>
      </c>
      <c r="BK156" s="136">
        <v>75.12</v>
      </c>
      <c r="BM156" s="139">
        <v>22.427009645099723</v>
      </c>
      <c r="BN156" s="139">
        <v>15.641852971292971</v>
      </c>
      <c r="BO156" s="139">
        <v>22.427009645099723</v>
      </c>
      <c r="BP156" s="139">
        <v>29.416085947582108</v>
      </c>
      <c r="BQ156" s="139">
        <v>27.147309774472166</v>
      </c>
      <c r="BR156" s="139">
        <v>31.338365100724818</v>
      </c>
      <c r="BS156" s="139">
        <v>35.365085810334108</v>
      </c>
      <c r="BT156" s="139">
        <v>53.156702512859546</v>
      </c>
      <c r="BU156" s="139">
        <v>48.308072963296027</v>
      </c>
      <c r="BV156" s="139">
        <v>42.825468657805366</v>
      </c>
    </row>
    <row r="157" spans="1:74" x14ac:dyDescent="0.25">
      <c r="A157" s="137">
        <v>42837</v>
      </c>
      <c r="B157" s="138">
        <v>0.50208333333333333</v>
      </c>
      <c r="C157" s="139">
        <v>73.11</v>
      </c>
      <c r="E157" s="140" t="s">
        <v>169</v>
      </c>
      <c r="F157" s="140">
        <v>73.11</v>
      </c>
      <c r="I157" s="139">
        <v>52.31</v>
      </c>
      <c r="J157" s="139">
        <v>90.31</v>
      </c>
      <c r="K157" s="139">
        <v>52.31</v>
      </c>
      <c r="L157" s="139">
        <v>35.97</v>
      </c>
      <c r="M157" s="139">
        <v>72.98</v>
      </c>
      <c r="N157" s="139">
        <v>42.09</v>
      </c>
      <c r="O157" s="139">
        <v>32.61</v>
      </c>
      <c r="P157" s="139">
        <v>31.1</v>
      </c>
      <c r="Q157" s="139">
        <v>33.36</v>
      </c>
      <c r="S157" s="139">
        <v>22.427009711164505</v>
      </c>
      <c r="T157" s="139">
        <v>15.642269811885281</v>
      </c>
      <c r="U157" s="139">
        <v>22.427009711164505</v>
      </c>
      <c r="V157" s="139">
        <v>29.416085949116617</v>
      </c>
      <c r="W157" s="139">
        <v>27.147317482974429</v>
      </c>
      <c r="X157" s="139">
        <v>31.338365107004968</v>
      </c>
      <c r="Y157" s="139">
        <v>35.365085811042007</v>
      </c>
      <c r="Z157" s="139">
        <v>53.156702513359548</v>
      </c>
      <c r="AA157" s="139">
        <v>48.308072964137367</v>
      </c>
      <c r="AB157" s="139">
        <v>42.825476600539112</v>
      </c>
      <c r="BB157" s="136">
        <v>52.31</v>
      </c>
      <c r="BC157" s="136">
        <v>90.31</v>
      </c>
      <c r="BD157" s="136">
        <v>52.31</v>
      </c>
      <c r="BE157" s="136">
        <v>35.97</v>
      </c>
      <c r="BF157" s="136">
        <v>72.98</v>
      </c>
      <c r="BG157" s="136">
        <v>42.09</v>
      </c>
      <c r="BH157" s="136">
        <v>32.61</v>
      </c>
      <c r="BI157" s="136">
        <v>31.1</v>
      </c>
      <c r="BJ157" s="136">
        <v>33.36</v>
      </c>
      <c r="BK157" s="136">
        <v>73.11</v>
      </c>
      <c r="BM157" s="139">
        <v>22.427009711164505</v>
      </c>
      <c r="BN157" s="139">
        <v>15.642269811885281</v>
      </c>
      <c r="BO157" s="139">
        <v>22.427009711164505</v>
      </c>
      <c r="BP157" s="139">
        <v>29.416085949116617</v>
      </c>
      <c r="BQ157" s="139">
        <v>27.147317482974429</v>
      </c>
      <c r="BR157" s="139">
        <v>31.338365107004968</v>
      </c>
      <c r="BS157" s="139">
        <v>35.365085811042007</v>
      </c>
      <c r="BT157" s="139">
        <v>53.156702513359548</v>
      </c>
      <c r="BU157" s="139">
        <v>48.308072964137367</v>
      </c>
      <c r="BV157" s="139">
        <v>42.825476600539112</v>
      </c>
    </row>
    <row r="158" spans="1:74" x14ac:dyDescent="0.25">
      <c r="A158" s="137">
        <v>42837</v>
      </c>
      <c r="B158" s="138">
        <v>0.5024305555555556</v>
      </c>
      <c r="C158" s="139">
        <v>71.28</v>
      </c>
      <c r="E158" s="140" t="s">
        <v>169</v>
      </c>
      <c r="F158" s="140">
        <v>71.28</v>
      </c>
      <c r="I158" s="139">
        <v>45.52</v>
      </c>
      <c r="J158" s="139">
        <v>90.15</v>
      </c>
      <c r="K158" s="139">
        <v>45.52</v>
      </c>
      <c r="L158" s="139">
        <v>34.03</v>
      </c>
      <c r="M158" s="139">
        <v>44.61</v>
      </c>
      <c r="N158" s="139">
        <v>38.520000000000003</v>
      </c>
      <c r="O158" s="139">
        <v>30.62</v>
      </c>
      <c r="P158" s="139">
        <v>30.8</v>
      </c>
      <c r="Q158" s="139">
        <v>34.22</v>
      </c>
      <c r="S158" s="139">
        <v>22.427009724999213</v>
      </c>
      <c r="T158" s="139">
        <v>15.642671574946375</v>
      </c>
      <c r="U158" s="139">
        <v>22.427009724999213</v>
      </c>
      <c r="V158" s="139">
        <v>29.416085950098296</v>
      </c>
      <c r="W158" s="139">
        <v>27.147317494193839</v>
      </c>
      <c r="X158" s="139">
        <v>31.338365109765355</v>
      </c>
      <c r="Y158" s="139">
        <v>35.365085811489692</v>
      </c>
      <c r="Z158" s="139">
        <v>53.156702513826176</v>
      </c>
      <c r="AA158" s="139">
        <v>48.30807296516295</v>
      </c>
      <c r="AB158" s="139">
        <v>42.825481812126256</v>
      </c>
      <c r="BB158" s="136">
        <v>45.52</v>
      </c>
      <c r="BC158" s="136">
        <v>90.15</v>
      </c>
      <c r="BD158" s="136">
        <v>45.52</v>
      </c>
      <c r="BE158" s="136">
        <v>34.03</v>
      </c>
      <c r="BF158" s="136">
        <v>44.61</v>
      </c>
      <c r="BG158" s="136">
        <v>38.520000000000003</v>
      </c>
      <c r="BH158" s="136">
        <v>30.62</v>
      </c>
      <c r="BI158" s="136">
        <v>30.8</v>
      </c>
      <c r="BJ158" s="136">
        <v>34.22</v>
      </c>
      <c r="BK158" s="136">
        <v>71.28</v>
      </c>
      <c r="BM158" s="139">
        <v>22.427009724999213</v>
      </c>
      <c r="BN158" s="139">
        <v>15.642671574946375</v>
      </c>
      <c r="BO158" s="139">
        <v>22.427009724999213</v>
      </c>
      <c r="BP158" s="139">
        <v>29.416085950098296</v>
      </c>
      <c r="BQ158" s="139">
        <v>27.147317494193839</v>
      </c>
      <c r="BR158" s="139">
        <v>31.338365109765355</v>
      </c>
      <c r="BS158" s="139">
        <v>35.365085811489692</v>
      </c>
      <c r="BT158" s="139">
        <v>53.156702513826176</v>
      </c>
      <c r="BU158" s="139">
        <v>48.30807296516295</v>
      </c>
      <c r="BV158" s="139">
        <v>42.825481812126256</v>
      </c>
    </row>
    <row r="159" spans="1:74" x14ac:dyDescent="0.25">
      <c r="A159" s="146">
        <v>42837</v>
      </c>
      <c r="B159" s="147">
        <v>0.50277777777777777</v>
      </c>
      <c r="C159" s="148">
        <v>69.64</v>
      </c>
      <c r="E159" s="149" t="s">
        <v>169</v>
      </c>
      <c r="F159" s="149">
        <v>69.64</v>
      </c>
      <c r="I159" s="148">
        <v>39.770000000000003</v>
      </c>
      <c r="J159" s="148">
        <v>89.95</v>
      </c>
      <c r="K159" s="148">
        <v>39.770000000000003</v>
      </c>
      <c r="L159" s="148">
        <v>31.44</v>
      </c>
      <c r="M159" s="148">
        <v>36.590000000000003</v>
      </c>
      <c r="N159" s="148">
        <v>38.43</v>
      </c>
      <c r="O159" s="148">
        <v>29.85</v>
      </c>
      <c r="P159" s="148">
        <v>29.75</v>
      </c>
      <c r="Q159" s="148">
        <v>30.47</v>
      </c>
      <c r="S159" s="148">
        <v>22.427009728680247</v>
      </c>
      <c r="T159" s="148">
        <v>15.643055255691056</v>
      </c>
      <c r="U159" s="148">
        <v>22.427009728680247</v>
      </c>
      <c r="V159" s="148">
        <v>29.416085950639012</v>
      </c>
      <c r="W159" s="148">
        <v>27.147317495963826</v>
      </c>
      <c r="X159" s="148">
        <v>31.338365112469127</v>
      </c>
      <c r="Y159" s="148">
        <v>35.365085811864638</v>
      </c>
      <c r="Z159" s="148">
        <v>53.156702514192588</v>
      </c>
      <c r="AA159" s="148">
        <v>48.308072965595436</v>
      </c>
      <c r="AB159" s="148">
        <v>42.825485384607887</v>
      </c>
      <c r="BB159" s="136">
        <v>39.770000000000003</v>
      </c>
      <c r="BC159" s="136">
        <v>89.95</v>
      </c>
      <c r="BD159" s="136">
        <v>39.770000000000003</v>
      </c>
      <c r="BE159" s="136">
        <v>31.44</v>
      </c>
      <c r="BF159" s="136">
        <v>36.590000000000003</v>
      </c>
      <c r="BG159" s="136">
        <v>38.43</v>
      </c>
      <c r="BH159" s="136">
        <v>29.85</v>
      </c>
      <c r="BI159" s="136">
        <v>29.75</v>
      </c>
      <c r="BJ159" s="136">
        <v>30.47</v>
      </c>
      <c r="BK159" s="136">
        <v>69.64</v>
      </c>
      <c r="BM159" s="148">
        <v>22.427009728680247</v>
      </c>
      <c r="BN159" s="148">
        <v>15.643055255691056</v>
      </c>
      <c r="BO159" s="148">
        <v>22.427009728680247</v>
      </c>
      <c r="BP159" s="148">
        <v>29.416085950639012</v>
      </c>
      <c r="BQ159" s="148">
        <v>27.147317495963826</v>
      </c>
      <c r="BR159" s="148">
        <v>31.338365112469127</v>
      </c>
      <c r="BS159" s="148">
        <v>35.365085811864638</v>
      </c>
      <c r="BT159" s="148">
        <v>53.156702514192588</v>
      </c>
      <c r="BU159" s="148">
        <v>48.308072965595436</v>
      </c>
      <c r="BV159" s="148">
        <v>42.825485384607887</v>
      </c>
    </row>
  </sheetData>
  <mergeCells count="4">
    <mergeCell ref="C1:Q1"/>
    <mergeCell ref="C2:Q2"/>
    <mergeCell ref="C3:Q3"/>
    <mergeCell ref="S28:AB2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3" name="1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97535-221C-466F-9176-443DCD6A2BF4}">
  <sheetPr codeName="Hoja6"/>
  <dimension ref="A1:CV159"/>
  <sheetViews>
    <sheetView topLeftCell="A13" workbookViewId="0">
      <selection activeCell="E24" sqref="E24"/>
    </sheetView>
  </sheetViews>
  <sheetFormatPr baseColWidth="10" defaultRowHeight="15.75" x14ac:dyDescent="0.25"/>
  <cols>
    <col min="1" max="1" width="25.7109375" style="123" customWidth="1"/>
    <col min="2" max="2" width="15.7109375" style="123" customWidth="1"/>
    <col min="3" max="4" width="11.42578125" style="123"/>
    <col min="5" max="5" width="26.5703125" style="123" customWidth="1"/>
    <col min="6" max="6" width="11.42578125" style="123"/>
    <col min="7" max="7" width="27.7109375" style="123" customWidth="1"/>
    <col min="8" max="18" width="11.42578125" style="123"/>
    <col min="19" max="19" width="15.7109375" style="123" customWidth="1"/>
    <col min="20" max="16384" width="11.42578125" style="123"/>
  </cols>
  <sheetData>
    <row r="1" spans="1:100" x14ac:dyDescent="0.25">
      <c r="C1" s="167" t="s">
        <v>152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9"/>
      <c r="S1" s="156" t="s">
        <v>151</v>
      </c>
      <c r="T1" s="157">
        <v>1</v>
      </c>
      <c r="U1" s="125">
        <v>42837</v>
      </c>
      <c r="V1" s="126">
        <v>0.47187499999999999</v>
      </c>
      <c r="W1" s="125">
        <v>42837</v>
      </c>
      <c r="X1" s="127">
        <v>0.49236111111111108</v>
      </c>
      <c r="CV1" s="123">
        <v>1</v>
      </c>
    </row>
    <row r="2" spans="1:100" x14ac:dyDescent="0.25">
      <c r="A2" s="123">
        <v>10</v>
      </c>
      <c r="C2" s="170" t="s">
        <v>142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2"/>
      <c r="S2" s="124"/>
      <c r="CV2" s="123">
        <v>0</v>
      </c>
    </row>
    <row r="3" spans="1:100" x14ac:dyDescent="0.25">
      <c r="C3" s="173" t="s">
        <v>143</v>
      </c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5"/>
      <c r="S3" s="124"/>
      <c r="CV3" s="123">
        <v>9</v>
      </c>
    </row>
    <row r="4" spans="1:100" x14ac:dyDescent="0.25">
      <c r="S4" s="124" t="s">
        <v>147</v>
      </c>
      <c r="T4" s="124">
        <v>2</v>
      </c>
      <c r="CV4" s="123">
        <v>0</v>
      </c>
    </row>
    <row r="8" spans="1:100" x14ac:dyDescent="0.25">
      <c r="C8" s="128" t="s">
        <v>71</v>
      </c>
      <c r="E8" s="124"/>
      <c r="I8" s="124" t="s">
        <v>63</v>
      </c>
      <c r="J8" s="124" t="s">
        <v>64</v>
      </c>
      <c r="K8" s="124" t="s">
        <v>65</v>
      </c>
      <c r="L8" s="124" t="s">
        <v>66</v>
      </c>
      <c r="M8" s="124" t="s">
        <v>67</v>
      </c>
      <c r="N8" s="124" t="s">
        <v>70</v>
      </c>
      <c r="O8" s="124" t="s">
        <v>68</v>
      </c>
      <c r="P8" s="124" t="s">
        <v>72</v>
      </c>
      <c r="Q8" s="124" t="s">
        <v>69</v>
      </c>
    </row>
    <row r="9" spans="1:100" x14ac:dyDescent="0.25">
      <c r="B9" s="124" t="s">
        <v>148</v>
      </c>
      <c r="C9" s="128" t="s">
        <v>114</v>
      </c>
      <c r="E9" s="124" t="s">
        <v>158</v>
      </c>
      <c r="I9" s="124" t="s">
        <v>108</v>
      </c>
      <c r="J9" s="124" t="s">
        <v>109</v>
      </c>
      <c r="K9" s="124" t="s">
        <v>110</v>
      </c>
      <c r="L9" s="124" t="s">
        <v>111</v>
      </c>
      <c r="M9" s="124" t="s">
        <v>112</v>
      </c>
      <c r="N9" s="124" t="s">
        <v>113</v>
      </c>
      <c r="O9" s="124" t="s">
        <v>105</v>
      </c>
      <c r="P9" s="124" t="s">
        <v>106</v>
      </c>
      <c r="Q9" s="124" t="s">
        <v>107</v>
      </c>
      <c r="S9" s="124" t="s">
        <v>164</v>
      </c>
    </row>
    <row r="10" spans="1:100" x14ac:dyDescent="0.25">
      <c r="B10" s="124" t="s">
        <v>103</v>
      </c>
      <c r="C10" s="129">
        <v>122.3</v>
      </c>
      <c r="E10" s="124">
        <v>122.3</v>
      </c>
      <c r="G10" s="128" t="s">
        <v>162</v>
      </c>
      <c r="H10" s="124">
        <v>-13.4</v>
      </c>
      <c r="I10" s="152">
        <v>117.3</v>
      </c>
      <c r="J10" s="150">
        <v>110.8</v>
      </c>
      <c r="K10" s="150">
        <v>117.3</v>
      </c>
      <c r="L10" s="150">
        <v>118.5</v>
      </c>
      <c r="M10" s="150">
        <v>119</v>
      </c>
      <c r="N10" s="150">
        <v>120.7</v>
      </c>
      <c r="O10" s="150">
        <v>121.5</v>
      </c>
      <c r="P10" s="150">
        <v>122.7</v>
      </c>
      <c r="Q10" s="151">
        <v>122.5</v>
      </c>
      <c r="S10" s="124">
        <v>118.9</v>
      </c>
      <c r="BB10" s="123">
        <v>117.3</v>
      </c>
      <c r="BC10" s="123">
        <v>110.8</v>
      </c>
      <c r="BD10" s="123">
        <v>117.3</v>
      </c>
      <c r="BE10" s="123">
        <v>118.5</v>
      </c>
      <c r="BF10" s="123">
        <v>119</v>
      </c>
      <c r="BG10" s="123">
        <v>120.7</v>
      </c>
      <c r="BH10" s="123">
        <v>121.5</v>
      </c>
      <c r="BI10" s="123">
        <v>122.7</v>
      </c>
      <c r="BJ10" s="123">
        <v>122.5</v>
      </c>
      <c r="BK10" s="123">
        <v>122.3</v>
      </c>
      <c r="CV10" s="123">
        <v>5</v>
      </c>
    </row>
    <row r="11" spans="1:100" x14ac:dyDescent="0.25">
      <c r="B11" s="124" t="s">
        <v>149</v>
      </c>
      <c r="C11" s="129">
        <v>122.6</v>
      </c>
      <c r="E11" s="124">
        <v>122.6</v>
      </c>
      <c r="I11" s="152">
        <v>122</v>
      </c>
      <c r="J11" s="150">
        <v>122.7</v>
      </c>
      <c r="K11" s="150">
        <v>122</v>
      </c>
      <c r="L11" s="150">
        <v>123.3</v>
      </c>
      <c r="M11" s="150">
        <v>122.2</v>
      </c>
      <c r="N11" s="150">
        <v>122.2</v>
      </c>
      <c r="O11" s="150">
        <v>122.9</v>
      </c>
      <c r="P11" s="150">
        <v>123.9</v>
      </c>
      <c r="Q11" s="151">
        <v>123.2</v>
      </c>
      <c r="S11" s="124">
        <v>123.9</v>
      </c>
      <c r="BB11" s="123">
        <v>122.04</v>
      </c>
      <c r="BC11" s="123">
        <v>122.74</v>
      </c>
      <c r="BD11" s="123">
        <v>122.04</v>
      </c>
      <c r="BE11" s="123">
        <v>123.25</v>
      </c>
      <c r="BF11" s="123">
        <v>122.18</v>
      </c>
      <c r="BG11" s="123">
        <v>122.2</v>
      </c>
      <c r="BH11" s="123">
        <v>122.89</v>
      </c>
      <c r="BI11" s="123">
        <v>123.85</v>
      </c>
      <c r="BJ11" s="123">
        <v>123.17</v>
      </c>
      <c r="BK11" s="123">
        <v>122.56</v>
      </c>
    </row>
    <row r="12" spans="1:100" x14ac:dyDescent="0.25">
      <c r="B12" s="124" t="s">
        <v>150</v>
      </c>
      <c r="C12" s="129">
        <v>120.7</v>
      </c>
      <c r="E12" s="124">
        <v>120.68</v>
      </c>
      <c r="I12" s="152">
        <v>117.3</v>
      </c>
      <c r="J12" s="150">
        <v>110.8</v>
      </c>
      <c r="K12" s="150">
        <v>117.3</v>
      </c>
      <c r="L12" s="150">
        <v>118.5</v>
      </c>
      <c r="M12" s="150">
        <v>119</v>
      </c>
      <c r="N12" s="150">
        <v>120.7</v>
      </c>
      <c r="O12" s="150">
        <v>121.5</v>
      </c>
      <c r="P12" s="150">
        <v>122.7</v>
      </c>
      <c r="Q12" s="151">
        <v>122.5</v>
      </c>
      <c r="S12" s="124">
        <v>110.8</v>
      </c>
      <c r="BB12" s="123">
        <v>95.53</v>
      </c>
      <c r="BC12" s="123">
        <v>76.400000000000006</v>
      </c>
      <c r="BD12" s="123">
        <v>95.53</v>
      </c>
      <c r="BE12" s="123">
        <v>96.89</v>
      </c>
      <c r="BF12" s="123">
        <v>100.66</v>
      </c>
      <c r="BG12" s="123">
        <v>111.19</v>
      </c>
      <c r="BH12" s="123">
        <v>116.91</v>
      </c>
      <c r="BI12" s="123">
        <v>121.76</v>
      </c>
      <c r="BJ12" s="123">
        <v>121.65</v>
      </c>
      <c r="BK12" s="123">
        <v>120.68</v>
      </c>
    </row>
    <row r="14" spans="1:100" x14ac:dyDescent="0.25">
      <c r="BB14" s="123">
        <v>22.427009728680247</v>
      </c>
      <c r="BC14" s="123">
        <v>15.643055255691056</v>
      </c>
      <c r="BD14" s="123">
        <v>22.427009728680247</v>
      </c>
      <c r="BE14" s="123">
        <v>29.416085950639012</v>
      </c>
      <c r="BF14" s="123">
        <v>27.147317495963826</v>
      </c>
      <c r="BG14" s="123">
        <v>31.338365112469127</v>
      </c>
      <c r="BH14" s="123">
        <v>35.365085811864638</v>
      </c>
      <c r="BI14" s="123">
        <v>53.156702514192588</v>
      </c>
      <c r="BJ14" s="123">
        <v>48.308072965595436</v>
      </c>
      <c r="BK14" s="123">
        <v>42.825485384607887</v>
      </c>
    </row>
    <row r="15" spans="1:100" x14ac:dyDescent="0.25">
      <c r="E15" s="153" t="s">
        <v>166</v>
      </c>
      <c r="F15" s="154">
        <v>30</v>
      </c>
    </row>
    <row r="16" spans="1:100" x14ac:dyDescent="0.25">
      <c r="C16" s="124" t="s">
        <v>158</v>
      </c>
      <c r="D16" s="124" t="s">
        <v>164</v>
      </c>
      <c r="E16" s="153" t="s">
        <v>167</v>
      </c>
      <c r="F16" s="155">
        <v>6.5</v>
      </c>
    </row>
    <row r="17" spans="1:74" x14ac:dyDescent="0.25">
      <c r="B17" s="124" t="s">
        <v>103</v>
      </c>
      <c r="C17" s="124">
        <v>122.3</v>
      </c>
      <c r="D17" s="124">
        <v>118.9</v>
      </c>
      <c r="E17" s="124" t="s">
        <v>168</v>
      </c>
      <c r="F17" s="124">
        <v>11.999999999999998</v>
      </c>
    </row>
    <row r="18" spans="1:74" x14ac:dyDescent="0.25">
      <c r="B18" s="124" t="s">
        <v>149</v>
      </c>
      <c r="C18" s="124">
        <v>122.6</v>
      </c>
      <c r="D18" s="124">
        <v>123.9</v>
      </c>
    </row>
    <row r="19" spans="1:74" x14ac:dyDescent="0.25">
      <c r="B19" s="124" t="s">
        <v>150</v>
      </c>
      <c r="C19" s="124">
        <v>120.68</v>
      </c>
      <c r="D19" s="124">
        <v>110.8</v>
      </c>
      <c r="AZ19" s="123" t="s">
        <v>163</v>
      </c>
      <c r="BA19" s="123">
        <v>5</v>
      </c>
    </row>
    <row r="20" spans="1:74" x14ac:dyDescent="0.25">
      <c r="B20" s="124" t="s">
        <v>160</v>
      </c>
      <c r="C20" s="124">
        <v>122.56</v>
      </c>
      <c r="BA20" s="123">
        <v>19</v>
      </c>
    </row>
    <row r="21" spans="1:74" x14ac:dyDescent="0.25">
      <c r="AZ21" s="123" t="s">
        <v>161</v>
      </c>
      <c r="BA21" s="123">
        <v>1</v>
      </c>
    </row>
    <row r="22" spans="1:74" x14ac:dyDescent="0.25">
      <c r="AZ22" s="123">
        <v>0</v>
      </c>
      <c r="BA22" s="123">
        <v>10</v>
      </c>
    </row>
    <row r="24" spans="1:74" x14ac:dyDescent="0.25">
      <c r="E24" s="124" t="s">
        <v>160</v>
      </c>
    </row>
    <row r="25" spans="1:74" x14ac:dyDescent="0.25">
      <c r="E25" s="124">
        <v>122.56</v>
      </c>
    </row>
    <row r="27" spans="1:74" x14ac:dyDescent="0.25">
      <c r="A27" s="123" t="s">
        <v>145</v>
      </c>
    </row>
    <row r="28" spans="1:74" x14ac:dyDescent="0.25">
      <c r="A28" s="123" t="s">
        <v>144</v>
      </c>
      <c r="C28" s="123" t="s">
        <v>157</v>
      </c>
      <c r="I28" s="123" t="s">
        <v>154</v>
      </c>
      <c r="J28" s="123" t="s">
        <v>154</v>
      </c>
      <c r="K28" s="123" t="s">
        <v>154</v>
      </c>
      <c r="L28" s="123" t="s">
        <v>154</v>
      </c>
      <c r="M28" s="123" t="s">
        <v>154</v>
      </c>
      <c r="N28" s="123" t="s">
        <v>154</v>
      </c>
      <c r="O28" s="123" t="s">
        <v>154</v>
      </c>
      <c r="P28" s="123" t="s">
        <v>154</v>
      </c>
      <c r="Q28" s="123" t="s">
        <v>154</v>
      </c>
      <c r="S28" s="176" t="s">
        <v>165</v>
      </c>
      <c r="T28" s="168"/>
      <c r="U28" s="168"/>
      <c r="V28" s="168"/>
      <c r="W28" s="168"/>
      <c r="X28" s="168"/>
      <c r="Y28" s="168"/>
      <c r="Z28" s="168"/>
      <c r="AA28" s="168"/>
      <c r="AB28" s="169"/>
      <c r="BB28" s="123" t="s">
        <v>154</v>
      </c>
      <c r="BC28" s="123" t="s">
        <v>154</v>
      </c>
      <c r="BD28" s="123" t="s">
        <v>154</v>
      </c>
      <c r="BE28" s="123" t="s">
        <v>154</v>
      </c>
      <c r="BF28" s="123" t="s">
        <v>154</v>
      </c>
      <c r="BG28" s="123" t="s">
        <v>154</v>
      </c>
      <c r="BH28" s="123" t="s">
        <v>154</v>
      </c>
      <c r="BI28" s="123" t="s">
        <v>154</v>
      </c>
      <c r="BJ28" s="123" t="s">
        <v>154</v>
      </c>
      <c r="BK28" s="123" t="s">
        <v>157</v>
      </c>
    </row>
    <row r="29" spans="1:74" x14ac:dyDescent="0.25">
      <c r="A29" s="123" t="s">
        <v>146</v>
      </c>
      <c r="C29" s="123">
        <v>10</v>
      </c>
      <c r="I29" s="123">
        <v>1</v>
      </c>
      <c r="J29" s="123">
        <v>2</v>
      </c>
      <c r="K29" s="123">
        <v>3</v>
      </c>
      <c r="L29" s="123">
        <v>4</v>
      </c>
      <c r="M29" s="123">
        <v>5</v>
      </c>
      <c r="N29" s="123">
        <v>6</v>
      </c>
      <c r="O29" s="123">
        <v>7</v>
      </c>
      <c r="P29" s="123">
        <v>8</v>
      </c>
      <c r="Q29" s="123">
        <v>9</v>
      </c>
      <c r="S29" s="124">
        <v>22.427009728680247</v>
      </c>
      <c r="T29" s="124">
        <v>15.643055255691056</v>
      </c>
      <c r="U29" s="124">
        <v>22.427009728680247</v>
      </c>
      <c r="V29" s="124">
        <v>29.416085950639012</v>
      </c>
      <c r="W29" s="124">
        <v>27.147317495963826</v>
      </c>
      <c r="X29" s="124">
        <v>31.338365112469127</v>
      </c>
      <c r="Y29" s="124">
        <v>35.365085811864638</v>
      </c>
      <c r="Z29" s="124">
        <v>53.156702514192588</v>
      </c>
      <c r="AA29" s="124">
        <v>48.308072965595436</v>
      </c>
      <c r="AB29" s="124">
        <v>42.825485384607887</v>
      </c>
      <c r="BB29" s="123">
        <v>1</v>
      </c>
      <c r="BC29" s="123">
        <v>2</v>
      </c>
      <c r="BD29" s="123">
        <v>3</v>
      </c>
      <c r="BE29" s="123">
        <v>4</v>
      </c>
      <c r="BF29" s="123">
        <v>5</v>
      </c>
      <c r="BG29" s="123">
        <v>6</v>
      </c>
      <c r="BH29" s="123">
        <v>7</v>
      </c>
      <c r="BI29" s="123">
        <v>8</v>
      </c>
      <c r="BJ29" s="123">
        <v>9</v>
      </c>
      <c r="BK29" s="123">
        <v>10</v>
      </c>
      <c r="BM29" s="124">
        <v>22.427009728680247</v>
      </c>
      <c r="BN29" s="124">
        <v>15.643055255691056</v>
      </c>
      <c r="BO29" s="124">
        <v>22.427009728680247</v>
      </c>
      <c r="BP29" s="124">
        <v>29.416085950639012</v>
      </c>
      <c r="BQ29" s="124">
        <v>27.147317495963826</v>
      </c>
      <c r="BR29" s="124">
        <v>31.338365112469127</v>
      </c>
      <c r="BS29" s="124">
        <v>35.365085811864638</v>
      </c>
      <c r="BT29" s="124">
        <v>53.156702514192588</v>
      </c>
      <c r="BU29" s="124">
        <v>48.308072965595436</v>
      </c>
      <c r="BV29" s="124">
        <v>42.825485384607887</v>
      </c>
    </row>
    <row r="30" spans="1:74" x14ac:dyDescent="0.25">
      <c r="A30" s="124" t="s">
        <v>156</v>
      </c>
      <c r="B30" s="124" t="s">
        <v>155</v>
      </c>
      <c r="C30" s="130" t="s">
        <v>71</v>
      </c>
      <c r="E30" s="124" t="s">
        <v>159</v>
      </c>
      <c r="F30" s="124" t="s">
        <v>71</v>
      </c>
      <c r="I30" s="130" t="s">
        <v>63</v>
      </c>
      <c r="J30" s="130" t="s">
        <v>64</v>
      </c>
      <c r="K30" s="130" t="s">
        <v>65</v>
      </c>
      <c r="L30" s="130" t="s">
        <v>66</v>
      </c>
      <c r="M30" s="130" t="s">
        <v>67</v>
      </c>
      <c r="N30" s="130" t="s">
        <v>70</v>
      </c>
      <c r="O30" s="130" t="s">
        <v>68</v>
      </c>
      <c r="P30" s="130" t="s">
        <v>72</v>
      </c>
      <c r="Q30" s="130" t="s">
        <v>69</v>
      </c>
      <c r="S30" s="124" t="s">
        <v>63</v>
      </c>
      <c r="T30" s="124" t="s">
        <v>64</v>
      </c>
      <c r="U30" s="124" t="s">
        <v>65</v>
      </c>
      <c r="V30" s="124" t="s">
        <v>66</v>
      </c>
      <c r="W30" s="124" t="s">
        <v>67</v>
      </c>
      <c r="X30" s="124" t="s">
        <v>70</v>
      </c>
      <c r="Y30" s="124" t="s">
        <v>68</v>
      </c>
      <c r="Z30" s="124" t="s">
        <v>72</v>
      </c>
      <c r="AA30" s="124" t="s">
        <v>69</v>
      </c>
      <c r="AB30" s="124" t="s">
        <v>71</v>
      </c>
      <c r="BB30" s="131" t="s">
        <v>63</v>
      </c>
      <c r="BC30" s="131" t="s">
        <v>64</v>
      </c>
      <c r="BD30" s="131" t="s">
        <v>65</v>
      </c>
      <c r="BE30" s="131" t="s">
        <v>66</v>
      </c>
      <c r="BF30" s="131" t="s">
        <v>67</v>
      </c>
      <c r="BG30" s="131" t="s">
        <v>70</v>
      </c>
      <c r="BH30" s="131" t="s">
        <v>68</v>
      </c>
      <c r="BI30" s="131" t="s">
        <v>72</v>
      </c>
      <c r="BJ30" s="131" t="s">
        <v>69</v>
      </c>
      <c r="BK30" s="131" t="s">
        <v>71</v>
      </c>
      <c r="BM30" s="124" t="s">
        <v>63</v>
      </c>
      <c r="BN30" s="124" t="s">
        <v>64</v>
      </c>
      <c r="BO30" s="124" t="s">
        <v>65</v>
      </c>
      <c r="BP30" s="124" t="s">
        <v>66</v>
      </c>
      <c r="BQ30" s="124" t="s">
        <v>67</v>
      </c>
      <c r="BR30" s="124" t="s">
        <v>70</v>
      </c>
      <c r="BS30" s="124" t="s">
        <v>68</v>
      </c>
      <c r="BT30" s="124" t="s">
        <v>72</v>
      </c>
      <c r="BU30" s="124" t="s">
        <v>69</v>
      </c>
      <c r="BV30" s="124" t="s">
        <v>71</v>
      </c>
    </row>
    <row r="31" spans="1:74" x14ac:dyDescent="0.25">
      <c r="A31" s="132">
        <v>42837</v>
      </c>
      <c r="B31" s="133">
        <v>0.45833333333333331</v>
      </c>
      <c r="C31" s="134">
        <v>31.58</v>
      </c>
      <c r="E31" s="135" t="s">
        <v>169</v>
      </c>
      <c r="F31" s="135">
        <v>31.58</v>
      </c>
      <c r="I31" s="139">
        <v>23.61</v>
      </c>
      <c r="J31" s="139">
        <v>23.08</v>
      </c>
      <c r="K31" s="139">
        <v>23.61</v>
      </c>
      <c r="L31" s="139">
        <v>23.43</v>
      </c>
      <c r="M31" s="139">
        <v>25.22</v>
      </c>
      <c r="N31" s="139">
        <v>27.07</v>
      </c>
      <c r="O31" s="139">
        <v>23.48</v>
      </c>
      <c r="P31" s="139">
        <v>23.81</v>
      </c>
      <c r="Q31" s="139">
        <v>23.51</v>
      </c>
      <c r="S31" s="139">
        <v>0</v>
      </c>
      <c r="T31" s="139">
        <v>0</v>
      </c>
      <c r="U31" s="139">
        <v>0</v>
      </c>
      <c r="V31" s="139">
        <v>0</v>
      </c>
      <c r="W31" s="139">
        <v>0</v>
      </c>
      <c r="X31" s="139">
        <v>0</v>
      </c>
      <c r="Y31" s="139">
        <v>0</v>
      </c>
      <c r="Z31" s="139">
        <v>0</v>
      </c>
      <c r="AA31" s="139">
        <v>0</v>
      </c>
      <c r="AB31" s="139">
        <v>0</v>
      </c>
      <c r="BB31" s="136">
        <v>23.61</v>
      </c>
      <c r="BC31" s="136">
        <v>23.08</v>
      </c>
      <c r="BD31" s="136">
        <v>23.61</v>
      </c>
      <c r="BE31" s="136">
        <v>23.43</v>
      </c>
      <c r="BF31" s="136">
        <v>25.22</v>
      </c>
      <c r="BG31" s="136">
        <v>27.07</v>
      </c>
      <c r="BH31" s="136">
        <v>23.48</v>
      </c>
      <c r="BI31" s="136">
        <v>23.81</v>
      </c>
      <c r="BJ31" s="136">
        <v>23.51</v>
      </c>
      <c r="BK31" s="136">
        <v>31.58</v>
      </c>
      <c r="BM31" s="139">
        <v>0</v>
      </c>
      <c r="BN31" s="139">
        <v>0</v>
      </c>
      <c r="BO31" s="139">
        <v>0</v>
      </c>
      <c r="BP31" s="139">
        <v>0</v>
      </c>
      <c r="BQ31" s="139">
        <v>0</v>
      </c>
      <c r="BR31" s="139">
        <v>0</v>
      </c>
      <c r="BS31" s="139">
        <v>0</v>
      </c>
      <c r="BT31" s="139">
        <v>0</v>
      </c>
      <c r="BU31" s="139">
        <v>0</v>
      </c>
      <c r="BV31" s="139">
        <v>0</v>
      </c>
    </row>
    <row r="32" spans="1:74" x14ac:dyDescent="0.25">
      <c r="A32" s="137">
        <v>42837</v>
      </c>
      <c r="B32" s="138">
        <v>0.45868055555555554</v>
      </c>
      <c r="C32" s="139">
        <v>31.33</v>
      </c>
      <c r="E32" s="140" t="s">
        <v>169</v>
      </c>
      <c r="F32" s="140">
        <v>31.33</v>
      </c>
      <c r="I32" s="139">
        <v>23.53</v>
      </c>
      <c r="J32" s="139">
        <v>22.95</v>
      </c>
      <c r="K32" s="139">
        <v>23.53</v>
      </c>
      <c r="L32" s="139">
        <v>23.32</v>
      </c>
      <c r="M32" s="139">
        <v>25.95</v>
      </c>
      <c r="N32" s="139">
        <v>26.74</v>
      </c>
      <c r="O32" s="139">
        <v>23.75</v>
      </c>
      <c r="P32" s="139">
        <v>24</v>
      </c>
      <c r="Q32" s="139">
        <v>23.58</v>
      </c>
      <c r="S32" s="139">
        <v>8.7492334431232792E-11</v>
      </c>
      <c r="T32" s="139">
        <v>7.6554373084101334E-11</v>
      </c>
      <c r="U32" s="139">
        <v>8.7492334431232792E-11</v>
      </c>
      <c r="V32" s="139">
        <v>8.3362360627552749E-11</v>
      </c>
      <c r="W32" s="139">
        <v>1.5274605566077598E-10</v>
      </c>
      <c r="X32" s="139">
        <v>1.8321878732391611E-10</v>
      </c>
      <c r="Y32" s="139">
        <v>9.2038600073447841E-11</v>
      </c>
      <c r="Z32" s="139">
        <v>9.7492229987902301E-11</v>
      </c>
      <c r="AA32" s="139">
        <v>8.8505447915870997E-11</v>
      </c>
      <c r="AB32" s="139">
        <v>5.2719344819562893E-10</v>
      </c>
      <c r="BB32" s="136">
        <v>23.53</v>
      </c>
      <c r="BC32" s="136">
        <v>22.95</v>
      </c>
      <c r="BD32" s="136">
        <v>23.53</v>
      </c>
      <c r="BE32" s="136">
        <v>23.32</v>
      </c>
      <c r="BF32" s="136">
        <v>25.95</v>
      </c>
      <c r="BG32" s="136">
        <v>26.74</v>
      </c>
      <c r="BH32" s="136">
        <v>23.75</v>
      </c>
      <c r="BI32" s="136">
        <v>24</v>
      </c>
      <c r="BJ32" s="136">
        <v>23.58</v>
      </c>
      <c r="BK32" s="136">
        <v>31.33</v>
      </c>
      <c r="BM32" s="139">
        <v>8.7492334431232792E-11</v>
      </c>
      <c r="BN32" s="139">
        <v>7.6554373084101334E-11</v>
      </c>
      <c r="BO32" s="139">
        <v>8.7492334431232792E-11</v>
      </c>
      <c r="BP32" s="139">
        <v>8.3362360627552749E-11</v>
      </c>
      <c r="BQ32" s="139">
        <v>1.5274605566077598E-10</v>
      </c>
      <c r="BR32" s="139">
        <v>1.8321878732391611E-10</v>
      </c>
      <c r="BS32" s="139">
        <v>9.2038600073447841E-11</v>
      </c>
      <c r="BT32" s="139">
        <v>9.7492229987902301E-11</v>
      </c>
      <c r="BU32" s="139">
        <v>8.8505447915870997E-11</v>
      </c>
      <c r="BV32" s="139">
        <v>5.2719344819562893E-10</v>
      </c>
    </row>
    <row r="33" spans="1:74" x14ac:dyDescent="0.25">
      <c r="A33" s="137">
        <v>42837</v>
      </c>
      <c r="B33" s="138">
        <v>0.45902777777777781</v>
      </c>
      <c r="C33" s="139">
        <v>31.11</v>
      </c>
      <c r="E33" s="140" t="s">
        <v>169</v>
      </c>
      <c r="F33" s="140">
        <v>31.11</v>
      </c>
      <c r="I33" s="139">
        <v>24.33</v>
      </c>
      <c r="J33" s="139">
        <v>22.85</v>
      </c>
      <c r="K33" s="139">
        <v>24.33</v>
      </c>
      <c r="L33" s="139">
        <v>24.6</v>
      </c>
      <c r="M33" s="139">
        <v>25.82</v>
      </c>
      <c r="N33" s="139">
        <v>26.79</v>
      </c>
      <c r="O33" s="139">
        <v>25.57</v>
      </c>
      <c r="P33" s="139">
        <v>24.19</v>
      </c>
      <c r="Q33" s="139">
        <v>23.95</v>
      </c>
      <c r="S33" s="139">
        <v>1.926812564195564E-10</v>
      </c>
      <c r="T33" s="139">
        <v>1.5136615588882284E-10</v>
      </c>
      <c r="U33" s="139">
        <v>1.926812564195564E-10</v>
      </c>
      <c r="V33" s="139">
        <v>1.9529841755596928E-10</v>
      </c>
      <c r="W33" s="139">
        <v>3.0098762513699257E-10</v>
      </c>
      <c r="X33" s="139">
        <v>3.6855914821520356E-10</v>
      </c>
      <c r="Y33" s="139">
        <v>2.3198766605516553E-10</v>
      </c>
      <c r="Z33" s="139">
        <v>1.9934433387318816E-10</v>
      </c>
      <c r="AA33" s="139">
        <v>1.8488169357541749E-10</v>
      </c>
      <c r="AB33" s="139">
        <v>1.0283460672345794E-9</v>
      </c>
      <c r="BB33" s="136">
        <v>24.33</v>
      </c>
      <c r="BC33" s="136">
        <v>22.85</v>
      </c>
      <c r="BD33" s="136">
        <v>24.33</v>
      </c>
      <c r="BE33" s="136">
        <v>24.6</v>
      </c>
      <c r="BF33" s="136">
        <v>25.82</v>
      </c>
      <c r="BG33" s="136">
        <v>26.79</v>
      </c>
      <c r="BH33" s="136">
        <v>25.57</v>
      </c>
      <c r="BI33" s="136">
        <v>24.19</v>
      </c>
      <c r="BJ33" s="136">
        <v>23.95</v>
      </c>
      <c r="BK33" s="136">
        <v>31.11</v>
      </c>
      <c r="BM33" s="139">
        <v>1.926812564195564E-10</v>
      </c>
      <c r="BN33" s="139">
        <v>1.5136615588882284E-10</v>
      </c>
      <c r="BO33" s="139">
        <v>1.926812564195564E-10</v>
      </c>
      <c r="BP33" s="139">
        <v>1.9529841755596928E-10</v>
      </c>
      <c r="BQ33" s="139">
        <v>3.0098762513699257E-10</v>
      </c>
      <c r="BR33" s="139">
        <v>3.6855914821520356E-10</v>
      </c>
      <c r="BS33" s="139">
        <v>2.3198766605516553E-10</v>
      </c>
      <c r="BT33" s="139">
        <v>1.9934433387318816E-10</v>
      </c>
      <c r="BU33" s="139">
        <v>1.8488169357541749E-10</v>
      </c>
      <c r="BV33" s="139">
        <v>1.0283460672345794E-9</v>
      </c>
    </row>
    <row r="34" spans="1:74" x14ac:dyDescent="0.25">
      <c r="A34" s="137">
        <v>42837</v>
      </c>
      <c r="B34" s="138">
        <v>0.45937500000000003</v>
      </c>
      <c r="C34" s="139">
        <v>30.88</v>
      </c>
      <c r="E34" s="140" t="s">
        <v>169</v>
      </c>
      <c r="F34" s="140">
        <v>30.88</v>
      </c>
      <c r="I34" s="139">
        <v>23.96</v>
      </c>
      <c r="J34" s="139">
        <v>25.03</v>
      </c>
      <c r="K34" s="139">
        <v>23.96</v>
      </c>
      <c r="L34" s="139">
        <v>25.63</v>
      </c>
      <c r="M34" s="139">
        <v>25.38</v>
      </c>
      <c r="N34" s="139">
        <v>26.7</v>
      </c>
      <c r="O34" s="139">
        <v>24.08</v>
      </c>
      <c r="P34" s="139">
        <v>24.11</v>
      </c>
      <c r="Q34" s="139">
        <v>23.84</v>
      </c>
      <c r="S34" s="139">
        <v>2.8927967227040273E-10</v>
      </c>
      <c r="T34" s="139">
        <v>2.7495236313962909E-10</v>
      </c>
      <c r="U34" s="139">
        <v>2.8927967227040273E-10</v>
      </c>
      <c r="V34" s="139">
        <v>3.3719436897804676E-10</v>
      </c>
      <c r="W34" s="139">
        <v>4.3494604137794432E-10</v>
      </c>
      <c r="X34" s="139">
        <v>5.5009817560025388E-10</v>
      </c>
      <c r="Y34" s="139">
        <v>3.3129241192303397E-10</v>
      </c>
      <c r="Z34" s="139">
        <v>2.9933742735482514E-10</v>
      </c>
      <c r="AA34" s="139">
        <v>2.7884753441558087E-10</v>
      </c>
      <c r="AB34" s="139">
        <v>1.5036484640627183E-9</v>
      </c>
      <c r="BB34" s="136">
        <v>23.96</v>
      </c>
      <c r="BC34" s="136">
        <v>25.03</v>
      </c>
      <c r="BD34" s="136">
        <v>23.96</v>
      </c>
      <c r="BE34" s="136">
        <v>25.63</v>
      </c>
      <c r="BF34" s="136">
        <v>25.38</v>
      </c>
      <c r="BG34" s="136">
        <v>26.7</v>
      </c>
      <c r="BH34" s="136">
        <v>24.08</v>
      </c>
      <c r="BI34" s="136">
        <v>24.11</v>
      </c>
      <c r="BJ34" s="136">
        <v>23.84</v>
      </c>
      <c r="BK34" s="136">
        <v>30.88</v>
      </c>
      <c r="BM34" s="139">
        <v>2.8927967227040273E-10</v>
      </c>
      <c r="BN34" s="139">
        <v>2.7495236313962909E-10</v>
      </c>
      <c r="BO34" s="139">
        <v>2.8927967227040273E-10</v>
      </c>
      <c r="BP34" s="139">
        <v>3.3719436897804676E-10</v>
      </c>
      <c r="BQ34" s="139">
        <v>4.3494604137794432E-10</v>
      </c>
      <c r="BR34" s="139">
        <v>5.5009817560025388E-10</v>
      </c>
      <c r="BS34" s="139">
        <v>3.3129241192303397E-10</v>
      </c>
      <c r="BT34" s="139">
        <v>2.9933742735482514E-10</v>
      </c>
      <c r="BU34" s="139">
        <v>2.7884753441558087E-10</v>
      </c>
      <c r="BV34" s="139">
        <v>1.5036484640627183E-9</v>
      </c>
    </row>
    <row r="35" spans="1:74" x14ac:dyDescent="0.25">
      <c r="A35" s="137">
        <v>42837</v>
      </c>
      <c r="B35" s="138">
        <v>0.4597222222222222</v>
      </c>
      <c r="C35" s="139">
        <v>30.66</v>
      </c>
      <c r="E35" s="140" t="s">
        <v>169</v>
      </c>
      <c r="F35" s="140">
        <v>30.66</v>
      </c>
      <c r="I35" s="139">
        <v>24.98</v>
      </c>
      <c r="J35" s="139">
        <v>25.46</v>
      </c>
      <c r="K35" s="139">
        <v>24.98</v>
      </c>
      <c r="L35" s="139">
        <v>25.7</v>
      </c>
      <c r="M35" s="139">
        <v>25.01</v>
      </c>
      <c r="N35" s="139">
        <v>27.87</v>
      </c>
      <c r="O35" s="139">
        <v>24.33</v>
      </c>
      <c r="P35" s="139">
        <v>28.81</v>
      </c>
      <c r="Q35" s="139">
        <v>24.07</v>
      </c>
      <c r="S35" s="139">
        <v>4.1145119990510153E-10</v>
      </c>
      <c r="T35" s="139">
        <v>4.1140125228003157E-10</v>
      </c>
      <c r="U35" s="139">
        <v>4.1145119990510153E-10</v>
      </c>
      <c r="V35" s="139">
        <v>4.8139594413437683E-10</v>
      </c>
      <c r="W35" s="139">
        <v>5.5796442158532612E-10</v>
      </c>
      <c r="X35" s="139">
        <v>7.877657885716569E-10</v>
      </c>
      <c r="Y35" s="139">
        <v>4.364813339113576E-10</v>
      </c>
      <c r="Z35" s="139">
        <v>5.9443796744074736E-10</v>
      </c>
      <c r="AA35" s="139">
        <v>3.7792388570583561E-10</v>
      </c>
      <c r="AB35" s="139">
        <v>1.9554732009238684E-9</v>
      </c>
      <c r="BB35" s="136">
        <v>24.98</v>
      </c>
      <c r="BC35" s="136">
        <v>25.46</v>
      </c>
      <c r="BD35" s="136">
        <v>24.98</v>
      </c>
      <c r="BE35" s="136">
        <v>25.7</v>
      </c>
      <c r="BF35" s="136">
        <v>25.01</v>
      </c>
      <c r="BG35" s="136">
        <v>27.87</v>
      </c>
      <c r="BH35" s="136">
        <v>24.33</v>
      </c>
      <c r="BI35" s="136">
        <v>28.81</v>
      </c>
      <c r="BJ35" s="136">
        <v>24.07</v>
      </c>
      <c r="BK35" s="136">
        <v>30.66</v>
      </c>
      <c r="BM35" s="139">
        <v>4.1145119990510153E-10</v>
      </c>
      <c r="BN35" s="139">
        <v>4.1140125228003157E-10</v>
      </c>
      <c r="BO35" s="139">
        <v>4.1145119990510153E-10</v>
      </c>
      <c r="BP35" s="139">
        <v>4.8139594413437683E-10</v>
      </c>
      <c r="BQ35" s="139">
        <v>5.5796442158532612E-10</v>
      </c>
      <c r="BR35" s="139">
        <v>7.877657885716569E-10</v>
      </c>
      <c r="BS35" s="139">
        <v>4.364813339113576E-10</v>
      </c>
      <c r="BT35" s="139">
        <v>5.9443796744074736E-10</v>
      </c>
      <c r="BU35" s="139">
        <v>3.7792388570583561E-10</v>
      </c>
      <c r="BV35" s="139">
        <v>1.9554732009238684E-9</v>
      </c>
    </row>
    <row r="36" spans="1:74" x14ac:dyDescent="0.25">
      <c r="A36" s="137">
        <v>42837</v>
      </c>
      <c r="B36" s="138">
        <v>0.46006944444444442</v>
      </c>
      <c r="C36" s="139">
        <v>30.47</v>
      </c>
      <c r="E36" s="140" t="s">
        <v>169</v>
      </c>
      <c r="F36" s="140">
        <v>30.47</v>
      </c>
      <c r="I36" s="139">
        <v>25.04</v>
      </c>
      <c r="J36" s="139">
        <v>26.09</v>
      </c>
      <c r="K36" s="139">
        <v>25.04</v>
      </c>
      <c r="L36" s="139">
        <v>26.27</v>
      </c>
      <c r="M36" s="139">
        <v>24.78</v>
      </c>
      <c r="N36" s="139">
        <v>27.51</v>
      </c>
      <c r="O36" s="139">
        <v>24.4</v>
      </c>
      <c r="P36" s="139">
        <v>25.25</v>
      </c>
      <c r="Q36" s="139">
        <v>24.18</v>
      </c>
      <c r="S36" s="139">
        <v>5.3532230278676567E-10</v>
      </c>
      <c r="T36" s="139">
        <v>5.6915148344876249E-10</v>
      </c>
      <c r="U36" s="139">
        <v>5.3532230278676567E-10</v>
      </c>
      <c r="V36" s="139">
        <v>6.4582175957236772E-10</v>
      </c>
      <c r="W36" s="139">
        <v>6.7463732469937603E-10</v>
      </c>
      <c r="X36" s="139">
        <v>1.0065268411507832E-9</v>
      </c>
      <c r="Y36" s="139">
        <v>5.4337943838646957E-10</v>
      </c>
      <c r="Z36" s="139">
        <v>7.2444594559901085E-10</v>
      </c>
      <c r="AA36" s="139">
        <v>4.7954173625264691E-10</v>
      </c>
      <c r="AB36" s="139">
        <v>2.3879571603117146E-9</v>
      </c>
      <c r="BB36" s="136">
        <v>25.04</v>
      </c>
      <c r="BC36" s="136">
        <v>26.09</v>
      </c>
      <c r="BD36" s="136">
        <v>25.04</v>
      </c>
      <c r="BE36" s="136">
        <v>26.27</v>
      </c>
      <c r="BF36" s="136">
        <v>24.78</v>
      </c>
      <c r="BG36" s="136">
        <v>27.51</v>
      </c>
      <c r="BH36" s="136">
        <v>24.4</v>
      </c>
      <c r="BI36" s="136">
        <v>25.25</v>
      </c>
      <c r="BJ36" s="136">
        <v>24.18</v>
      </c>
      <c r="BK36" s="136">
        <v>30.47</v>
      </c>
      <c r="BM36" s="139">
        <v>5.3532230278676567E-10</v>
      </c>
      <c r="BN36" s="139">
        <v>5.6915148344876249E-10</v>
      </c>
      <c r="BO36" s="139">
        <v>5.3532230278676567E-10</v>
      </c>
      <c r="BP36" s="139">
        <v>6.4582175957236772E-10</v>
      </c>
      <c r="BQ36" s="139">
        <v>6.7463732469937603E-10</v>
      </c>
      <c r="BR36" s="139">
        <v>1.0065268411507832E-9</v>
      </c>
      <c r="BS36" s="139">
        <v>5.4337943838646957E-10</v>
      </c>
      <c r="BT36" s="139">
        <v>7.2444594559901085E-10</v>
      </c>
      <c r="BU36" s="139">
        <v>4.7954173625264691E-10</v>
      </c>
      <c r="BV36" s="139">
        <v>2.3879571603117146E-9</v>
      </c>
    </row>
    <row r="37" spans="1:74" x14ac:dyDescent="0.25">
      <c r="A37" s="137">
        <v>42837</v>
      </c>
      <c r="B37" s="138">
        <v>0.4604166666666667</v>
      </c>
      <c r="C37" s="139">
        <v>30.28</v>
      </c>
      <c r="E37" s="140" t="s">
        <v>169</v>
      </c>
      <c r="F37" s="140">
        <v>30.28</v>
      </c>
      <c r="I37" s="139">
        <v>24.59</v>
      </c>
      <c r="J37" s="139">
        <v>25.54</v>
      </c>
      <c r="K37" s="139">
        <v>24.59</v>
      </c>
      <c r="L37" s="139">
        <v>25.47</v>
      </c>
      <c r="M37" s="139">
        <v>24.72</v>
      </c>
      <c r="N37" s="139">
        <v>29.8</v>
      </c>
      <c r="O37" s="139">
        <v>24.24</v>
      </c>
      <c r="P37" s="139">
        <v>24.94</v>
      </c>
      <c r="Q37" s="139">
        <v>25.04</v>
      </c>
      <c r="S37" s="139">
        <v>6.4700091392829216E-10</v>
      </c>
      <c r="T37" s="139">
        <v>7.0813714683672622E-10</v>
      </c>
      <c r="U37" s="139">
        <v>6.4700091392829216E-10</v>
      </c>
      <c r="V37" s="139">
        <v>7.8258519588770343E-10</v>
      </c>
      <c r="W37" s="139">
        <v>7.8970941556980113E-10</v>
      </c>
      <c r="X37" s="139">
        <v>1.3771819618012427E-9</v>
      </c>
      <c r="Y37" s="139">
        <v>6.4641093404996949E-10</v>
      </c>
      <c r="Z37" s="139">
        <v>8.4549739793581961E-10</v>
      </c>
      <c r="AA37" s="139">
        <v>6.0341283913431105E-10</v>
      </c>
      <c r="AB37" s="139">
        <v>2.8019282421678816E-9</v>
      </c>
      <c r="BB37" s="136">
        <v>24.59</v>
      </c>
      <c r="BC37" s="136">
        <v>25.54</v>
      </c>
      <c r="BD37" s="136">
        <v>24.59</v>
      </c>
      <c r="BE37" s="136">
        <v>25.47</v>
      </c>
      <c r="BF37" s="136">
        <v>24.72</v>
      </c>
      <c r="BG37" s="136">
        <v>29.8</v>
      </c>
      <c r="BH37" s="136">
        <v>24.24</v>
      </c>
      <c r="BI37" s="136">
        <v>24.94</v>
      </c>
      <c r="BJ37" s="136">
        <v>25.04</v>
      </c>
      <c r="BK37" s="136">
        <v>30.28</v>
      </c>
      <c r="BM37" s="139">
        <v>6.4700091392829216E-10</v>
      </c>
      <c r="BN37" s="139">
        <v>7.0813714683672622E-10</v>
      </c>
      <c r="BO37" s="139">
        <v>6.4700091392829216E-10</v>
      </c>
      <c r="BP37" s="139">
        <v>7.8258519588770343E-10</v>
      </c>
      <c r="BQ37" s="139">
        <v>7.8970941556980113E-10</v>
      </c>
      <c r="BR37" s="139">
        <v>1.3771819618012427E-9</v>
      </c>
      <c r="BS37" s="139">
        <v>6.4641093404996949E-10</v>
      </c>
      <c r="BT37" s="139">
        <v>8.4549739793581961E-10</v>
      </c>
      <c r="BU37" s="139">
        <v>6.0341283913431105E-10</v>
      </c>
      <c r="BV37" s="139">
        <v>2.8019282421678816E-9</v>
      </c>
    </row>
    <row r="38" spans="1:74" x14ac:dyDescent="0.25">
      <c r="A38" s="137">
        <v>42837</v>
      </c>
      <c r="B38" s="138">
        <v>0.46076388888888892</v>
      </c>
      <c r="C38" s="139">
        <v>30.09</v>
      </c>
      <c r="E38" s="140" t="s">
        <v>169</v>
      </c>
      <c r="F38" s="140">
        <v>30.09</v>
      </c>
      <c r="I38" s="139">
        <v>24.27</v>
      </c>
      <c r="J38" s="139">
        <v>25.06</v>
      </c>
      <c r="K38" s="139">
        <v>24.27</v>
      </c>
      <c r="L38" s="139">
        <v>24.85</v>
      </c>
      <c r="M38" s="139">
        <v>24.59</v>
      </c>
      <c r="N38" s="139">
        <v>28.55</v>
      </c>
      <c r="O38" s="139">
        <v>24.89</v>
      </c>
      <c r="P38" s="139">
        <v>24.99</v>
      </c>
      <c r="Q38" s="139">
        <v>27.71</v>
      </c>
      <c r="S38" s="139">
        <v>7.5074658980103745E-10</v>
      </c>
      <c r="T38" s="139">
        <v>8.3258001275084576E-10</v>
      </c>
      <c r="U38" s="139">
        <v>7.5074658980103745E-10</v>
      </c>
      <c r="V38" s="139">
        <v>9.0115388117078612E-10</v>
      </c>
      <c r="W38" s="139">
        <v>9.0138802671132762E-10</v>
      </c>
      <c r="X38" s="139">
        <v>1.6551340904364443E-9</v>
      </c>
      <c r="Y38" s="139">
        <v>7.6607672187023921E-10</v>
      </c>
      <c r="Z38" s="139">
        <v>9.6795056002805628E-10</v>
      </c>
      <c r="AA38" s="139">
        <v>8.3248378249157801E-10</v>
      </c>
      <c r="AB38" s="139">
        <v>3.1981789074081178E-9</v>
      </c>
      <c r="BB38" s="136">
        <v>24.27</v>
      </c>
      <c r="BC38" s="136">
        <v>25.06</v>
      </c>
      <c r="BD38" s="136">
        <v>24.27</v>
      </c>
      <c r="BE38" s="136">
        <v>24.85</v>
      </c>
      <c r="BF38" s="136">
        <v>24.59</v>
      </c>
      <c r="BG38" s="136">
        <v>28.55</v>
      </c>
      <c r="BH38" s="136">
        <v>24.89</v>
      </c>
      <c r="BI38" s="136">
        <v>24.99</v>
      </c>
      <c r="BJ38" s="136">
        <v>27.71</v>
      </c>
      <c r="BK38" s="136">
        <v>30.09</v>
      </c>
      <c r="BM38" s="139">
        <v>7.5074658980103745E-10</v>
      </c>
      <c r="BN38" s="139">
        <v>8.3258001275084576E-10</v>
      </c>
      <c r="BO38" s="139">
        <v>7.5074658980103745E-10</v>
      </c>
      <c r="BP38" s="139">
        <v>9.0115388117078612E-10</v>
      </c>
      <c r="BQ38" s="139">
        <v>9.0138802671132762E-10</v>
      </c>
      <c r="BR38" s="139">
        <v>1.6551340904364443E-9</v>
      </c>
      <c r="BS38" s="139">
        <v>7.6607672187023921E-10</v>
      </c>
      <c r="BT38" s="139">
        <v>9.6795056002805628E-10</v>
      </c>
      <c r="BU38" s="139">
        <v>8.3248378249157801E-10</v>
      </c>
      <c r="BV38" s="139">
        <v>3.1981789074081178E-9</v>
      </c>
    </row>
    <row r="39" spans="1:74" x14ac:dyDescent="0.25">
      <c r="A39" s="137">
        <v>42837</v>
      </c>
      <c r="B39" s="138">
        <v>0.46111111111111108</v>
      </c>
      <c r="C39" s="139">
        <v>30.03</v>
      </c>
      <c r="E39" s="140" t="s">
        <v>169</v>
      </c>
      <c r="F39" s="140">
        <v>30.03</v>
      </c>
      <c r="I39" s="139">
        <v>24.13</v>
      </c>
      <c r="J39" s="139">
        <v>25.33</v>
      </c>
      <c r="K39" s="139">
        <v>24.13</v>
      </c>
      <c r="L39" s="139">
        <v>24.4</v>
      </c>
      <c r="M39" s="139">
        <v>24.45</v>
      </c>
      <c r="N39" s="139">
        <v>27.29</v>
      </c>
      <c r="O39" s="139">
        <v>23.99</v>
      </c>
      <c r="P39" s="139">
        <v>26.2</v>
      </c>
      <c r="Q39" s="139">
        <v>26.99</v>
      </c>
      <c r="S39" s="139">
        <v>8.5120123043147376E-10</v>
      </c>
      <c r="T39" s="139">
        <v>9.6500501968118051E-10</v>
      </c>
      <c r="U39" s="139">
        <v>8.5120123043147376E-10</v>
      </c>
      <c r="V39" s="139">
        <v>1.0080519856458981E-9</v>
      </c>
      <c r="W39" s="139">
        <v>1.0095239528976787E-9</v>
      </c>
      <c r="X39" s="139">
        <v>1.8630893956834546E-9</v>
      </c>
      <c r="Y39" s="139">
        <v>8.6334472595137195E-10</v>
      </c>
      <c r="Z39" s="139">
        <v>1.1297473884928706E-9</v>
      </c>
      <c r="AA39" s="139">
        <v>1.0265589654869021E-9</v>
      </c>
      <c r="AB39" s="139">
        <v>3.5889928097022827E-9</v>
      </c>
      <c r="BB39" s="136">
        <v>24.13</v>
      </c>
      <c r="BC39" s="136">
        <v>25.33</v>
      </c>
      <c r="BD39" s="136">
        <v>24.13</v>
      </c>
      <c r="BE39" s="136">
        <v>24.4</v>
      </c>
      <c r="BF39" s="136">
        <v>24.45</v>
      </c>
      <c r="BG39" s="136">
        <v>27.29</v>
      </c>
      <c r="BH39" s="136">
        <v>23.99</v>
      </c>
      <c r="BI39" s="136">
        <v>26.2</v>
      </c>
      <c r="BJ39" s="136">
        <v>26.99</v>
      </c>
      <c r="BK39" s="136">
        <v>30.03</v>
      </c>
      <c r="BM39" s="139">
        <v>8.5120123043147376E-10</v>
      </c>
      <c r="BN39" s="139">
        <v>9.6500501968118051E-10</v>
      </c>
      <c r="BO39" s="139">
        <v>8.5120123043147376E-10</v>
      </c>
      <c r="BP39" s="139">
        <v>1.0080519856458981E-9</v>
      </c>
      <c r="BQ39" s="139">
        <v>1.0095239528976787E-9</v>
      </c>
      <c r="BR39" s="139">
        <v>1.8630893956834546E-9</v>
      </c>
      <c r="BS39" s="139">
        <v>8.6334472595137195E-10</v>
      </c>
      <c r="BT39" s="139">
        <v>1.1297473884928706E-9</v>
      </c>
      <c r="BU39" s="139">
        <v>1.0265589654869021E-9</v>
      </c>
      <c r="BV39" s="139">
        <v>3.5889928097022827E-9</v>
      </c>
    </row>
    <row r="40" spans="1:74" x14ac:dyDescent="0.25">
      <c r="A40" s="137">
        <v>42837</v>
      </c>
      <c r="B40" s="138">
        <v>0.4614583333333333</v>
      </c>
      <c r="C40" s="139">
        <v>29.96</v>
      </c>
      <c r="E40" s="140" t="s">
        <v>169</v>
      </c>
      <c r="F40" s="140">
        <v>29.96</v>
      </c>
      <c r="I40" s="139">
        <v>23.77</v>
      </c>
      <c r="J40" s="139">
        <v>18.62</v>
      </c>
      <c r="K40" s="139">
        <v>23.77</v>
      </c>
      <c r="L40" s="139">
        <v>24.05</v>
      </c>
      <c r="M40" s="139">
        <v>24.13</v>
      </c>
      <c r="N40" s="139">
        <v>26.15</v>
      </c>
      <c r="O40" s="139">
        <v>23.23</v>
      </c>
      <c r="P40" s="139">
        <v>23.53</v>
      </c>
      <c r="Q40" s="139">
        <v>23.53</v>
      </c>
      <c r="S40" s="139">
        <v>9.4366466138037719E-10</v>
      </c>
      <c r="T40" s="139">
        <v>9.9325186842179555E-10</v>
      </c>
      <c r="U40" s="139">
        <v>9.4366466138037719E-10</v>
      </c>
      <c r="V40" s="139">
        <v>1.1066731224516404E-9</v>
      </c>
      <c r="W40" s="139">
        <v>1.109978593528115E-9</v>
      </c>
      <c r="X40" s="139">
        <v>2.0230341511680244E-9</v>
      </c>
      <c r="Y40" s="139">
        <v>9.4499732334608868E-10</v>
      </c>
      <c r="Z40" s="139">
        <v>1.2172397229241033E-9</v>
      </c>
      <c r="AA40" s="139">
        <v>1.1140512999181349E-9</v>
      </c>
      <c r="AB40" s="139">
        <v>3.9735580298455875E-9</v>
      </c>
      <c r="BB40" s="136">
        <v>23.77</v>
      </c>
      <c r="BC40" s="136">
        <v>18.62</v>
      </c>
      <c r="BD40" s="136">
        <v>23.77</v>
      </c>
      <c r="BE40" s="136">
        <v>24.05</v>
      </c>
      <c r="BF40" s="136">
        <v>24.13</v>
      </c>
      <c r="BG40" s="136">
        <v>26.15</v>
      </c>
      <c r="BH40" s="136">
        <v>23.23</v>
      </c>
      <c r="BI40" s="136">
        <v>23.53</v>
      </c>
      <c r="BJ40" s="136">
        <v>23.53</v>
      </c>
      <c r="BK40" s="136">
        <v>29.96</v>
      </c>
      <c r="BM40" s="139">
        <v>9.4366466138037719E-10</v>
      </c>
      <c r="BN40" s="139">
        <v>9.9325186842179555E-10</v>
      </c>
      <c r="BO40" s="139">
        <v>9.4366466138037719E-10</v>
      </c>
      <c r="BP40" s="139">
        <v>1.1066731224516404E-9</v>
      </c>
      <c r="BQ40" s="139">
        <v>1.109978593528115E-9</v>
      </c>
      <c r="BR40" s="139">
        <v>2.0230341511680244E-9</v>
      </c>
      <c r="BS40" s="139">
        <v>9.4499732334608868E-10</v>
      </c>
      <c r="BT40" s="139">
        <v>1.2172397229241033E-9</v>
      </c>
      <c r="BU40" s="139">
        <v>1.1140512999181349E-9</v>
      </c>
      <c r="BV40" s="139">
        <v>3.9735580298455875E-9</v>
      </c>
    </row>
    <row r="41" spans="1:74" x14ac:dyDescent="0.25">
      <c r="A41" s="137">
        <v>42837</v>
      </c>
      <c r="B41" s="138">
        <v>0.46180555555555558</v>
      </c>
      <c r="C41" s="139">
        <v>29.8</v>
      </c>
      <c r="E41" s="140" t="s">
        <v>169</v>
      </c>
      <c r="F41" s="140">
        <v>29.8</v>
      </c>
      <c r="I41" s="139">
        <v>23.44</v>
      </c>
      <c r="J41" s="139">
        <v>18.399999999999999</v>
      </c>
      <c r="K41" s="139">
        <v>23.44</v>
      </c>
      <c r="L41" s="139">
        <v>23.81</v>
      </c>
      <c r="M41" s="139">
        <v>23.79</v>
      </c>
      <c r="N41" s="139">
        <v>25.63</v>
      </c>
      <c r="O41" s="139">
        <v>23.05</v>
      </c>
      <c r="P41" s="139">
        <v>23.14</v>
      </c>
      <c r="Q41" s="139">
        <v>23.02</v>
      </c>
      <c r="S41" s="139">
        <v>1.0293625267557982E-9</v>
      </c>
      <c r="T41" s="139">
        <v>1.0201034582403082E-9</v>
      </c>
      <c r="U41" s="139">
        <v>1.0293625267557982E-9</v>
      </c>
      <c r="V41" s="139">
        <v>1.199992106993374E-9</v>
      </c>
      <c r="W41" s="139">
        <v>1.2028688162826999E-9</v>
      </c>
      <c r="X41" s="139">
        <v>2.1649301025901018E-9</v>
      </c>
      <c r="Y41" s="139">
        <v>1.0233348768514959E-9</v>
      </c>
      <c r="Z41" s="139">
        <v>1.2972176243548368E-9</v>
      </c>
      <c r="AA41" s="139">
        <v>1.1918495814983884E-9</v>
      </c>
      <c r="AB41" s="139">
        <v>4.344213150496047E-9</v>
      </c>
      <c r="BB41" s="136">
        <v>23.44</v>
      </c>
      <c r="BC41" s="136">
        <v>18.399999999999999</v>
      </c>
      <c r="BD41" s="136">
        <v>23.44</v>
      </c>
      <c r="BE41" s="136">
        <v>23.81</v>
      </c>
      <c r="BF41" s="136">
        <v>23.79</v>
      </c>
      <c r="BG41" s="136">
        <v>25.63</v>
      </c>
      <c r="BH41" s="136">
        <v>23.05</v>
      </c>
      <c r="BI41" s="136">
        <v>23.14</v>
      </c>
      <c r="BJ41" s="136">
        <v>23.02</v>
      </c>
      <c r="BK41" s="136">
        <v>29.8</v>
      </c>
      <c r="BM41" s="139">
        <v>1.0293625267557982E-9</v>
      </c>
      <c r="BN41" s="139">
        <v>1.0201034582403082E-9</v>
      </c>
      <c r="BO41" s="139">
        <v>1.0293625267557982E-9</v>
      </c>
      <c r="BP41" s="139">
        <v>1.199992106993374E-9</v>
      </c>
      <c r="BQ41" s="139">
        <v>1.2028688162826999E-9</v>
      </c>
      <c r="BR41" s="139">
        <v>2.1649301025901018E-9</v>
      </c>
      <c r="BS41" s="139">
        <v>1.0233348768514959E-9</v>
      </c>
      <c r="BT41" s="139">
        <v>1.2972176243548368E-9</v>
      </c>
      <c r="BU41" s="139">
        <v>1.1918495814983884E-9</v>
      </c>
      <c r="BV41" s="139">
        <v>4.344213150496047E-9</v>
      </c>
    </row>
    <row r="42" spans="1:74" x14ac:dyDescent="0.25">
      <c r="A42" s="137">
        <v>42837</v>
      </c>
      <c r="B42" s="138">
        <v>0.4621527777777778</v>
      </c>
      <c r="C42" s="139">
        <v>29.62</v>
      </c>
      <c r="E42" s="140" t="s">
        <v>169</v>
      </c>
      <c r="F42" s="140">
        <v>29.62</v>
      </c>
      <c r="I42" s="139">
        <v>23.19</v>
      </c>
      <c r="J42" s="139">
        <v>18.38</v>
      </c>
      <c r="K42" s="139">
        <v>23.19</v>
      </c>
      <c r="L42" s="139">
        <v>23.69</v>
      </c>
      <c r="M42" s="139">
        <v>23.54</v>
      </c>
      <c r="N42" s="139">
        <v>25.05</v>
      </c>
      <c r="O42" s="139">
        <v>22.75</v>
      </c>
      <c r="P42" s="139">
        <v>22.86</v>
      </c>
      <c r="Q42" s="139">
        <v>22.66</v>
      </c>
      <c r="S42" s="139">
        <v>1.1102665286379512E-9</v>
      </c>
      <c r="T42" s="139">
        <v>1.0468316762101567E-9</v>
      </c>
      <c r="U42" s="139">
        <v>1.1102665286379512E-9</v>
      </c>
      <c r="V42" s="139">
        <v>1.2907678901320308E-9</v>
      </c>
      <c r="W42" s="139">
        <v>1.2905628413747876E-9</v>
      </c>
      <c r="X42" s="139">
        <v>2.2890867578548796E-9</v>
      </c>
      <c r="Y42" s="139">
        <v>1.096443735574332E-9</v>
      </c>
      <c r="Z42" s="139">
        <v>1.3722018661299554E-9</v>
      </c>
      <c r="AA42" s="139">
        <v>1.2634589764620655E-9</v>
      </c>
      <c r="AB42" s="139">
        <v>4.6998199073227119E-9</v>
      </c>
      <c r="BB42" s="136">
        <v>23.19</v>
      </c>
      <c r="BC42" s="136">
        <v>18.38</v>
      </c>
      <c r="BD42" s="136">
        <v>23.19</v>
      </c>
      <c r="BE42" s="136">
        <v>23.69</v>
      </c>
      <c r="BF42" s="136">
        <v>23.54</v>
      </c>
      <c r="BG42" s="136">
        <v>25.05</v>
      </c>
      <c r="BH42" s="136">
        <v>22.75</v>
      </c>
      <c r="BI42" s="136">
        <v>22.86</v>
      </c>
      <c r="BJ42" s="136">
        <v>22.66</v>
      </c>
      <c r="BK42" s="136">
        <v>29.62</v>
      </c>
      <c r="BM42" s="139">
        <v>1.1102665286379512E-9</v>
      </c>
      <c r="BN42" s="139">
        <v>1.0468316762101567E-9</v>
      </c>
      <c r="BO42" s="139">
        <v>1.1102665286379512E-9</v>
      </c>
      <c r="BP42" s="139">
        <v>1.2907678901320308E-9</v>
      </c>
      <c r="BQ42" s="139">
        <v>1.2905628413747876E-9</v>
      </c>
      <c r="BR42" s="139">
        <v>2.2890867578548796E-9</v>
      </c>
      <c r="BS42" s="139">
        <v>1.096443735574332E-9</v>
      </c>
      <c r="BT42" s="139">
        <v>1.3722018661299554E-9</v>
      </c>
      <c r="BU42" s="139">
        <v>1.2634589764620655E-9</v>
      </c>
      <c r="BV42" s="139">
        <v>4.6998199073227119E-9</v>
      </c>
    </row>
    <row r="43" spans="1:74" x14ac:dyDescent="0.25">
      <c r="A43" s="137">
        <v>42837</v>
      </c>
      <c r="B43" s="138">
        <v>0.46249999999999997</v>
      </c>
      <c r="C43" s="139">
        <v>29.42</v>
      </c>
      <c r="E43" s="140" t="s">
        <v>169</v>
      </c>
      <c r="F43" s="140">
        <v>29.42</v>
      </c>
      <c r="I43" s="139">
        <v>22.41</v>
      </c>
      <c r="J43" s="139">
        <v>18.41</v>
      </c>
      <c r="K43" s="139">
        <v>22.41</v>
      </c>
      <c r="L43" s="139">
        <v>21.13</v>
      </c>
      <c r="M43" s="139">
        <v>23.36</v>
      </c>
      <c r="N43" s="139">
        <v>24.85</v>
      </c>
      <c r="O43" s="139">
        <v>22.94</v>
      </c>
      <c r="P43" s="139">
        <v>23.03</v>
      </c>
      <c r="Q43" s="139">
        <v>22.83</v>
      </c>
      <c r="S43" s="139">
        <v>1.177870156797665E-9</v>
      </c>
      <c r="T43" s="139">
        <v>1.073745165335971E-9</v>
      </c>
      <c r="U43" s="139">
        <v>1.177870156797665E-9</v>
      </c>
      <c r="V43" s="139">
        <v>1.3411144735746209E-9</v>
      </c>
      <c r="W43" s="139">
        <v>1.3746965444283107E-9</v>
      </c>
      <c r="X43" s="139">
        <v>2.4076554431379625E-9</v>
      </c>
      <c r="Y43" s="139">
        <v>1.1728220384862356E-9</v>
      </c>
      <c r="Z43" s="139">
        <v>1.450179491271303E-9</v>
      </c>
      <c r="AA43" s="139">
        <v>1.337927030347611E-9</v>
      </c>
      <c r="AB43" s="139">
        <v>5.0394217236313044E-9</v>
      </c>
      <c r="BB43" s="136">
        <v>22.41</v>
      </c>
      <c r="BC43" s="136">
        <v>18.41</v>
      </c>
      <c r="BD43" s="136">
        <v>22.41</v>
      </c>
      <c r="BE43" s="136">
        <v>21.13</v>
      </c>
      <c r="BF43" s="136">
        <v>23.36</v>
      </c>
      <c r="BG43" s="136">
        <v>24.85</v>
      </c>
      <c r="BH43" s="136">
        <v>22.94</v>
      </c>
      <c r="BI43" s="136">
        <v>23.03</v>
      </c>
      <c r="BJ43" s="136">
        <v>22.83</v>
      </c>
      <c r="BK43" s="136">
        <v>29.42</v>
      </c>
      <c r="BM43" s="139">
        <v>1.177870156797665E-9</v>
      </c>
      <c r="BN43" s="139">
        <v>1.073745165335971E-9</v>
      </c>
      <c r="BO43" s="139">
        <v>1.177870156797665E-9</v>
      </c>
      <c r="BP43" s="139">
        <v>1.3411144735746209E-9</v>
      </c>
      <c r="BQ43" s="139">
        <v>1.3746965444283107E-9</v>
      </c>
      <c r="BR43" s="139">
        <v>2.4076554431379625E-9</v>
      </c>
      <c r="BS43" s="139">
        <v>1.1728220384862356E-9</v>
      </c>
      <c r="BT43" s="139">
        <v>1.450179491271303E-9</v>
      </c>
      <c r="BU43" s="139">
        <v>1.337927030347611E-9</v>
      </c>
      <c r="BV43" s="139">
        <v>5.0394217236313044E-9</v>
      </c>
    </row>
    <row r="44" spans="1:74" x14ac:dyDescent="0.25">
      <c r="A44" s="137">
        <v>42837</v>
      </c>
      <c r="B44" s="138">
        <v>0.46284722222222219</v>
      </c>
      <c r="C44" s="139">
        <v>29.23</v>
      </c>
      <c r="E44" s="140" t="s">
        <v>169</v>
      </c>
      <c r="F44" s="140">
        <v>29.23</v>
      </c>
      <c r="I44" s="139">
        <v>19</v>
      </c>
      <c r="J44" s="139">
        <v>18.41</v>
      </c>
      <c r="K44" s="139">
        <v>19</v>
      </c>
      <c r="L44" s="139">
        <v>18.920000000000002</v>
      </c>
      <c r="M44" s="139">
        <v>22.21</v>
      </c>
      <c r="N44" s="139">
        <v>25.1</v>
      </c>
      <c r="O44" s="139">
        <v>23.09</v>
      </c>
      <c r="P44" s="139">
        <v>23.12</v>
      </c>
      <c r="Q44" s="139">
        <v>22.93</v>
      </c>
      <c r="S44" s="139">
        <v>1.2086999068907391E-9</v>
      </c>
      <c r="T44" s="139">
        <v>1.1006586544617853E-9</v>
      </c>
      <c r="U44" s="139">
        <v>1.2086999068907391E-9</v>
      </c>
      <c r="V44" s="139">
        <v>1.3713815173123165E-9</v>
      </c>
      <c r="W44" s="139">
        <v>1.4392575081089873E-9</v>
      </c>
      <c r="X44" s="139">
        <v>2.5332497647134413E-9</v>
      </c>
      <c r="Y44" s="139">
        <v>1.2518844404497548E-9</v>
      </c>
      <c r="Z44" s="139">
        <v>1.5297899276238617E-9</v>
      </c>
      <c r="AA44" s="139">
        <v>1.4141296680374757E-9</v>
      </c>
      <c r="AB44" s="139">
        <v>5.3644865688028498E-9</v>
      </c>
      <c r="BB44" s="136">
        <v>19</v>
      </c>
      <c r="BC44" s="136">
        <v>18.41</v>
      </c>
      <c r="BD44" s="136">
        <v>19</v>
      </c>
      <c r="BE44" s="136">
        <v>18.920000000000002</v>
      </c>
      <c r="BF44" s="136">
        <v>22.21</v>
      </c>
      <c r="BG44" s="136">
        <v>25.1</v>
      </c>
      <c r="BH44" s="136">
        <v>23.09</v>
      </c>
      <c r="BI44" s="136">
        <v>23.12</v>
      </c>
      <c r="BJ44" s="136">
        <v>22.93</v>
      </c>
      <c r="BK44" s="136">
        <v>29.23</v>
      </c>
      <c r="BM44" s="139">
        <v>1.2086999068907391E-9</v>
      </c>
      <c r="BN44" s="139">
        <v>1.1006586544617853E-9</v>
      </c>
      <c r="BO44" s="139">
        <v>1.2086999068907391E-9</v>
      </c>
      <c r="BP44" s="139">
        <v>1.3713815173123165E-9</v>
      </c>
      <c r="BQ44" s="139">
        <v>1.4392575081089873E-9</v>
      </c>
      <c r="BR44" s="139">
        <v>2.5332497647134413E-9</v>
      </c>
      <c r="BS44" s="139">
        <v>1.2518844404497548E-9</v>
      </c>
      <c r="BT44" s="139">
        <v>1.5297899276238617E-9</v>
      </c>
      <c r="BU44" s="139">
        <v>1.4141296680374757E-9</v>
      </c>
      <c r="BV44" s="139">
        <v>5.3644865688028498E-9</v>
      </c>
    </row>
    <row r="45" spans="1:74" x14ac:dyDescent="0.25">
      <c r="A45" s="137">
        <v>42837</v>
      </c>
      <c r="B45" s="138">
        <v>0.46319444444444446</v>
      </c>
      <c r="C45" s="139">
        <v>29.04</v>
      </c>
      <c r="E45" s="140" t="s">
        <v>169</v>
      </c>
      <c r="F45" s="140">
        <v>29.04</v>
      </c>
      <c r="I45" s="139">
        <v>18.739999999999998</v>
      </c>
      <c r="J45" s="139">
        <v>18.43</v>
      </c>
      <c r="K45" s="139">
        <v>18.739999999999998</v>
      </c>
      <c r="L45" s="139">
        <v>18.84</v>
      </c>
      <c r="M45" s="139">
        <v>20.43</v>
      </c>
      <c r="N45" s="139">
        <v>20.12</v>
      </c>
      <c r="O45" s="139">
        <v>20.66</v>
      </c>
      <c r="P45" s="139">
        <v>23.04</v>
      </c>
      <c r="Q45" s="139">
        <v>22.87</v>
      </c>
      <c r="S45" s="139">
        <v>1.2377381277668047E-9</v>
      </c>
      <c r="T45" s="139">
        <v>1.1276963706090644E-9</v>
      </c>
      <c r="U45" s="139">
        <v>1.2377381277668047E-9</v>
      </c>
      <c r="V45" s="139">
        <v>1.4010961252430952E-9</v>
      </c>
      <c r="W45" s="139">
        <v>1.482109400370506E-9</v>
      </c>
      <c r="X45" s="139">
        <v>2.5731494990768402E-9</v>
      </c>
      <c r="Y45" s="139">
        <v>1.2970669141358698E-9</v>
      </c>
      <c r="Z45" s="139">
        <v>1.6079473097559092E-9</v>
      </c>
      <c r="AA45" s="139">
        <v>1.4892867663419768E-9</v>
      </c>
      <c r="AB45" s="139">
        <v>5.6756367113874289E-9</v>
      </c>
      <c r="BB45" s="136">
        <v>18.739999999999998</v>
      </c>
      <c r="BC45" s="136">
        <v>18.43</v>
      </c>
      <c r="BD45" s="136">
        <v>18.739999999999998</v>
      </c>
      <c r="BE45" s="136">
        <v>18.84</v>
      </c>
      <c r="BF45" s="136">
        <v>20.43</v>
      </c>
      <c r="BG45" s="136">
        <v>20.12</v>
      </c>
      <c r="BH45" s="136">
        <v>20.66</v>
      </c>
      <c r="BI45" s="136">
        <v>23.04</v>
      </c>
      <c r="BJ45" s="136">
        <v>22.87</v>
      </c>
      <c r="BK45" s="136">
        <v>29.04</v>
      </c>
      <c r="BM45" s="139">
        <v>1.2377381277668047E-9</v>
      </c>
      <c r="BN45" s="139">
        <v>1.1276963706090644E-9</v>
      </c>
      <c r="BO45" s="139">
        <v>1.2377381277668047E-9</v>
      </c>
      <c r="BP45" s="139">
        <v>1.4010961252430952E-9</v>
      </c>
      <c r="BQ45" s="139">
        <v>1.482109400370506E-9</v>
      </c>
      <c r="BR45" s="139">
        <v>2.5731494990768402E-9</v>
      </c>
      <c r="BS45" s="139">
        <v>1.2970669141358698E-9</v>
      </c>
      <c r="BT45" s="139">
        <v>1.6079473097559092E-9</v>
      </c>
      <c r="BU45" s="139">
        <v>1.4892867663419768E-9</v>
      </c>
      <c r="BV45" s="139">
        <v>5.6756367113874289E-9</v>
      </c>
    </row>
    <row r="46" spans="1:74" x14ac:dyDescent="0.25">
      <c r="A46" s="137">
        <v>42837</v>
      </c>
      <c r="B46" s="138">
        <v>0.46354166666666669</v>
      </c>
      <c r="C46" s="139">
        <v>28.87</v>
      </c>
      <c r="E46" s="140" t="s">
        <v>169</v>
      </c>
      <c r="F46" s="140">
        <v>28.87</v>
      </c>
      <c r="I46" s="139">
        <v>18.850000000000001</v>
      </c>
      <c r="J46" s="139">
        <v>18.47</v>
      </c>
      <c r="K46" s="139">
        <v>18.850000000000001</v>
      </c>
      <c r="L46" s="139">
        <v>19.02</v>
      </c>
      <c r="M46" s="139">
        <v>20.239999999999998</v>
      </c>
      <c r="N46" s="139">
        <v>20</v>
      </c>
      <c r="O46" s="139">
        <v>20.2</v>
      </c>
      <c r="P46" s="139">
        <v>24.23</v>
      </c>
      <c r="Q46" s="139">
        <v>23.99</v>
      </c>
      <c r="S46" s="139">
        <v>1.2675212349432552E-9</v>
      </c>
      <c r="T46" s="139">
        <v>1.1549842636636278E-9</v>
      </c>
      <c r="U46" s="139">
        <v>1.2675212349432552E-9</v>
      </c>
      <c r="V46" s="139">
        <v>1.4320681789969341E-9</v>
      </c>
      <c r="W46" s="139">
        <v>1.5231269775869968E-9</v>
      </c>
      <c r="X46" s="139">
        <v>2.6119618549082746E-9</v>
      </c>
      <c r="Y46" s="139">
        <v>1.3377084399440747E-9</v>
      </c>
      <c r="Z46" s="139">
        <v>1.7107418395551162E-9</v>
      </c>
      <c r="AA46" s="139">
        <v>1.5865547704231095E-9</v>
      </c>
      <c r="AB46" s="139">
        <v>5.9748425089175893E-9</v>
      </c>
      <c r="BB46" s="136">
        <v>18.850000000000001</v>
      </c>
      <c r="BC46" s="136">
        <v>18.47</v>
      </c>
      <c r="BD46" s="136">
        <v>18.850000000000001</v>
      </c>
      <c r="BE46" s="136">
        <v>19.02</v>
      </c>
      <c r="BF46" s="136">
        <v>20.239999999999998</v>
      </c>
      <c r="BG46" s="136">
        <v>20</v>
      </c>
      <c r="BH46" s="136">
        <v>20.2</v>
      </c>
      <c r="BI46" s="136">
        <v>24.23</v>
      </c>
      <c r="BJ46" s="136">
        <v>23.99</v>
      </c>
      <c r="BK46" s="136">
        <v>28.87</v>
      </c>
      <c r="BM46" s="139">
        <v>1.2675212349432552E-9</v>
      </c>
      <c r="BN46" s="139">
        <v>1.1549842636636278E-9</v>
      </c>
      <c r="BO46" s="139">
        <v>1.2675212349432552E-9</v>
      </c>
      <c r="BP46" s="139">
        <v>1.4320681789969341E-9</v>
      </c>
      <c r="BQ46" s="139">
        <v>1.5231269775869968E-9</v>
      </c>
      <c r="BR46" s="139">
        <v>2.6119618549082746E-9</v>
      </c>
      <c r="BS46" s="139">
        <v>1.3377084399440747E-9</v>
      </c>
      <c r="BT46" s="139">
        <v>1.7107418395551162E-9</v>
      </c>
      <c r="BU46" s="139">
        <v>1.5865547704231095E-9</v>
      </c>
      <c r="BV46" s="139">
        <v>5.9748425089175893E-9</v>
      </c>
    </row>
    <row r="47" spans="1:74" x14ac:dyDescent="0.25">
      <c r="A47" s="137">
        <v>42837</v>
      </c>
      <c r="B47" s="138">
        <v>0.46388888888888885</v>
      </c>
      <c r="C47" s="139">
        <v>28.7</v>
      </c>
      <c r="E47" s="140" t="s">
        <v>169</v>
      </c>
      <c r="F47" s="140">
        <v>28.7</v>
      </c>
      <c r="I47" s="139">
        <v>18.899999999999999</v>
      </c>
      <c r="J47" s="139">
        <v>18.52</v>
      </c>
      <c r="K47" s="139">
        <v>18.899999999999999</v>
      </c>
      <c r="L47" s="139">
        <v>19.18</v>
      </c>
      <c r="M47" s="139">
        <v>20.23</v>
      </c>
      <c r="N47" s="139">
        <v>20</v>
      </c>
      <c r="O47" s="139">
        <v>20.62</v>
      </c>
      <c r="P47" s="139">
        <v>24.13</v>
      </c>
      <c r="Q47" s="139">
        <v>23.9</v>
      </c>
      <c r="S47" s="139">
        <v>1.2976492142469731E-9</v>
      </c>
      <c r="T47" s="139">
        <v>1.1825881356276657E-9</v>
      </c>
      <c r="U47" s="139">
        <v>1.2976492142469731E-9</v>
      </c>
      <c r="V47" s="139">
        <v>1.4642025648627851E-9</v>
      </c>
      <c r="W47" s="139">
        <v>1.5640502169937363E-9</v>
      </c>
      <c r="X47" s="139">
        <v>2.650774210739709E-9</v>
      </c>
      <c r="Y47" s="139">
        <v>1.3824766782215545E-9</v>
      </c>
      <c r="Z47" s="139">
        <v>1.8111964801855525E-9</v>
      </c>
      <c r="AA47" s="139">
        <v>1.6818278063212719E-9</v>
      </c>
      <c r="AB47" s="139">
        <v>6.2625624775861689E-9</v>
      </c>
      <c r="BB47" s="136">
        <v>18.899999999999999</v>
      </c>
      <c r="BC47" s="136">
        <v>18.52</v>
      </c>
      <c r="BD47" s="136">
        <v>18.899999999999999</v>
      </c>
      <c r="BE47" s="136">
        <v>19.18</v>
      </c>
      <c r="BF47" s="136">
        <v>20.23</v>
      </c>
      <c r="BG47" s="136">
        <v>20</v>
      </c>
      <c r="BH47" s="136">
        <v>20.62</v>
      </c>
      <c r="BI47" s="136">
        <v>24.13</v>
      </c>
      <c r="BJ47" s="136">
        <v>23.9</v>
      </c>
      <c r="BK47" s="136">
        <v>28.7</v>
      </c>
      <c r="BM47" s="139">
        <v>1.2976492142469731E-9</v>
      </c>
      <c r="BN47" s="139">
        <v>1.1825881356276657E-9</v>
      </c>
      <c r="BO47" s="139">
        <v>1.2976492142469731E-9</v>
      </c>
      <c r="BP47" s="139">
        <v>1.4642025648627851E-9</v>
      </c>
      <c r="BQ47" s="139">
        <v>1.5640502169937363E-9</v>
      </c>
      <c r="BR47" s="139">
        <v>2.650774210739709E-9</v>
      </c>
      <c r="BS47" s="139">
        <v>1.3824766782215545E-9</v>
      </c>
      <c r="BT47" s="139">
        <v>1.8111964801855525E-9</v>
      </c>
      <c r="BU47" s="139">
        <v>1.6818278063212719E-9</v>
      </c>
      <c r="BV47" s="139">
        <v>6.2625624775861689E-9</v>
      </c>
    </row>
    <row r="48" spans="1:74" x14ac:dyDescent="0.25">
      <c r="A48" s="137">
        <v>42837</v>
      </c>
      <c r="B48" s="138">
        <v>0.46423611111111113</v>
      </c>
      <c r="C48" s="139">
        <v>28.68</v>
      </c>
      <c r="E48" s="140" t="s">
        <v>169</v>
      </c>
      <c r="F48" s="140">
        <v>28.68</v>
      </c>
      <c r="I48" s="139">
        <v>19.27</v>
      </c>
      <c r="J48" s="139">
        <v>18.86</v>
      </c>
      <c r="K48" s="139">
        <v>19.27</v>
      </c>
      <c r="L48" s="139">
        <v>19.399999999999999</v>
      </c>
      <c r="M48" s="139">
        <v>20.29</v>
      </c>
      <c r="N48" s="139">
        <v>20.190000000000001</v>
      </c>
      <c r="O48" s="139">
        <v>21.39</v>
      </c>
      <c r="P48" s="139">
        <v>29.36</v>
      </c>
      <c r="Q48" s="139">
        <v>23.9</v>
      </c>
      <c r="S48" s="139">
        <v>1.3304564775621184E-9</v>
      </c>
      <c r="T48" s="139">
        <v>1.2124398999568575E-9</v>
      </c>
      <c r="U48" s="139">
        <v>1.3304564775621184E-9</v>
      </c>
      <c r="V48" s="139">
        <v>1.4980067136323843E-9</v>
      </c>
      <c r="W48" s="139">
        <v>1.6055427553694573E-9</v>
      </c>
      <c r="X48" s="139">
        <v>2.691322263632401E-9</v>
      </c>
      <c r="Y48" s="139">
        <v>1.4359294221826874E-9</v>
      </c>
      <c r="Z48" s="139">
        <v>2.1461387848938153E-9</v>
      </c>
      <c r="AA48" s="139">
        <v>1.7771008422194344E-9</v>
      </c>
      <c r="AB48" s="139">
        <v>6.5489604930790843E-9</v>
      </c>
      <c r="BB48" s="136">
        <v>19.27</v>
      </c>
      <c r="BC48" s="136">
        <v>18.86</v>
      </c>
      <c r="BD48" s="136">
        <v>19.27</v>
      </c>
      <c r="BE48" s="136">
        <v>19.399999999999999</v>
      </c>
      <c r="BF48" s="136">
        <v>20.29</v>
      </c>
      <c r="BG48" s="136">
        <v>20.190000000000001</v>
      </c>
      <c r="BH48" s="136">
        <v>21.39</v>
      </c>
      <c r="BI48" s="136">
        <v>29.36</v>
      </c>
      <c r="BJ48" s="136">
        <v>23.9</v>
      </c>
      <c r="BK48" s="136">
        <v>28.68</v>
      </c>
      <c r="BM48" s="139">
        <v>1.3304564775621184E-9</v>
      </c>
      <c r="BN48" s="139">
        <v>1.2124398999568575E-9</v>
      </c>
      <c r="BO48" s="139">
        <v>1.3304564775621184E-9</v>
      </c>
      <c r="BP48" s="139">
        <v>1.4980067136323843E-9</v>
      </c>
      <c r="BQ48" s="139">
        <v>1.6055427553694573E-9</v>
      </c>
      <c r="BR48" s="139">
        <v>2.691322263632401E-9</v>
      </c>
      <c r="BS48" s="139">
        <v>1.4359294221826874E-9</v>
      </c>
      <c r="BT48" s="139">
        <v>2.1461387848938153E-9</v>
      </c>
      <c r="BU48" s="139">
        <v>1.7771008422194344E-9</v>
      </c>
      <c r="BV48" s="139">
        <v>6.5489604930790843E-9</v>
      </c>
    </row>
    <row r="49" spans="1:74" x14ac:dyDescent="0.25">
      <c r="A49" s="137">
        <v>42837</v>
      </c>
      <c r="B49" s="138">
        <v>0.46458333333333335</v>
      </c>
      <c r="C49" s="139">
        <v>28.84</v>
      </c>
      <c r="E49" s="140" t="s">
        <v>169</v>
      </c>
      <c r="F49" s="140">
        <v>28.84</v>
      </c>
      <c r="I49" s="139">
        <v>19.54</v>
      </c>
      <c r="J49" s="139">
        <v>19.41</v>
      </c>
      <c r="K49" s="139">
        <v>19.54</v>
      </c>
      <c r="L49" s="139">
        <v>19.559999999999999</v>
      </c>
      <c r="M49" s="139">
        <v>20.5</v>
      </c>
      <c r="N49" s="139">
        <v>20.260000000000002</v>
      </c>
      <c r="O49" s="139">
        <v>21.95</v>
      </c>
      <c r="P49" s="139">
        <v>31.03</v>
      </c>
      <c r="Q49" s="139">
        <v>30.77</v>
      </c>
      <c r="S49" s="139">
        <v>1.3653680977659769E-9</v>
      </c>
      <c r="T49" s="139">
        <v>1.2463219753373912E-9</v>
      </c>
      <c r="U49" s="139">
        <v>1.3653680977659769E-9</v>
      </c>
      <c r="V49" s="139">
        <v>1.5330794785533827E-9</v>
      </c>
      <c r="W49" s="139">
        <v>1.6490909348672614E-9</v>
      </c>
      <c r="X49" s="139">
        <v>2.7325291693830512E-9</v>
      </c>
      <c r="Y49" s="139">
        <v>1.4967387222150057E-9</v>
      </c>
      <c r="Z49" s="139">
        <v>2.6381443377743817E-9</v>
      </c>
      <c r="AA49" s="139">
        <v>2.2405157539091087E-9</v>
      </c>
      <c r="AB49" s="139">
        <v>6.8461065723868705E-9</v>
      </c>
      <c r="BB49" s="136">
        <v>19.54</v>
      </c>
      <c r="BC49" s="136">
        <v>19.41</v>
      </c>
      <c r="BD49" s="136">
        <v>19.54</v>
      </c>
      <c r="BE49" s="136">
        <v>19.559999999999999</v>
      </c>
      <c r="BF49" s="136">
        <v>20.5</v>
      </c>
      <c r="BG49" s="136">
        <v>20.260000000000002</v>
      </c>
      <c r="BH49" s="136">
        <v>21.95</v>
      </c>
      <c r="BI49" s="136">
        <v>31.03</v>
      </c>
      <c r="BJ49" s="136">
        <v>30.77</v>
      </c>
      <c r="BK49" s="136">
        <v>28.84</v>
      </c>
      <c r="BM49" s="139">
        <v>1.3653680977659769E-9</v>
      </c>
      <c r="BN49" s="139">
        <v>1.2463219753373912E-9</v>
      </c>
      <c r="BO49" s="139">
        <v>1.3653680977659769E-9</v>
      </c>
      <c r="BP49" s="139">
        <v>1.5330794785533827E-9</v>
      </c>
      <c r="BQ49" s="139">
        <v>1.6490909348672614E-9</v>
      </c>
      <c r="BR49" s="139">
        <v>2.7325291693830512E-9</v>
      </c>
      <c r="BS49" s="139">
        <v>1.4967387222150057E-9</v>
      </c>
      <c r="BT49" s="139">
        <v>2.6381443377743817E-9</v>
      </c>
      <c r="BU49" s="139">
        <v>2.2405157539091087E-9</v>
      </c>
      <c r="BV49" s="139">
        <v>6.8461065723868705E-9</v>
      </c>
    </row>
    <row r="50" spans="1:74" x14ac:dyDescent="0.25">
      <c r="A50" s="137">
        <v>42837</v>
      </c>
      <c r="B50" s="138">
        <v>0.46493055555555557</v>
      </c>
      <c r="C50" s="139">
        <v>28.84</v>
      </c>
      <c r="E50" s="140" t="s">
        <v>169</v>
      </c>
      <c r="F50" s="140">
        <v>28.84</v>
      </c>
      <c r="I50" s="139">
        <v>19.73</v>
      </c>
      <c r="J50" s="139">
        <v>19.829999999999998</v>
      </c>
      <c r="K50" s="139">
        <v>19.73</v>
      </c>
      <c r="L50" s="139">
        <v>19.829999999999998</v>
      </c>
      <c r="M50" s="139">
        <v>20.69</v>
      </c>
      <c r="N50" s="139">
        <v>20.55</v>
      </c>
      <c r="O50" s="139">
        <v>22.72</v>
      </c>
      <c r="P50" s="139">
        <v>44.58</v>
      </c>
      <c r="Q50" s="139">
        <v>46.36</v>
      </c>
      <c r="S50" s="139">
        <v>1.4018409732787053E-9</v>
      </c>
      <c r="T50" s="139">
        <v>1.2836444132578944E-9</v>
      </c>
      <c r="U50" s="139">
        <v>1.4018409732787053E-9</v>
      </c>
      <c r="V50" s="139">
        <v>1.570401916473886E-9</v>
      </c>
      <c r="W50" s="139">
        <v>1.6945865984988738E-9</v>
      </c>
      <c r="X50" s="139">
        <v>2.7765816130334519E-9</v>
      </c>
      <c r="Y50" s="139">
        <v>1.5693443030943927E-9</v>
      </c>
      <c r="Z50" s="139">
        <v>1.3780320084125909E-8</v>
      </c>
      <c r="AA50" s="139">
        <v>1.902739646605686E-8</v>
      </c>
      <c r="AB50" s="139">
        <v>7.1432526516946566E-9</v>
      </c>
      <c r="BB50" s="136">
        <v>19.73</v>
      </c>
      <c r="BC50" s="136">
        <v>19.829999999999998</v>
      </c>
      <c r="BD50" s="136">
        <v>19.73</v>
      </c>
      <c r="BE50" s="136">
        <v>19.829999999999998</v>
      </c>
      <c r="BF50" s="136">
        <v>20.69</v>
      </c>
      <c r="BG50" s="136">
        <v>20.55</v>
      </c>
      <c r="BH50" s="136">
        <v>22.72</v>
      </c>
      <c r="BI50" s="136">
        <v>44.58</v>
      </c>
      <c r="BJ50" s="136">
        <v>46.36</v>
      </c>
      <c r="BK50" s="136">
        <v>28.84</v>
      </c>
      <c r="BM50" s="139">
        <v>1.4018409732787053E-9</v>
      </c>
      <c r="BN50" s="139">
        <v>1.2836444132578944E-9</v>
      </c>
      <c r="BO50" s="139">
        <v>1.4018409732787053E-9</v>
      </c>
      <c r="BP50" s="139">
        <v>1.570401916473886E-9</v>
      </c>
      <c r="BQ50" s="139">
        <v>1.6945865984988738E-9</v>
      </c>
      <c r="BR50" s="139">
        <v>2.7765816130334519E-9</v>
      </c>
      <c r="BS50" s="139">
        <v>1.5693443030943927E-9</v>
      </c>
      <c r="BT50" s="139">
        <v>1.3780320084125909E-8</v>
      </c>
      <c r="BU50" s="139">
        <v>1.902739646605686E-8</v>
      </c>
      <c r="BV50" s="139">
        <v>7.1432526516946566E-9</v>
      </c>
    </row>
    <row r="51" spans="1:74" x14ac:dyDescent="0.25">
      <c r="A51" s="137">
        <v>42837</v>
      </c>
      <c r="B51" s="138">
        <v>0.46527777777777773</v>
      </c>
      <c r="C51" s="139">
        <v>30.14</v>
      </c>
      <c r="E51" s="140" t="s">
        <v>169</v>
      </c>
      <c r="F51" s="140">
        <v>30.14</v>
      </c>
      <c r="I51" s="139">
        <v>19.8</v>
      </c>
      <c r="J51" s="139">
        <v>19.37</v>
      </c>
      <c r="K51" s="139">
        <v>19.8</v>
      </c>
      <c r="L51" s="139">
        <v>20.49</v>
      </c>
      <c r="M51" s="139">
        <v>21.07</v>
      </c>
      <c r="N51" s="139">
        <v>20.91</v>
      </c>
      <c r="O51" s="139">
        <v>23.71</v>
      </c>
      <c r="P51" s="139">
        <v>55.96</v>
      </c>
      <c r="Q51" s="139">
        <v>58.38</v>
      </c>
      <c r="S51" s="139">
        <v>1.4389064853437511E-9</v>
      </c>
      <c r="T51" s="139">
        <v>1.3172158559041921E-9</v>
      </c>
      <c r="U51" s="139">
        <v>1.4389064853437511E-9</v>
      </c>
      <c r="V51" s="139">
        <v>1.6138499379382009E-9</v>
      </c>
      <c r="W51" s="139">
        <v>1.7442424009199203E-9</v>
      </c>
      <c r="X51" s="139">
        <v>2.824441316598194E-9</v>
      </c>
      <c r="Y51" s="139">
        <v>1.6605390882103747E-9</v>
      </c>
      <c r="Z51" s="139">
        <v>1.6687849176866017E-7</v>
      </c>
      <c r="AA51" s="139">
        <v>2.8630957616454263E-7</v>
      </c>
      <c r="AB51" s="139">
        <v>7.5440916833884951E-9</v>
      </c>
      <c r="BB51" s="136">
        <v>19.8</v>
      </c>
      <c r="BC51" s="136">
        <v>19.37</v>
      </c>
      <c r="BD51" s="136">
        <v>19.8</v>
      </c>
      <c r="BE51" s="136">
        <v>20.49</v>
      </c>
      <c r="BF51" s="136">
        <v>21.07</v>
      </c>
      <c r="BG51" s="136">
        <v>20.91</v>
      </c>
      <c r="BH51" s="136">
        <v>23.71</v>
      </c>
      <c r="BI51" s="136">
        <v>55.96</v>
      </c>
      <c r="BJ51" s="136">
        <v>58.38</v>
      </c>
      <c r="BK51" s="136">
        <v>30.14</v>
      </c>
      <c r="BM51" s="139">
        <v>1.4389064853437511E-9</v>
      </c>
      <c r="BN51" s="139">
        <v>1.3172158559041921E-9</v>
      </c>
      <c r="BO51" s="139">
        <v>1.4389064853437511E-9</v>
      </c>
      <c r="BP51" s="139">
        <v>1.6138499379382009E-9</v>
      </c>
      <c r="BQ51" s="139">
        <v>1.7442424009199203E-9</v>
      </c>
      <c r="BR51" s="139">
        <v>2.824441316598194E-9</v>
      </c>
      <c r="BS51" s="139">
        <v>1.6605390882103747E-9</v>
      </c>
      <c r="BT51" s="139">
        <v>1.6687849176866017E-7</v>
      </c>
      <c r="BU51" s="139">
        <v>2.8630957616454263E-7</v>
      </c>
      <c r="BV51" s="139">
        <v>7.5440916833884951E-9</v>
      </c>
    </row>
    <row r="52" spans="1:74" x14ac:dyDescent="0.25">
      <c r="A52" s="137">
        <v>42837</v>
      </c>
      <c r="B52" s="138">
        <v>0.46562500000000001</v>
      </c>
      <c r="C52" s="139">
        <v>33.369999999999997</v>
      </c>
      <c r="E52" s="140" t="s">
        <v>169</v>
      </c>
      <c r="F52" s="140">
        <v>33.369999999999997</v>
      </c>
      <c r="I52" s="139">
        <v>20.05</v>
      </c>
      <c r="J52" s="139">
        <v>19.7</v>
      </c>
      <c r="K52" s="139">
        <v>20.05</v>
      </c>
      <c r="L52" s="139">
        <v>20.8</v>
      </c>
      <c r="M52" s="139">
        <v>21.36</v>
      </c>
      <c r="N52" s="139">
        <v>21.56</v>
      </c>
      <c r="O52" s="139">
        <v>27.72</v>
      </c>
      <c r="P52" s="139">
        <v>81.349999999999994</v>
      </c>
      <c r="Q52" s="139">
        <v>84.58</v>
      </c>
      <c r="S52" s="139">
        <v>1.4781682670742545E-9</v>
      </c>
      <c r="T52" s="139">
        <v>1.3534376539079417E-9</v>
      </c>
      <c r="U52" s="139">
        <v>1.4781682670742545E-9</v>
      </c>
      <c r="V52" s="139">
        <v>1.6605126529780505E-9</v>
      </c>
      <c r="W52" s="139">
        <v>1.7973271787798564E-9</v>
      </c>
      <c r="X52" s="139">
        <v>2.8800279029622738E-9</v>
      </c>
      <c r="Y52" s="139">
        <v>1.8901380946288086E-9</v>
      </c>
      <c r="Z52" s="139">
        <v>5.3129564750633044E-5</v>
      </c>
      <c r="AA52" s="139">
        <v>1.117080670396797E-4</v>
      </c>
      <c r="AB52" s="139">
        <v>8.3873681960828655E-9</v>
      </c>
      <c r="BB52" s="136">
        <v>20.05</v>
      </c>
      <c r="BC52" s="136">
        <v>19.7</v>
      </c>
      <c r="BD52" s="136">
        <v>20.05</v>
      </c>
      <c r="BE52" s="136">
        <v>20.8</v>
      </c>
      <c r="BF52" s="136">
        <v>21.36</v>
      </c>
      <c r="BG52" s="136">
        <v>21.56</v>
      </c>
      <c r="BH52" s="136">
        <v>27.72</v>
      </c>
      <c r="BI52" s="136">
        <v>81.349999999999994</v>
      </c>
      <c r="BJ52" s="136">
        <v>84.58</v>
      </c>
      <c r="BK52" s="136">
        <v>33.369999999999997</v>
      </c>
      <c r="BM52" s="139">
        <v>1.4781682670742545E-9</v>
      </c>
      <c r="BN52" s="139">
        <v>1.3534376539079417E-9</v>
      </c>
      <c r="BO52" s="139">
        <v>1.4781682670742545E-9</v>
      </c>
      <c r="BP52" s="139">
        <v>1.6605126529780505E-9</v>
      </c>
      <c r="BQ52" s="139">
        <v>1.7973271787798564E-9</v>
      </c>
      <c r="BR52" s="139">
        <v>2.8800279029622738E-9</v>
      </c>
      <c r="BS52" s="139">
        <v>1.8901380946288086E-9</v>
      </c>
      <c r="BT52" s="139">
        <v>5.3129564750633044E-5</v>
      </c>
      <c r="BU52" s="139">
        <v>1.117080670396797E-4</v>
      </c>
      <c r="BV52" s="139">
        <v>8.3873681960828655E-9</v>
      </c>
    </row>
    <row r="53" spans="1:74" x14ac:dyDescent="0.25">
      <c r="A53" s="137">
        <v>42837</v>
      </c>
      <c r="B53" s="138">
        <v>0.46597222222222223</v>
      </c>
      <c r="C53" s="139">
        <v>50.05</v>
      </c>
      <c r="E53" s="140" t="s">
        <v>169</v>
      </c>
      <c r="F53" s="140">
        <v>50.05</v>
      </c>
      <c r="I53" s="139">
        <v>20.48</v>
      </c>
      <c r="J53" s="139">
        <v>22.07</v>
      </c>
      <c r="K53" s="139">
        <v>20.48</v>
      </c>
      <c r="L53" s="139">
        <v>21.22</v>
      </c>
      <c r="M53" s="139">
        <v>21.77</v>
      </c>
      <c r="N53" s="139">
        <v>28.38</v>
      </c>
      <c r="O53" s="139">
        <v>46.68</v>
      </c>
      <c r="P53" s="139">
        <v>95.31</v>
      </c>
      <c r="Q53" s="139">
        <v>94.9</v>
      </c>
      <c r="S53" s="139">
        <v>1.5215163608621652E-9</v>
      </c>
      <c r="T53" s="139">
        <v>1.4159506054188276E-9</v>
      </c>
      <c r="U53" s="139">
        <v>1.5215163608621652E-9</v>
      </c>
      <c r="V53" s="139">
        <v>1.711913467884374E-9</v>
      </c>
      <c r="W53" s="139">
        <v>1.8556676596329043E-9</v>
      </c>
      <c r="X53" s="139">
        <v>3.1473100826607591E-9</v>
      </c>
      <c r="Y53" s="139">
        <v>1.9960631226609511E-8</v>
      </c>
      <c r="Z53" s="139">
        <v>1.3712952576633247E-3</v>
      </c>
      <c r="AA53" s="139">
        <v>1.3111245265494272E-3</v>
      </c>
      <c r="AB53" s="139">
        <v>4.764914992658647E-8</v>
      </c>
      <c r="BB53" s="136">
        <v>20.48</v>
      </c>
      <c r="BC53" s="136">
        <v>22.07</v>
      </c>
      <c r="BD53" s="136">
        <v>20.48</v>
      </c>
      <c r="BE53" s="136">
        <v>21.22</v>
      </c>
      <c r="BF53" s="136">
        <v>21.77</v>
      </c>
      <c r="BG53" s="136">
        <v>28.38</v>
      </c>
      <c r="BH53" s="136">
        <v>46.68</v>
      </c>
      <c r="BI53" s="136">
        <v>95.31</v>
      </c>
      <c r="BJ53" s="136">
        <v>94.9</v>
      </c>
      <c r="BK53" s="136">
        <v>50.05</v>
      </c>
      <c r="BM53" s="139">
        <v>1.5215163608621652E-9</v>
      </c>
      <c r="BN53" s="139">
        <v>1.4159506054188276E-9</v>
      </c>
      <c r="BO53" s="139">
        <v>1.5215163608621652E-9</v>
      </c>
      <c r="BP53" s="139">
        <v>1.711913467884374E-9</v>
      </c>
      <c r="BQ53" s="139">
        <v>1.8556676596329043E-9</v>
      </c>
      <c r="BR53" s="139">
        <v>3.1473100826607591E-9</v>
      </c>
      <c r="BS53" s="139">
        <v>1.9960631226609511E-8</v>
      </c>
      <c r="BT53" s="139">
        <v>1.3712952576633247E-3</v>
      </c>
      <c r="BU53" s="139">
        <v>1.3111245265494272E-3</v>
      </c>
      <c r="BV53" s="139">
        <v>4.764914992658647E-8</v>
      </c>
    </row>
    <row r="54" spans="1:74" x14ac:dyDescent="0.25">
      <c r="A54" s="137">
        <v>42837</v>
      </c>
      <c r="B54" s="138">
        <v>0.46631944444444445</v>
      </c>
      <c r="C54" s="139">
        <v>64.58</v>
      </c>
      <c r="E54" s="140" t="s">
        <v>169</v>
      </c>
      <c r="F54" s="140">
        <v>64.58</v>
      </c>
      <c r="I54" s="139">
        <v>22.05</v>
      </c>
      <c r="J54" s="139">
        <v>22.53</v>
      </c>
      <c r="K54" s="139">
        <v>22.05</v>
      </c>
      <c r="L54" s="139">
        <v>22.7</v>
      </c>
      <c r="M54" s="139">
        <v>23.75</v>
      </c>
      <c r="N54" s="139">
        <v>38.159999999999997</v>
      </c>
      <c r="O54" s="139">
        <v>60.47</v>
      </c>
      <c r="P54" s="139">
        <v>104.76</v>
      </c>
      <c r="Q54" s="139">
        <v>102.45</v>
      </c>
      <c r="S54" s="139">
        <v>1.5837420914507343E-9</v>
      </c>
      <c r="T54" s="139">
        <v>1.4854482369794953E-9</v>
      </c>
      <c r="U54" s="139">
        <v>1.5837420914507343E-9</v>
      </c>
      <c r="V54" s="139">
        <v>1.7841854564216703E-9</v>
      </c>
      <c r="W54" s="139">
        <v>1.9477062597063521E-9</v>
      </c>
      <c r="X54" s="139">
        <v>5.6881072954635567E-9</v>
      </c>
      <c r="Y54" s="139">
        <v>4.5244459061445572E-7</v>
      </c>
      <c r="Z54" s="139">
        <v>1.2984979239448883E-2</v>
      </c>
      <c r="AA54" s="139">
        <v>8.1340402094940631E-3</v>
      </c>
      <c r="AB54" s="139">
        <v>1.1618667245617396E-6</v>
      </c>
      <c r="BB54" s="136">
        <v>22.05</v>
      </c>
      <c r="BC54" s="136">
        <v>22.53</v>
      </c>
      <c r="BD54" s="136">
        <v>22.05</v>
      </c>
      <c r="BE54" s="136">
        <v>22.7</v>
      </c>
      <c r="BF54" s="136">
        <v>23.75</v>
      </c>
      <c r="BG54" s="136">
        <v>38.159999999999997</v>
      </c>
      <c r="BH54" s="136">
        <v>60.47</v>
      </c>
      <c r="BI54" s="136">
        <v>104.76</v>
      </c>
      <c r="BJ54" s="136">
        <v>102.45</v>
      </c>
      <c r="BK54" s="136">
        <v>64.58</v>
      </c>
      <c r="BM54" s="139">
        <v>1.5837420914507343E-9</v>
      </c>
      <c r="BN54" s="139">
        <v>1.4854482369794953E-9</v>
      </c>
      <c r="BO54" s="139">
        <v>1.5837420914507343E-9</v>
      </c>
      <c r="BP54" s="139">
        <v>1.7841854564216703E-9</v>
      </c>
      <c r="BQ54" s="139">
        <v>1.9477062597063521E-9</v>
      </c>
      <c r="BR54" s="139">
        <v>5.6881072954635567E-9</v>
      </c>
      <c r="BS54" s="139">
        <v>4.5244459061445572E-7</v>
      </c>
      <c r="BT54" s="139">
        <v>1.2984979239448883E-2</v>
      </c>
      <c r="BU54" s="139">
        <v>8.1340402094940631E-3</v>
      </c>
      <c r="BV54" s="139">
        <v>1.1618667245617396E-6</v>
      </c>
    </row>
    <row r="55" spans="1:74" x14ac:dyDescent="0.25">
      <c r="A55" s="137">
        <v>42837</v>
      </c>
      <c r="B55" s="138">
        <v>0.46666666666666662</v>
      </c>
      <c r="C55" s="139">
        <v>76</v>
      </c>
      <c r="E55" s="140" t="s">
        <v>169</v>
      </c>
      <c r="F55" s="140">
        <v>76</v>
      </c>
      <c r="I55" s="139">
        <v>25.62</v>
      </c>
      <c r="J55" s="139">
        <v>23.91</v>
      </c>
      <c r="K55" s="139">
        <v>25.62</v>
      </c>
      <c r="L55" s="139">
        <v>26.28</v>
      </c>
      <c r="M55" s="139">
        <v>27.54</v>
      </c>
      <c r="N55" s="139">
        <v>47.18</v>
      </c>
      <c r="O55" s="139">
        <v>70.650000000000006</v>
      </c>
      <c r="P55" s="139">
        <v>108.48</v>
      </c>
      <c r="Q55" s="139">
        <v>109.33</v>
      </c>
      <c r="S55" s="139">
        <v>1.7253116912407033E-9</v>
      </c>
      <c r="T55" s="139">
        <v>1.580940899907807E-9</v>
      </c>
      <c r="U55" s="139">
        <v>1.7253116912407033E-9</v>
      </c>
      <c r="V55" s="139">
        <v>1.9489903125103991E-9</v>
      </c>
      <c r="W55" s="139">
        <v>2.1679836914596287E-9</v>
      </c>
      <c r="X55" s="139">
        <v>2.5963534067882783E-8</v>
      </c>
      <c r="Y55" s="139">
        <v>4.9603002786442415E-6</v>
      </c>
      <c r="Z55" s="139">
        <v>4.0335777384147509E-2</v>
      </c>
      <c r="AA55" s="139">
        <v>4.1397698019581146E-2</v>
      </c>
      <c r="AB55" s="139">
        <v>1.6613343887129671E-5</v>
      </c>
      <c r="BB55" s="136">
        <v>25.62</v>
      </c>
      <c r="BC55" s="136">
        <v>23.91</v>
      </c>
      <c r="BD55" s="136">
        <v>25.62</v>
      </c>
      <c r="BE55" s="136">
        <v>26.28</v>
      </c>
      <c r="BF55" s="136">
        <v>27.54</v>
      </c>
      <c r="BG55" s="136">
        <v>47.18</v>
      </c>
      <c r="BH55" s="136">
        <v>70.650000000000006</v>
      </c>
      <c r="BI55" s="136">
        <v>108.48</v>
      </c>
      <c r="BJ55" s="136">
        <v>109.33</v>
      </c>
      <c r="BK55" s="136">
        <v>76</v>
      </c>
      <c r="BM55" s="139">
        <v>1.7253116912407033E-9</v>
      </c>
      <c r="BN55" s="139">
        <v>1.580940899907807E-9</v>
      </c>
      <c r="BO55" s="139">
        <v>1.7253116912407033E-9</v>
      </c>
      <c r="BP55" s="139">
        <v>1.9489903125103991E-9</v>
      </c>
      <c r="BQ55" s="139">
        <v>2.1679836914596287E-9</v>
      </c>
      <c r="BR55" s="139">
        <v>2.5963534067882783E-8</v>
      </c>
      <c r="BS55" s="139">
        <v>4.9603002786442415E-6</v>
      </c>
      <c r="BT55" s="139">
        <v>4.0335777384147509E-2</v>
      </c>
      <c r="BU55" s="139">
        <v>4.1397698019581146E-2</v>
      </c>
      <c r="BV55" s="139">
        <v>1.6613343887129671E-5</v>
      </c>
    </row>
    <row r="56" spans="1:74" x14ac:dyDescent="0.25">
      <c r="A56" s="137">
        <v>42837</v>
      </c>
      <c r="B56" s="138">
        <v>0.4670138888888889</v>
      </c>
      <c r="C56" s="139">
        <v>84.79</v>
      </c>
      <c r="E56" s="140" t="s">
        <v>169</v>
      </c>
      <c r="F56" s="140">
        <v>84.79</v>
      </c>
      <c r="I56" s="139">
        <v>30.57</v>
      </c>
      <c r="J56" s="139">
        <v>26.19</v>
      </c>
      <c r="K56" s="139">
        <v>30.57</v>
      </c>
      <c r="L56" s="139">
        <v>31.32</v>
      </c>
      <c r="M56" s="139">
        <v>32.65</v>
      </c>
      <c r="N56" s="139">
        <v>55.41</v>
      </c>
      <c r="O56" s="139">
        <v>78.52</v>
      </c>
      <c r="P56" s="139">
        <v>111.65</v>
      </c>
      <c r="Q56" s="139">
        <v>111.14</v>
      </c>
      <c r="S56" s="139">
        <v>2.1678694961561191E-9</v>
      </c>
      <c r="T56" s="139">
        <v>1.7423656059934383E-9</v>
      </c>
      <c r="U56" s="139">
        <v>2.1678694961561191E-9</v>
      </c>
      <c r="V56" s="139">
        <v>2.4749712494220098E-9</v>
      </c>
      <c r="W56" s="139">
        <v>2.8824306707151798E-9</v>
      </c>
      <c r="X56" s="139">
        <v>1.6085050569012874E-7</v>
      </c>
      <c r="Y56" s="139">
        <v>3.2564172242682094E-5</v>
      </c>
      <c r="Z56" s="139">
        <v>9.7086318167763391E-2</v>
      </c>
      <c r="AA56" s="139">
        <v>9.1860342323415431E-2</v>
      </c>
      <c r="AB56" s="139">
        <v>1.3355520582009764E-4</v>
      </c>
      <c r="BB56" s="136">
        <v>30.57</v>
      </c>
      <c r="BC56" s="136">
        <v>26.19</v>
      </c>
      <c r="BD56" s="136">
        <v>30.57</v>
      </c>
      <c r="BE56" s="136">
        <v>31.32</v>
      </c>
      <c r="BF56" s="136">
        <v>32.65</v>
      </c>
      <c r="BG56" s="136">
        <v>55.41</v>
      </c>
      <c r="BH56" s="136">
        <v>78.52</v>
      </c>
      <c r="BI56" s="136">
        <v>111.65</v>
      </c>
      <c r="BJ56" s="136">
        <v>111.14</v>
      </c>
      <c r="BK56" s="136">
        <v>84.79</v>
      </c>
      <c r="BM56" s="139">
        <v>2.1678694961561191E-9</v>
      </c>
      <c r="BN56" s="139">
        <v>1.7423656059934383E-9</v>
      </c>
      <c r="BO56" s="139">
        <v>2.1678694961561191E-9</v>
      </c>
      <c r="BP56" s="139">
        <v>2.4749712494220098E-9</v>
      </c>
      <c r="BQ56" s="139">
        <v>2.8824306707151798E-9</v>
      </c>
      <c r="BR56" s="139">
        <v>1.6085050569012874E-7</v>
      </c>
      <c r="BS56" s="139">
        <v>3.2564172242682094E-5</v>
      </c>
      <c r="BT56" s="139">
        <v>9.7086318167763391E-2</v>
      </c>
      <c r="BU56" s="139">
        <v>9.1860342323415431E-2</v>
      </c>
      <c r="BV56" s="139">
        <v>1.3355520582009764E-4</v>
      </c>
    </row>
    <row r="57" spans="1:74" x14ac:dyDescent="0.25">
      <c r="A57" s="137">
        <v>42837</v>
      </c>
      <c r="B57" s="138">
        <v>0.46736111111111112</v>
      </c>
      <c r="C57" s="139">
        <v>91.52</v>
      </c>
      <c r="E57" s="140" t="s">
        <v>169</v>
      </c>
      <c r="F57" s="140">
        <v>91.52</v>
      </c>
      <c r="I57" s="139">
        <v>36.32</v>
      </c>
      <c r="J57" s="139">
        <v>29.21</v>
      </c>
      <c r="K57" s="139">
        <v>36.32</v>
      </c>
      <c r="L57" s="139">
        <v>37.08</v>
      </c>
      <c r="M57" s="139">
        <v>38.89</v>
      </c>
      <c r="N57" s="139">
        <v>62.74</v>
      </c>
      <c r="O57" s="139">
        <v>84.27</v>
      </c>
      <c r="P57" s="139">
        <v>113.85</v>
      </c>
      <c r="Q57" s="139">
        <v>113.59</v>
      </c>
      <c r="S57" s="139">
        <v>3.8311672626261371E-9</v>
      </c>
      <c r="T57" s="139">
        <v>2.0659369138677308E-9</v>
      </c>
      <c r="U57" s="139">
        <v>3.8311672626261371E-9</v>
      </c>
      <c r="V57" s="139">
        <v>4.4563614206992086E-9</v>
      </c>
      <c r="W57" s="139">
        <v>5.8882993581315691E-9</v>
      </c>
      <c r="X57" s="139">
        <v>8.9025763582780289E-7</v>
      </c>
      <c r="Y57" s="139">
        <v>1.3630984811542754E-4</v>
      </c>
      <c r="Z57" s="139">
        <v>0.19126877264225339</v>
      </c>
      <c r="AA57" s="139">
        <v>0.18056981636792388</v>
      </c>
      <c r="AB57" s="139">
        <v>6.8432486059080537E-4</v>
      </c>
      <c r="BB57" s="136">
        <v>36.32</v>
      </c>
      <c r="BC57" s="136">
        <v>29.21</v>
      </c>
      <c r="BD57" s="136">
        <v>36.32</v>
      </c>
      <c r="BE57" s="136">
        <v>37.08</v>
      </c>
      <c r="BF57" s="136">
        <v>38.89</v>
      </c>
      <c r="BG57" s="136">
        <v>62.74</v>
      </c>
      <c r="BH57" s="136">
        <v>84.27</v>
      </c>
      <c r="BI57" s="136">
        <v>113.85</v>
      </c>
      <c r="BJ57" s="136">
        <v>113.59</v>
      </c>
      <c r="BK57" s="136">
        <v>91.52</v>
      </c>
      <c r="BM57" s="139">
        <v>3.8311672626261371E-9</v>
      </c>
      <c r="BN57" s="139">
        <v>2.0659369138677308E-9</v>
      </c>
      <c r="BO57" s="139">
        <v>3.8311672626261371E-9</v>
      </c>
      <c r="BP57" s="139">
        <v>4.4563614206992086E-9</v>
      </c>
      <c r="BQ57" s="139">
        <v>5.8882993581315691E-9</v>
      </c>
      <c r="BR57" s="139">
        <v>8.9025763582780289E-7</v>
      </c>
      <c r="BS57" s="139">
        <v>1.3630984811542754E-4</v>
      </c>
      <c r="BT57" s="139">
        <v>0.19126877264225339</v>
      </c>
      <c r="BU57" s="139">
        <v>0.18056981636792388</v>
      </c>
      <c r="BV57" s="139">
        <v>6.8432486059080537E-4</v>
      </c>
    </row>
    <row r="58" spans="1:74" x14ac:dyDescent="0.25">
      <c r="A58" s="137">
        <v>42837</v>
      </c>
      <c r="B58" s="138">
        <v>0.46770833333333334</v>
      </c>
      <c r="C58" s="139">
        <v>96.76</v>
      </c>
      <c r="E58" s="140" t="s">
        <v>169</v>
      </c>
      <c r="F58" s="140">
        <v>96.76</v>
      </c>
      <c r="I58" s="139">
        <v>42.21</v>
      </c>
      <c r="J58" s="139">
        <v>32.72</v>
      </c>
      <c r="K58" s="139">
        <v>42.21</v>
      </c>
      <c r="L58" s="139">
        <v>43.17</v>
      </c>
      <c r="M58" s="139">
        <v>45.44</v>
      </c>
      <c r="N58" s="139">
        <v>69.25</v>
      </c>
      <c r="O58" s="139">
        <v>89.19</v>
      </c>
      <c r="P58" s="139">
        <v>115.8</v>
      </c>
      <c r="Q58" s="139">
        <v>114.64</v>
      </c>
      <c r="S58" s="139">
        <v>1.0287263630693816E-8</v>
      </c>
      <c r="T58" s="139">
        <v>2.7919927226616022E-9</v>
      </c>
      <c r="U58" s="139">
        <v>1.0287263630693816E-8</v>
      </c>
      <c r="V58" s="139">
        <v>1.2509589596590571E-8</v>
      </c>
      <c r="W58" s="139">
        <v>1.9470495702326941E-8</v>
      </c>
      <c r="X58" s="139">
        <v>4.1559103990651644E-6</v>
      </c>
      <c r="Y58" s="139">
        <v>4.5839448087301604E-4</v>
      </c>
      <c r="Z58" s="139">
        <v>0.33882923397557274</v>
      </c>
      <c r="AA58" s="139">
        <v>0.29354160487897291</v>
      </c>
      <c r="AB58" s="139">
        <v>2.5249697288034657E-3</v>
      </c>
      <c r="BB58" s="136">
        <v>42.21</v>
      </c>
      <c r="BC58" s="136">
        <v>32.72</v>
      </c>
      <c r="BD58" s="136">
        <v>42.21</v>
      </c>
      <c r="BE58" s="136">
        <v>43.17</v>
      </c>
      <c r="BF58" s="136">
        <v>45.44</v>
      </c>
      <c r="BG58" s="136">
        <v>69.25</v>
      </c>
      <c r="BH58" s="136">
        <v>89.19</v>
      </c>
      <c r="BI58" s="136">
        <v>115.8</v>
      </c>
      <c r="BJ58" s="136">
        <v>114.64</v>
      </c>
      <c r="BK58" s="136">
        <v>96.76</v>
      </c>
      <c r="BM58" s="139">
        <v>1.0287263630693816E-8</v>
      </c>
      <c r="BN58" s="139">
        <v>2.7919927226616022E-9</v>
      </c>
      <c r="BO58" s="139">
        <v>1.0287263630693816E-8</v>
      </c>
      <c r="BP58" s="139">
        <v>1.2509589596590571E-8</v>
      </c>
      <c r="BQ58" s="139">
        <v>1.9470495702326941E-8</v>
      </c>
      <c r="BR58" s="139">
        <v>4.1559103990651644E-6</v>
      </c>
      <c r="BS58" s="139">
        <v>4.5839448087301604E-4</v>
      </c>
      <c r="BT58" s="139">
        <v>0.33882923397557274</v>
      </c>
      <c r="BU58" s="139">
        <v>0.29354160487897291</v>
      </c>
      <c r="BV58" s="139">
        <v>2.5249697288034657E-3</v>
      </c>
    </row>
    <row r="59" spans="1:74" x14ac:dyDescent="0.25">
      <c r="A59" s="137">
        <v>42837</v>
      </c>
      <c r="B59" s="138">
        <v>0.4680555555555555</v>
      </c>
      <c r="C59" s="139">
        <v>100.94</v>
      </c>
      <c r="E59" s="140" t="s">
        <v>169</v>
      </c>
      <c r="F59" s="140">
        <v>100.94</v>
      </c>
      <c r="I59" s="139">
        <v>48.18</v>
      </c>
      <c r="J59" s="139">
        <v>36.46</v>
      </c>
      <c r="K59" s="139">
        <v>48.18</v>
      </c>
      <c r="L59" s="139">
        <v>49.25</v>
      </c>
      <c r="M59" s="139">
        <v>51.79</v>
      </c>
      <c r="N59" s="139">
        <v>75.08</v>
      </c>
      <c r="O59" s="139">
        <v>93.49</v>
      </c>
      <c r="P59" s="139">
        <v>117.68</v>
      </c>
      <c r="Q59" s="139">
        <v>117.08</v>
      </c>
      <c r="S59" s="139">
        <v>3.5812513629464149E-8</v>
      </c>
      <c r="T59" s="139">
        <v>4.5097824621609749E-9</v>
      </c>
      <c r="U59" s="139">
        <v>3.5812513629464149E-8</v>
      </c>
      <c r="V59" s="139">
        <v>4.5166117228964113E-8</v>
      </c>
      <c r="W59" s="139">
        <v>7.808026397973336E-8</v>
      </c>
      <c r="X59" s="139">
        <v>1.665763720754732E-5</v>
      </c>
      <c r="Y59" s="139">
        <v>1.3252964797500842E-3</v>
      </c>
      <c r="Z59" s="139">
        <v>0.56632326405059774</v>
      </c>
      <c r="AA59" s="139">
        <v>0.49168062200669282</v>
      </c>
      <c r="AB59" s="139">
        <v>7.3441148469233219E-3</v>
      </c>
      <c r="BB59" s="136">
        <v>48.18</v>
      </c>
      <c r="BC59" s="136">
        <v>36.46</v>
      </c>
      <c r="BD59" s="136">
        <v>48.18</v>
      </c>
      <c r="BE59" s="136">
        <v>49.25</v>
      </c>
      <c r="BF59" s="136">
        <v>51.79</v>
      </c>
      <c r="BG59" s="136">
        <v>75.08</v>
      </c>
      <c r="BH59" s="136">
        <v>93.49</v>
      </c>
      <c r="BI59" s="136">
        <v>117.68</v>
      </c>
      <c r="BJ59" s="136">
        <v>117.08</v>
      </c>
      <c r="BK59" s="136">
        <v>100.94</v>
      </c>
      <c r="BM59" s="139">
        <v>3.5812513629464149E-8</v>
      </c>
      <c r="BN59" s="139">
        <v>4.5097824621609749E-9</v>
      </c>
      <c r="BO59" s="139">
        <v>3.5812513629464149E-8</v>
      </c>
      <c r="BP59" s="139">
        <v>4.5166117228964113E-8</v>
      </c>
      <c r="BQ59" s="139">
        <v>7.808026397973336E-8</v>
      </c>
      <c r="BR59" s="139">
        <v>1.665763720754732E-5</v>
      </c>
      <c r="BS59" s="139">
        <v>1.3252964797500842E-3</v>
      </c>
      <c r="BT59" s="139">
        <v>0.56632326405059774</v>
      </c>
      <c r="BU59" s="139">
        <v>0.49168062200669282</v>
      </c>
      <c r="BV59" s="139">
        <v>7.3441148469233219E-3</v>
      </c>
    </row>
    <row r="60" spans="1:74" x14ac:dyDescent="0.25">
      <c r="A60" s="137">
        <v>42837</v>
      </c>
      <c r="B60" s="138">
        <v>0.46840277777777778</v>
      </c>
      <c r="C60" s="139">
        <v>104.4</v>
      </c>
      <c r="E60" s="140" t="s">
        <v>169</v>
      </c>
      <c r="F60" s="140">
        <v>104.4</v>
      </c>
      <c r="I60" s="139">
        <v>53.99</v>
      </c>
      <c r="J60" s="139">
        <v>40.299999999999997</v>
      </c>
      <c r="K60" s="139">
        <v>53.99</v>
      </c>
      <c r="L60" s="139">
        <v>55.12</v>
      </c>
      <c r="M60" s="139">
        <v>58.07</v>
      </c>
      <c r="N60" s="139">
        <v>80.36</v>
      </c>
      <c r="O60" s="139">
        <v>97.23</v>
      </c>
      <c r="P60" s="139">
        <v>118.94</v>
      </c>
      <c r="Q60" s="139">
        <v>116.65</v>
      </c>
      <c r="S60" s="139">
        <v>1.330805177105974E-7</v>
      </c>
      <c r="T60" s="139">
        <v>8.6686013176743252E-9</v>
      </c>
      <c r="U60" s="139">
        <v>1.330805177105974E-7</v>
      </c>
      <c r="V60" s="139">
        <v>1.7134015585299291E-7</v>
      </c>
      <c r="W60" s="139">
        <v>3.2694880646920163E-7</v>
      </c>
      <c r="X60" s="139">
        <v>5.8824375095761036E-5</v>
      </c>
      <c r="Y60" s="139">
        <v>3.3763169946831222E-3</v>
      </c>
      <c r="Z60" s="139">
        <v>0.87039076468995691</v>
      </c>
      <c r="AA60" s="139">
        <v>0.67114158932919588</v>
      </c>
      <c r="AB60" s="139">
        <v>1.8033925294434504E-2</v>
      </c>
      <c r="BB60" s="136">
        <v>53.99</v>
      </c>
      <c r="BC60" s="136">
        <v>40.299999999999997</v>
      </c>
      <c r="BD60" s="136">
        <v>53.99</v>
      </c>
      <c r="BE60" s="136">
        <v>55.12</v>
      </c>
      <c r="BF60" s="136">
        <v>58.07</v>
      </c>
      <c r="BG60" s="136">
        <v>80.36</v>
      </c>
      <c r="BH60" s="136">
        <v>97.23</v>
      </c>
      <c r="BI60" s="136">
        <v>118.94</v>
      </c>
      <c r="BJ60" s="136">
        <v>116.65</v>
      </c>
      <c r="BK60" s="136">
        <v>104.4</v>
      </c>
      <c r="BM60" s="139">
        <v>1.330805177105974E-7</v>
      </c>
      <c r="BN60" s="139">
        <v>8.6686013176743252E-9</v>
      </c>
      <c r="BO60" s="139">
        <v>1.330805177105974E-7</v>
      </c>
      <c r="BP60" s="139">
        <v>1.7134015585299291E-7</v>
      </c>
      <c r="BQ60" s="139">
        <v>3.2694880646920163E-7</v>
      </c>
      <c r="BR60" s="139">
        <v>5.8824375095761036E-5</v>
      </c>
      <c r="BS60" s="139">
        <v>3.3763169946831222E-3</v>
      </c>
      <c r="BT60" s="139">
        <v>0.87039076468995691</v>
      </c>
      <c r="BU60" s="139">
        <v>0.67114158932919588</v>
      </c>
      <c r="BV60" s="139">
        <v>1.8033925294434504E-2</v>
      </c>
    </row>
    <row r="61" spans="1:74" x14ac:dyDescent="0.25">
      <c r="A61" s="137">
        <v>42837</v>
      </c>
      <c r="B61" s="138">
        <v>0.46875</v>
      </c>
      <c r="C61" s="139">
        <v>107.29</v>
      </c>
      <c r="E61" s="140" t="s">
        <v>169</v>
      </c>
      <c r="F61" s="140">
        <v>107.29</v>
      </c>
      <c r="I61" s="139">
        <v>59.47</v>
      </c>
      <c r="J61" s="139">
        <v>44.2</v>
      </c>
      <c r="K61" s="139">
        <v>59.47</v>
      </c>
      <c r="L61" s="139">
        <v>60.74</v>
      </c>
      <c r="M61" s="139">
        <v>64.010000000000005</v>
      </c>
      <c r="N61" s="139">
        <v>85.04</v>
      </c>
      <c r="O61" s="139">
        <v>100.46</v>
      </c>
      <c r="P61" s="139">
        <v>120.03</v>
      </c>
      <c r="Q61" s="139">
        <v>118.84</v>
      </c>
      <c r="S61" s="139">
        <v>4.7661473771771347E-7</v>
      </c>
      <c r="T61" s="139">
        <v>1.8877291041021959E-8</v>
      </c>
      <c r="U61" s="139">
        <v>4.7661473771771347E-7</v>
      </c>
      <c r="V61" s="139">
        <v>6.315649417295786E-7</v>
      </c>
      <c r="W61" s="139">
        <v>1.3041185343569008E-6</v>
      </c>
      <c r="X61" s="139">
        <v>1.8269547797742551E-4</v>
      </c>
      <c r="Y61" s="139">
        <v>7.6912097335179704E-3</v>
      </c>
      <c r="Z61" s="139">
        <v>1.2612046669841224</v>
      </c>
      <c r="AA61" s="139">
        <v>0.96828766863698279</v>
      </c>
      <c r="AB61" s="139">
        <v>3.8829455819135654E-2</v>
      </c>
      <c r="BB61" s="136">
        <v>59.47</v>
      </c>
      <c r="BC61" s="136">
        <v>44.2</v>
      </c>
      <c r="BD61" s="136">
        <v>59.47</v>
      </c>
      <c r="BE61" s="136">
        <v>60.74</v>
      </c>
      <c r="BF61" s="136">
        <v>64.010000000000005</v>
      </c>
      <c r="BG61" s="136">
        <v>85.04</v>
      </c>
      <c r="BH61" s="136">
        <v>100.46</v>
      </c>
      <c r="BI61" s="136">
        <v>120.03</v>
      </c>
      <c r="BJ61" s="136">
        <v>118.84</v>
      </c>
      <c r="BK61" s="136">
        <v>107.29</v>
      </c>
      <c r="BM61" s="139">
        <v>4.7661473771771347E-7</v>
      </c>
      <c r="BN61" s="139">
        <v>1.8877291041021959E-8</v>
      </c>
      <c r="BO61" s="139">
        <v>4.7661473771771347E-7</v>
      </c>
      <c r="BP61" s="139">
        <v>6.315649417295786E-7</v>
      </c>
      <c r="BQ61" s="139">
        <v>1.3041185343569008E-6</v>
      </c>
      <c r="BR61" s="139">
        <v>1.8269547797742551E-4</v>
      </c>
      <c r="BS61" s="139">
        <v>7.6912097335179704E-3</v>
      </c>
      <c r="BT61" s="139">
        <v>1.2612046669841224</v>
      </c>
      <c r="BU61" s="139">
        <v>0.96828766863698279</v>
      </c>
      <c r="BV61" s="139">
        <v>3.8829455819135654E-2</v>
      </c>
    </row>
    <row r="62" spans="1:74" x14ac:dyDescent="0.25">
      <c r="A62" s="137">
        <v>42837</v>
      </c>
      <c r="B62" s="138">
        <v>0.46909722222222222</v>
      </c>
      <c r="C62" s="139">
        <v>109.78</v>
      </c>
      <c r="E62" s="140" t="s">
        <v>169</v>
      </c>
      <c r="F62" s="140">
        <v>109.78</v>
      </c>
      <c r="I62" s="139">
        <v>64.64</v>
      </c>
      <c r="J62" s="139">
        <v>48.11</v>
      </c>
      <c r="K62" s="139">
        <v>64.64</v>
      </c>
      <c r="L62" s="139">
        <v>66.08</v>
      </c>
      <c r="M62" s="139">
        <v>69.55</v>
      </c>
      <c r="N62" s="139">
        <v>89.27</v>
      </c>
      <c r="O62" s="139">
        <v>103.33</v>
      </c>
      <c r="P62" s="139">
        <v>121.26</v>
      </c>
      <c r="Q62" s="139">
        <v>118.92</v>
      </c>
      <c r="S62" s="139">
        <v>1.6063326228282042E-6</v>
      </c>
      <c r="T62" s="139">
        <v>4.3994420517141293E-8</v>
      </c>
      <c r="U62" s="139">
        <v>1.6063326228282042E-6</v>
      </c>
      <c r="V62" s="139">
        <v>2.2054390987802362E-6</v>
      </c>
      <c r="W62" s="139">
        <v>4.8033285143682663E-6</v>
      </c>
      <c r="X62" s="139">
        <v>5.1076811112887822E-4</v>
      </c>
      <c r="Y62" s="139">
        <v>1.6046662805071513E-2</v>
      </c>
      <c r="Z62" s="139">
        <v>1.7799688748931299</v>
      </c>
      <c r="AA62" s="139">
        <v>1.2709581060139401</v>
      </c>
      <c r="AB62" s="139">
        <v>7.5724667325590744E-2</v>
      </c>
      <c r="BB62" s="136">
        <v>64.64</v>
      </c>
      <c r="BC62" s="136">
        <v>48.11</v>
      </c>
      <c r="BD62" s="136">
        <v>64.64</v>
      </c>
      <c r="BE62" s="136">
        <v>66.08</v>
      </c>
      <c r="BF62" s="136">
        <v>69.55</v>
      </c>
      <c r="BG62" s="136">
        <v>89.27</v>
      </c>
      <c r="BH62" s="136">
        <v>103.33</v>
      </c>
      <c r="BI62" s="136">
        <v>121.26</v>
      </c>
      <c r="BJ62" s="136">
        <v>118.92</v>
      </c>
      <c r="BK62" s="136">
        <v>109.78</v>
      </c>
      <c r="BM62" s="139">
        <v>1.6063326228282042E-6</v>
      </c>
      <c r="BN62" s="139">
        <v>4.3994420517141293E-8</v>
      </c>
      <c r="BO62" s="139">
        <v>1.6063326228282042E-6</v>
      </c>
      <c r="BP62" s="139">
        <v>2.2054390987802362E-6</v>
      </c>
      <c r="BQ62" s="139">
        <v>4.8033285143682663E-6</v>
      </c>
      <c r="BR62" s="139">
        <v>5.1076811112887822E-4</v>
      </c>
      <c r="BS62" s="139">
        <v>1.6046662805071513E-2</v>
      </c>
      <c r="BT62" s="139">
        <v>1.7799688748931299</v>
      </c>
      <c r="BU62" s="139">
        <v>1.2709581060139401</v>
      </c>
      <c r="BV62" s="139">
        <v>7.5724667325590744E-2</v>
      </c>
    </row>
    <row r="63" spans="1:74" x14ac:dyDescent="0.25">
      <c r="A63" s="137">
        <v>42837</v>
      </c>
      <c r="B63" s="138">
        <v>0.4694444444444445</v>
      </c>
      <c r="C63" s="139">
        <v>111.93</v>
      </c>
      <c r="E63" s="140" t="s">
        <v>169</v>
      </c>
      <c r="F63" s="140">
        <v>111.93</v>
      </c>
      <c r="I63" s="139">
        <v>69.540000000000006</v>
      </c>
      <c r="J63" s="139">
        <v>51.99</v>
      </c>
      <c r="K63" s="139">
        <v>69.540000000000006</v>
      </c>
      <c r="L63" s="139">
        <v>71.08</v>
      </c>
      <c r="M63" s="139">
        <v>74.680000000000007</v>
      </c>
      <c r="N63" s="139">
        <v>93.1</v>
      </c>
      <c r="O63" s="139">
        <v>105.9</v>
      </c>
      <c r="P63" s="139">
        <v>122.33</v>
      </c>
      <c r="Q63" s="139">
        <v>120.43</v>
      </c>
      <c r="S63" s="139">
        <v>5.0974946432140698E-6</v>
      </c>
      <c r="T63" s="139">
        <v>1.0536638207506174E-7</v>
      </c>
      <c r="U63" s="139">
        <v>5.0974946432140698E-6</v>
      </c>
      <c r="V63" s="139">
        <v>7.1824661855378717E-6</v>
      </c>
      <c r="W63" s="139">
        <v>1.6205038874370379E-5</v>
      </c>
      <c r="X63" s="139">
        <v>1.3032147073594349E-3</v>
      </c>
      <c r="Y63" s="139">
        <v>3.1146421407081626E-2</v>
      </c>
      <c r="Z63" s="139">
        <v>2.4436661037580003</v>
      </c>
      <c r="AA63" s="139">
        <v>1.6994770286291261</v>
      </c>
      <c r="AB63" s="139">
        <v>0.13625457400311503</v>
      </c>
      <c r="BB63" s="136">
        <v>69.540000000000006</v>
      </c>
      <c r="BC63" s="136">
        <v>51.99</v>
      </c>
      <c r="BD63" s="136">
        <v>69.540000000000006</v>
      </c>
      <c r="BE63" s="136">
        <v>71.08</v>
      </c>
      <c r="BF63" s="136">
        <v>74.680000000000007</v>
      </c>
      <c r="BG63" s="136">
        <v>93.1</v>
      </c>
      <c r="BH63" s="136">
        <v>105.9</v>
      </c>
      <c r="BI63" s="136">
        <v>122.33</v>
      </c>
      <c r="BJ63" s="136">
        <v>120.43</v>
      </c>
      <c r="BK63" s="136">
        <v>111.93</v>
      </c>
      <c r="BM63" s="139">
        <v>5.0974946432140698E-6</v>
      </c>
      <c r="BN63" s="139">
        <v>1.0536638207506174E-7</v>
      </c>
      <c r="BO63" s="139">
        <v>5.0974946432140698E-6</v>
      </c>
      <c r="BP63" s="139">
        <v>7.1824661855378717E-6</v>
      </c>
      <c r="BQ63" s="139">
        <v>1.6205038874370379E-5</v>
      </c>
      <c r="BR63" s="139">
        <v>1.3032147073594349E-3</v>
      </c>
      <c r="BS63" s="139">
        <v>3.1146421407081626E-2</v>
      </c>
      <c r="BT63" s="139">
        <v>2.4436661037580003</v>
      </c>
      <c r="BU63" s="139">
        <v>1.6994770286291261</v>
      </c>
      <c r="BV63" s="139">
        <v>0.13625457400311503</v>
      </c>
    </row>
    <row r="64" spans="1:74" x14ac:dyDescent="0.25">
      <c r="A64" s="137">
        <v>42837</v>
      </c>
      <c r="B64" s="138">
        <v>0.46979166666666666</v>
      </c>
      <c r="C64" s="139">
        <v>113.83</v>
      </c>
      <c r="E64" s="140" t="s">
        <v>169</v>
      </c>
      <c r="F64" s="140">
        <v>113.83</v>
      </c>
      <c r="I64" s="139">
        <v>74.150000000000006</v>
      </c>
      <c r="J64" s="139">
        <v>55.8</v>
      </c>
      <c r="K64" s="139">
        <v>74.150000000000006</v>
      </c>
      <c r="L64" s="139">
        <v>75.73</v>
      </c>
      <c r="M64" s="139">
        <v>79.459999999999994</v>
      </c>
      <c r="N64" s="139">
        <v>96.56</v>
      </c>
      <c r="O64" s="139">
        <v>108.22</v>
      </c>
      <c r="P64" s="139">
        <v>123.3</v>
      </c>
      <c r="Q64" s="139">
        <v>121.88</v>
      </c>
      <c r="S64" s="139">
        <v>1.5189326461621899E-5</v>
      </c>
      <c r="T64" s="139">
        <v>2.5292684340838107E-7</v>
      </c>
      <c r="U64" s="139">
        <v>1.5189326461621899E-5</v>
      </c>
      <c r="V64" s="139">
        <v>2.170257945786014E-5</v>
      </c>
      <c r="W64" s="139">
        <v>5.0479450197003445E-5</v>
      </c>
      <c r="X64" s="139">
        <v>3.0610169100009276E-3</v>
      </c>
      <c r="Y64" s="139">
        <v>5.6907853636169473E-2</v>
      </c>
      <c r="Z64" s="139">
        <v>3.2734595574767811</v>
      </c>
      <c r="AA64" s="139">
        <v>2.2978472942827479</v>
      </c>
      <c r="AB64" s="139">
        <v>0.23000429940648601</v>
      </c>
      <c r="BB64" s="136">
        <v>74.150000000000006</v>
      </c>
      <c r="BC64" s="136">
        <v>55.8</v>
      </c>
      <c r="BD64" s="136">
        <v>74.150000000000006</v>
      </c>
      <c r="BE64" s="136">
        <v>75.73</v>
      </c>
      <c r="BF64" s="136">
        <v>79.459999999999994</v>
      </c>
      <c r="BG64" s="136">
        <v>96.56</v>
      </c>
      <c r="BH64" s="136">
        <v>108.22</v>
      </c>
      <c r="BI64" s="136">
        <v>123.3</v>
      </c>
      <c r="BJ64" s="136">
        <v>121.88</v>
      </c>
      <c r="BK64" s="136">
        <v>113.83</v>
      </c>
      <c r="BM64" s="139">
        <v>1.5189326461621899E-5</v>
      </c>
      <c r="BN64" s="139">
        <v>2.5292684340838107E-7</v>
      </c>
      <c r="BO64" s="139">
        <v>1.5189326461621899E-5</v>
      </c>
      <c r="BP64" s="139">
        <v>2.170257945786014E-5</v>
      </c>
      <c r="BQ64" s="139">
        <v>5.0479450197003445E-5</v>
      </c>
      <c r="BR64" s="139">
        <v>3.0610169100009276E-3</v>
      </c>
      <c r="BS64" s="139">
        <v>5.6907853636169473E-2</v>
      </c>
      <c r="BT64" s="139">
        <v>3.2734595574767811</v>
      </c>
      <c r="BU64" s="139">
        <v>2.2978472942827479</v>
      </c>
      <c r="BV64" s="139">
        <v>0.23000429940648601</v>
      </c>
    </row>
    <row r="65" spans="1:74" x14ac:dyDescent="0.25">
      <c r="A65" s="137">
        <v>42837</v>
      </c>
      <c r="B65" s="138">
        <v>0.47013888888888888</v>
      </c>
      <c r="C65" s="139">
        <v>115.46</v>
      </c>
      <c r="E65" s="140" t="s">
        <v>169</v>
      </c>
      <c r="F65" s="140">
        <v>115.46</v>
      </c>
      <c r="I65" s="139">
        <v>78.459999999999994</v>
      </c>
      <c r="J65" s="139">
        <v>59.56</v>
      </c>
      <c r="K65" s="139">
        <v>78.459999999999994</v>
      </c>
      <c r="L65" s="139">
        <v>80.13</v>
      </c>
      <c r="M65" s="139">
        <v>83.92</v>
      </c>
      <c r="N65" s="139">
        <v>99.69</v>
      </c>
      <c r="O65" s="139">
        <v>110.29</v>
      </c>
      <c r="P65" s="139">
        <v>124.26</v>
      </c>
      <c r="Q65" s="139">
        <v>122.96</v>
      </c>
      <c r="S65" s="139">
        <v>4.2414459103742928E-5</v>
      </c>
      <c r="T65" s="139">
        <v>6.03654492618367E-7</v>
      </c>
      <c r="U65" s="139">
        <v>4.2414459103742928E-5</v>
      </c>
      <c r="V65" s="139">
        <v>6.1694292208211576E-5</v>
      </c>
      <c r="W65" s="139">
        <v>1.4619224644805788E-4</v>
      </c>
      <c r="X65" s="139">
        <v>6.6748659280117797E-3</v>
      </c>
      <c r="Y65" s="139">
        <v>9.84003920118907E-2</v>
      </c>
      <c r="Z65" s="139">
        <v>4.3085302318723047</v>
      </c>
      <c r="AA65" s="139">
        <v>3.065155785682395</v>
      </c>
      <c r="AB65" s="139">
        <v>0.36645318854688802</v>
      </c>
      <c r="BB65" s="136">
        <v>78.459999999999994</v>
      </c>
      <c r="BC65" s="136">
        <v>59.56</v>
      </c>
      <c r="BD65" s="136">
        <v>78.459999999999994</v>
      </c>
      <c r="BE65" s="136">
        <v>80.13</v>
      </c>
      <c r="BF65" s="136">
        <v>83.92</v>
      </c>
      <c r="BG65" s="136">
        <v>99.69</v>
      </c>
      <c r="BH65" s="136">
        <v>110.29</v>
      </c>
      <c r="BI65" s="136">
        <v>124.26</v>
      </c>
      <c r="BJ65" s="136">
        <v>122.96</v>
      </c>
      <c r="BK65" s="136">
        <v>115.46</v>
      </c>
      <c r="BM65" s="139">
        <v>4.2414459103742928E-5</v>
      </c>
      <c r="BN65" s="139">
        <v>6.03654492618367E-7</v>
      </c>
      <c r="BO65" s="139">
        <v>4.2414459103742928E-5</v>
      </c>
      <c r="BP65" s="139">
        <v>6.1694292208211576E-5</v>
      </c>
      <c r="BQ65" s="139">
        <v>1.4619224644805788E-4</v>
      </c>
      <c r="BR65" s="139">
        <v>6.6748659280117797E-3</v>
      </c>
      <c r="BS65" s="139">
        <v>9.84003920118907E-2</v>
      </c>
      <c r="BT65" s="139">
        <v>4.3085302318723047</v>
      </c>
      <c r="BU65" s="139">
        <v>3.065155785682395</v>
      </c>
      <c r="BV65" s="139">
        <v>0.36645318854688802</v>
      </c>
    </row>
    <row r="66" spans="1:74" x14ac:dyDescent="0.25">
      <c r="A66" s="137">
        <v>42837</v>
      </c>
      <c r="B66" s="138">
        <v>0.4704861111111111</v>
      </c>
      <c r="C66" s="139">
        <v>116.96</v>
      </c>
      <c r="E66" s="140" t="s">
        <v>169</v>
      </c>
      <c r="F66" s="140">
        <v>116.96</v>
      </c>
      <c r="I66" s="139">
        <v>82.44</v>
      </c>
      <c r="J66" s="139">
        <v>63.18</v>
      </c>
      <c r="K66" s="139">
        <v>82.44</v>
      </c>
      <c r="L66" s="139">
        <v>84.16</v>
      </c>
      <c r="M66" s="139">
        <v>88.03</v>
      </c>
      <c r="N66" s="139">
        <v>102.55</v>
      </c>
      <c r="O66" s="139">
        <v>112.22</v>
      </c>
      <c r="P66" s="139">
        <v>125.34</v>
      </c>
      <c r="Q66" s="139">
        <v>123.14</v>
      </c>
      <c r="S66" s="139">
        <v>1.1048669322704048E-4</v>
      </c>
      <c r="T66" s="139">
        <v>1.4108337710316091E-6</v>
      </c>
      <c r="U66" s="139">
        <v>1.1048669322704048E-4</v>
      </c>
      <c r="V66" s="139">
        <v>1.6284525114212503E-4</v>
      </c>
      <c r="W66" s="139">
        <v>3.9277914842552605E-4</v>
      </c>
      <c r="X66" s="139">
        <v>1.3656707733291468E-2</v>
      </c>
      <c r="Y66" s="139">
        <v>0.16311018408439007</v>
      </c>
      <c r="Z66" s="139">
        <v>5.6358330128600773</v>
      </c>
      <c r="AA66" s="139">
        <v>3.8649347999897308</v>
      </c>
      <c r="AB66" s="139">
        <v>0.55919236737977385</v>
      </c>
      <c r="BB66" s="136">
        <v>82.44</v>
      </c>
      <c r="BC66" s="136">
        <v>63.18</v>
      </c>
      <c r="BD66" s="136">
        <v>82.44</v>
      </c>
      <c r="BE66" s="136">
        <v>84.16</v>
      </c>
      <c r="BF66" s="136">
        <v>88.03</v>
      </c>
      <c r="BG66" s="136">
        <v>102.55</v>
      </c>
      <c r="BH66" s="136">
        <v>112.22</v>
      </c>
      <c r="BI66" s="136">
        <v>125.34</v>
      </c>
      <c r="BJ66" s="136">
        <v>123.14</v>
      </c>
      <c r="BK66" s="136">
        <v>116.96</v>
      </c>
      <c r="BM66" s="139">
        <v>1.1048669322704048E-4</v>
      </c>
      <c r="BN66" s="139">
        <v>1.4108337710316091E-6</v>
      </c>
      <c r="BO66" s="139">
        <v>1.1048669322704048E-4</v>
      </c>
      <c r="BP66" s="139">
        <v>1.6284525114212503E-4</v>
      </c>
      <c r="BQ66" s="139">
        <v>3.9277914842552605E-4</v>
      </c>
      <c r="BR66" s="139">
        <v>1.3656707733291468E-2</v>
      </c>
      <c r="BS66" s="139">
        <v>0.16311018408439007</v>
      </c>
      <c r="BT66" s="139">
        <v>5.6358330128600773</v>
      </c>
      <c r="BU66" s="139">
        <v>3.8649347999897308</v>
      </c>
      <c r="BV66" s="139">
        <v>0.55919236737977385</v>
      </c>
    </row>
    <row r="67" spans="1:74" x14ac:dyDescent="0.25">
      <c r="A67" s="137">
        <v>42837</v>
      </c>
      <c r="B67" s="138">
        <v>0.47083333333333338</v>
      </c>
      <c r="C67" s="139">
        <v>118.38</v>
      </c>
      <c r="E67" s="140" t="s">
        <v>169</v>
      </c>
      <c r="F67" s="140">
        <v>118.38</v>
      </c>
      <c r="I67" s="139">
        <v>86.18</v>
      </c>
      <c r="J67" s="139">
        <v>66.739999999999995</v>
      </c>
      <c r="K67" s="139">
        <v>86.18</v>
      </c>
      <c r="L67" s="139">
        <v>87.83</v>
      </c>
      <c r="M67" s="139">
        <v>91.83</v>
      </c>
      <c r="N67" s="139">
        <v>105.17</v>
      </c>
      <c r="O67" s="139">
        <v>114.03</v>
      </c>
      <c r="P67" s="139">
        <v>126.5</v>
      </c>
      <c r="Q67" s="139">
        <v>123.55</v>
      </c>
      <c r="S67" s="139">
        <v>2.7154013279121251E-4</v>
      </c>
      <c r="T67" s="139">
        <v>3.2430216442707747E-6</v>
      </c>
      <c r="U67" s="139">
        <v>2.7154013279121251E-4</v>
      </c>
      <c r="V67" s="139">
        <v>3.9833391434060151E-4</v>
      </c>
      <c r="W67" s="139">
        <v>9.8429992628810839E-4</v>
      </c>
      <c r="X67" s="139">
        <v>2.6420214246597715E-2</v>
      </c>
      <c r="Y67" s="139">
        <v>0.26127819792619256</v>
      </c>
      <c r="Z67" s="139">
        <v>7.3695172651227381</v>
      </c>
      <c r="AA67" s="139">
        <v>4.743896606969078</v>
      </c>
      <c r="AB67" s="139">
        <v>0.82647454707825974</v>
      </c>
      <c r="BB67" s="136">
        <v>86.18</v>
      </c>
      <c r="BC67" s="136">
        <v>66.739999999999995</v>
      </c>
      <c r="BD67" s="136">
        <v>86.18</v>
      </c>
      <c r="BE67" s="136">
        <v>87.83</v>
      </c>
      <c r="BF67" s="136">
        <v>91.83</v>
      </c>
      <c r="BG67" s="136">
        <v>105.17</v>
      </c>
      <c r="BH67" s="136">
        <v>114.03</v>
      </c>
      <c r="BI67" s="136">
        <v>126.5</v>
      </c>
      <c r="BJ67" s="136">
        <v>123.55</v>
      </c>
      <c r="BK67" s="136">
        <v>118.38</v>
      </c>
      <c r="BM67" s="139">
        <v>2.7154013279121251E-4</v>
      </c>
      <c r="BN67" s="139">
        <v>3.2430216442707747E-6</v>
      </c>
      <c r="BO67" s="139">
        <v>2.7154013279121251E-4</v>
      </c>
      <c r="BP67" s="139">
        <v>3.9833391434060151E-4</v>
      </c>
      <c r="BQ67" s="139">
        <v>9.8429992628810839E-4</v>
      </c>
      <c r="BR67" s="139">
        <v>2.6420214246597715E-2</v>
      </c>
      <c r="BS67" s="139">
        <v>0.26127819792619256</v>
      </c>
      <c r="BT67" s="139">
        <v>7.3695172651227381</v>
      </c>
      <c r="BU67" s="139">
        <v>4.743896606969078</v>
      </c>
      <c r="BV67" s="139">
        <v>0.82647454707825974</v>
      </c>
    </row>
    <row r="68" spans="1:74" x14ac:dyDescent="0.25">
      <c r="A68" s="137">
        <v>42837</v>
      </c>
      <c r="B68" s="138">
        <v>0.47118055555555555</v>
      </c>
      <c r="C68" s="139">
        <v>119.61</v>
      </c>
      <c r="E68" s="140" t="s">
        <v>169</v>
      </c>
      <c r="F68" s="140">
        <v>119.61</v>
      </c>
      <c r="I68" s="139">
        <v>89.65</v>
      </c>
      <c r="J68" s="139">
        <v>70.2</v>
      </c>
      <c r="K68" s="139">
        <v>89.65</v>
      </c>
      <c r="L68" s="139">
        <v>91.32</v>
      </c>
      <c r="M68" s="139">
        <v>95.26</v>
      </c>
      <c r="N68" s="139">
        <v>107.54</v>
      </c>
      <c r="O68" s="139">
        <v>115.44</v>
      </c>
      <c r="P68" s="139">
        <v>124.78</v>
      </c>
      <c r="Q68" s="139">
        <v>123.52</v>
      </c>
      <c r="S68" s="139">
        <v>6.2961183789766442E-4</v>
      </c>
      <c r="T68" s="139">
        <v>7.3071742250912738E-6</v>
      </c>
      <c r="U68" s="139">
        <v>6.2961183789766442E-4</v>
      </c>
      <c r="V68" s="139">
        <v>9.2431485125221225E-4</v>
      </c>
      <c r="W68" s="139">
        <v>2.2873767012875591E-3</v>
      </c>
      <c r="X68" s="139">
        <v>4.8447957421925439E-2</v>
      </c>
      <c r="Y68" s="139">
        <v>0.39710016136814674</v>
      </c>
      <c r="Z68" s="139">
        <v>8.5362462962632417</v>
      </c>
      <c r="AA68" s="139">
        <v>5.6168076834293306</v>
      </c>
      <c r="AB68" s="139">
        <v>1.1812634310599546</v>
      </c>
      <c r="BB68" s="136">
        <v>89.65</v>
      </c>
      <c r="BC68" s="136">
        <v>70.2</v>
      </c>
      <c r="BD68" s="136">
        <v>89.65</v>
      </c>
      <c r="BE68" s="136">
        <v>91.32</v>
      </c>
      <c r="BF68" s="136">
        <v>95.26</v>
      </c>
      <c r="BG68" s="136">
        <v>107.54</v>
      </c>
      <c r="BH68" s="136">
        <v>115.44</v>
      </c>
      <c r="BI68" s="136">
        <v>124.78</v>
      </c>
      <c r="BJ68" s="136">
        <v>123.52</v>
      </c>
      <c r="BK68" s="136">
        <v>119.61</v>
      </c>
      <c r="BM68" s="139">
        <v>6.2961183789766442E-4</v>
      </c>
      <c r="BN68" s="139">
        <v>7.3071742250912738E-6</v>
      </c>
      <c r="BO68" s="139">
        <v>6.2961183789766442E-4</v>
      </c>
      <c r="BP68" s="139">
        <v>9.2431485125221225E-4</v>
      </c>
      <c r="BQ68" s="139">
        <v>2.2873767012875591E-3</v>
      </c>
      <c r="BR68" s="139">
        <v>4.8447957421925439E-2</v>
      </c>
      <c r="BS68" s="139">
        <v>0.39710016136814674</v>
      </c>
      <c r="BT68" s="139">
        <v>8.5362462962632417</v>
      </c>
      <c r="BU68" s="139">
        <v>5.6168076834293306</v>
      </c>
      <c r="BV68" s="139">
        <v>1.1812634310599546</v>
      </c>
    </row>
    <row r="69" spans="1:74" x14ac:dyDescent="0.25">
      <c r="A69" s="137">
        <v>42837</v>
      </c>
      <c r="B69" s="138">
        <v>0.47152777777777777</v>
      </c>
      <c r="C69" s="139">
        <v>120.16</v>
      </c>
      <c r="E69" s="140" t="s">
        <v>169</v>
      </c>
      <c r="F69" s="140">
        <v>120.16</v>
      </c>
      <c r="I69" s="139">
        <v>92.79</v>
      </c>
      <c r="J69" s="139">
        <v>73.44</v>
      </c>
      <c r="K69" s="139">
        <v>92.79</v>
      </c>
      <c r="L69" s="139">
        <v>94.23</v>
      </c>
      <c r="M69" s="139">
        <v>98.08</v>
      </c>
      <c r="N69" s="139">
        <v>109.53</v>
      </c>
      <c r="O69" s="139">
        <v>115.64</v>
      </c>
      <c r="P69" s="139">
        <v>121.87</v>
      </c>
      <c r="Q69" s="139">
        <v>121.46</v>
      </c>
      <c r="S69" s="139">
        <v>1.3674651045356135E-3</v>
      </c>
      <c r="T69" s="139">
        <v>1.587696076263339E-5</v>
      </c>
      <c r="U69" s="139">
        <v>1.3674651045356135E-3</v>
      </c>
      <c r="V69" s="139">
        <v>1.9522601492442853E-3</v>
      </c>
      <c r="W69" s="139">
        <v>4.7817991385876203E-3</v>
      </c>
      <c r="X69" s="139">
        <v>8.327928312746391E-2</v>
      </c>
      <c r="Y69" s="139">
        <v>0.53932321674054273</v>
      </c>
      <c r="Z69" s="139">
        <v>9.133240348495379</v>
      </c>
      <c r="AA69" s="139">
        <v>6.1600204952378634</v>
      </c>
      <c r="AB69" s="139">
        <v>1.5839526516594882</v>
      </c>
      <c r="BB69" s="136">
        <v>92.79</v>
      </c>
      <c r="BC69" s="136">
        <v>73.44</v>
      </c>
      <c r="BD69" s="136">
        <v>92.79</v>
      </c>
      <c r="BE69" s="136">
        <v>94.23</v>
      </c>
      <c r="BF69" s="136">
        <v>98.08</v>
      </c>
      <c r="BG69" s="136">
        <v>109.53</v>
      </c>
      <c r="BH69" s="136">
        <v>115.64</v>
      </c>
      <c r="BI69" s="136">
        <v>121.87</v>
      </c>
      <c r="BJ69" s="136">
        <v>121.46</v>
      </c>
      <c r="BK69" s="136">
        <v>120.16</v>
      </c>
      <c r="BM69" s="139">
        <v>1.3674651045356135E-3</v>
      </c>
      <c r="BN69" s="139">
        <v>1.587696076263339E-5</v>
      </c>
      <c r="BO69" s="139">
        <v>1.3674651045356135E-3</v>
      </c>
      <c r="BP69" s="139">
        <v>1.9522601492442853E-3</v>
      </c>
      <c r="BQ69" s="139">
        <v>4.7817991385876203E-3</v>
      </c>
      <c r="BR69" s="139">
        <v>8.327928312746391E-2</v>
      </c>
      <c r="BS69" s="139">
        <v>0.53932321674054273</v>
      </c>
      <c r="BT69" s="139">
        <v>9.133240348495379</v>
      </c>
      <c r="BU69" s="139">
        <v>6.1600204952378634</v>
      </c>
      <c r="BV69" s="139">
        <v>1.5839526516594882</v>
      </c>
    </row>
    <row r="70" spans="1:74" x14ac:dyDescent="0.25">
      <c r="A70" s="141">
        <v>42837</v>
      </c>
      <c r="B70" s="142">
        <v>0.47187499999999999</v>
      </c>
      <c r="C70" s="143">
        <v>120.68</v>
      </c>
      <c r="E70" s="144" t="s">
        <v>169</v>
      </c>
      <c r="F70" s="158">
        <v>120.68</v>
      </c>
      <c r="I70" s="143">
        <v>95.53</v>
      </c>
      <c r="J70" s="143">
        <v>76.400000000000006</v>
      </c>
      <c r="K70" s="143">
        <v>95.53</v>
      </c>
      <c r="L70" s="143">
        <v>96.89</v>
      </c>
      <c r="M70" s="143">
        <v>100.66</v>
      </c>
      <c r="N70" s="143">
        <v>111.19</v>
      </c>
      <c r="O70" s="143">
        <v>116.91</v>
      </c>
      <c r="P70" s="143">
        <v>123.56</v>
      </c>
      <c r="Q70" s="143">
        <v>122.79</v>
      </c>
      <c r="S70" s="145">
        <v>2.7541251568615347E-3</v>
      </c>
      <c r="T70" s="145">
        <v>3.2819168569593545E-5</v>
      </c>
      <c r="U70" s="145">
        <v>2.7541251568615347E-3</v>
      </c>
      <c r="V70" s="145">
        <v>3.848835074112697E-3</v>
      </c>
      <c r="W70" s="145">
        <v>9.300046507199131E-3</v>
      </c>
      <c r="X70" s="145">
        <v>0.13432625731284795</v>
      </c>
      <c r="Y70" s="145">
        <v>0.72985612843742931</v>
      </c>
      <c r="Z70" s="145">
        <v>10.014228371701195</v>
      </c>
      <c r="AA70" s="145">
        <v>6.8978737618758128</v>
      </c>
      <c r="AB70" s="145">
        <v>2.0378629167485824</v>
      </c>
      <c r="BB70" s="136">
        <v>95.53</v>
      </c>
      <c r="BC70" s="136">
        <v>76.400000000000006</v>
      </c>
      <c r="BD70" s="136">
        <v>95.53</v>
      </c>
      <c r="BE70" s="136">
        <v>96.89</v>
      </c>
      <c r="BF70" s="136">
        <v>100.66</v>
      </c>
      <c r="BG70" s="136">
        <v>111.19</v>
      </c>
      <c r="BH70" s="136">
        <v>116.91</v>
      </c>
      <c r="BI70" s="136">
        <v>123.56</v>
      </c>
      <c r="BJ70" s="136">
        <v>122.79</v>
      </c>
      <c r="BK70" s="136">
        <v>120.68</v>
      </c>
      <c r="BM70" s="145">
        <v>2.7541251568615347E-3</v>
      </c>
      <c r="BN70" s="145">
        <v>3.2819168569593545E-5</v>
      </c>
      <c r="BO70" s="145">
        <v>2.7541251568615347E-3</v>
      </c>
      <c r="BP70" s="145">
        <v>3.848835074112697E-3</v>
      </c>
      <c r="BQ70" s="145">
        <v>9.300046507199131E-3</v>
      </c>
      <c r="BR70" s="145">
        <v>0.13432625731284795</v>
      </c>
      <c r="BS70" s="145">
        <v>0.72985612843742931</v>
      </c>
      <c r="BT70" s="145">
        <v>10.014228371701195</v>
      </c>
      <c r="BU70" s="145">
        <v>6.8978737618758128</v>
      </c>
      <c r="BV70" s="145">
        <v>2.0378629167485824</v>
      </c>
    </row>
    <row r="71" spans="1:74" x14ac:dyDescent="0.25">
      <c r="A71" s="141">
        <v>42837</v>
      </c>
      <c r="B71" s="142">
        <v>0.47222222222222227</v>
      </c>
      <c r="C71" s="143">
        <v>120.88</v>
      </c>
      <c r="E71" s="144" t="s">
        <v>169</v>
      </c>
      <c r="F71" s="158">
        <v>120.88</v>
      </c>
      <c r="I71" s="143">
        <v>97.82</v>
      </c>
      <c r="J71" s="143">
        <v>79.16</v>
      </c>
      <c r="K71" s="143">
        <v>97.82</v>
      </c>
      <c r="L71" s="143">
        <v>99.34</v>
      </c>
      <c r="M71" s="143">
        <v>103</v>
      </c>
      <c r="N71" s="143">
        <v>112.62</v>
      </c>
      <c r="O71" s="143">
        <v>117.7</v>
      </c>
      <c r="P71" s="143">
        <v>123.26</v>
      </c>
      <c r="Q71" s="143">
        <v>123.17</v>
      </c>
      <c r="S71" s="145">
        <v>5.1035956998876086E-3</v>
      </c>
      <c r="T71" s="145">
        <v>6.4805910343725953E-5</v>
      </c>
      <c r="U71" s="145">
        <v>5.1035956998876086E-3</v>
      </c>
      <c r="V71" s="145">
        <v>7.182868920180812E-3</v>
      </c>
      <c r="W71" s="145">
        <v>1.7044129601761548E-2</v>
      </c>
      <c r="X71" s="145">
        <v>0.20527913339730269</v>
      </c>
      <c r="Y71" s="145">
        <v>0.95840022324486718</v>
      </c>
      <c r="Z71" s="145">
        <v>10.836414233308663</v>
      </c>
      <c r="AA71" s="145">
        <v>7.7031965794649491</v>
      </c>
      <c r="AB71" s="145">
        <v>2.5131653135767231</v>
      </c>
      <c r="BB71" s="136">
        <v>97.82</v>
      </c>
      <c r="BC71" s="136">
        <v>79.16</v>
      </c>
      <c r="BD71" s="136">
        <v>97.82</v>
      </c>
      <c r="BE71" s="136">
        <v>99.34</v>
      </c>
      <c r="BF71" s="136">
        <v>103</v>
      </c>
      <c r="BG71" s="136">
        <v>112.62</v>
      </c>
      <c r="BH71" s="136">
        <v>117.7</v>
      </c>
      <c r="BI71" s="136">
        <v>123.26</v>
      </c>
      <c r="BJ71" s="136">
        <v>123.17</v>
      </c>
      <c r="BK71" s="136">
        <v>120.88</v>
      </c>
      <c r="BM71" s="145">
        <v>5.1035956998876086E-3</v>
      </c>
      <c r="BN71" s="145">
        <v>6.4805910343725953E-5</v>
      </c>
      <c r="BO71" s="145">
        <v>5.1035956998876086E-3</v>
      </c>
      <c r="BP71" s="145">
        <v>7.182868920180812E-3</v>
      </c>
      <c r="BQ71" s="145">
        <v>1.7044129601761548E-2</v>
      </c>
      <c r="BR71" s="145">
        <v>0.20527913339730269</v>
      </c>
      <c r="BS71" s="145">
        <v>0.95840022324486718</v>
      </c>
      <c r="BT71" s="145">
        <v>10.836414233308663</v>
      </c>
      <c r="BU71" s="145">
        <v>7.7031965794649491</v>
      </c>
      <c r="BV71" s="145">
        <v>2.5131653135767231</v>
      </c>
    </row>
    <row r="72" spans="1:74" x14ac:dyDescent="0.25">
      <c r="A72" s="141">
        <v>42837</v>
      </c>
      <c r="B72" s="142">
        <v>0.47256944444444443</v>
      </c>
      <c r="C72" s="143">
        <v>121.32</v>
      </c>
      <c r="E72" s="144" t="s">
        <v>169</v>
      </c>
      <c r="F72" s="158">
        <v>121.32</v>
      </c>
      <c r="I72" s="143">
        <v>100.1</v>
      </c>
      <c r="J72" s="143">
        <v>81.78</v>
      </c>
      <c r="K72" s="143">
        <v>100.1</v>
      </c>
      <c r="L72" s="143">
        <v>101.51</v>
      </c>
      <c r="M72" s="143">
        <v>105.13</v>
      </c>
      <c r="N72" s="143">
        <v>113.9</v>
      </c>
      <c r="O72" s="143">
        <v>117.93</v>
      </c>
      <c r="P72" s="143">
        <v>122.65</v>
      </c>
      <c r="Q72" s="143">
        <v>122.02</v>
      </c>
      <c r="S72" s="145">
        <v>9.0752368735090155E-3</v>
      </c>
      <c r="T72" s="145">
        <v>1.2328087989471953E-4</v>
      </c>
      <c r="U72" s="145">
        <v>9.0752368735090155E-3</v>
      </c>
      <c r="V72" s="145">
        <v>1.2677898117343427E-2</v>
      </c>
      <c r="W72" s="145">
        <v>2.9690619583992266E-2</v>
      </c>
      <c r="X72" s="145">
        <v>0.3005521692954653</v>
      </c>
      <c r="Y72" s="145">
        <v>1.1993741220574314</v>
      </c>
      <c r="Z72" s="145">
        <v>11.550861212564216</v>
      </c>
      <c r="AA72" s="145">
        <v>8.3211702961872049</v>
      </c>
      <c r="AB72" s="145">
        <v>3.0391462504883346</v>
      </c>
      <c r="BB72" s="136">
        <v>100.1</v>
      </c>
      <c r="BC72" s="136">
        <v>81.78</v>
      </c>
      <c r="BD72" s="136">
        <v>100.1</v>
      </c>
      <c r="BE72" s="136">
        <v>101.51</v>
      </c>
      <c r="BF72" s="136">
        <v>105.13</v>
      </c>
      <c r="BG72" s="136">
        <v>113.9</v>
      </c>
      <c r="BH72" s="136">
        <v>117.93</v>
      </c>
      <c r="BI72" s="136">
        <v>122.65</v>
      </c>
      <c r="BJ72" s="136">
        <v>122.02</v>
      </c>
      <c r="BK72" s="136">
        <v>121.32</v>
      </c>
      <c r="BM72" s="145">
        <v>9.0752368735090155E-3</v>
      </c>
      <c r="BN72" s="145">
        <v>1.2328087989471953E-4</v>
      </c>
      <c r="BO72" s="145">
        <v>9.0752368735090155E-3</v>
      </c>
      <c r="BP72" s="145">
        <v>1.2677898117343427E-2</v>
      </c>
      <c r="BQ72" s="145">
        <v>2.9690619583992266E-2</v>
      </c>
      <c r="BR72" s="145">
        <v>0.3005521692954653</v>
      </c>
      <c r="BS72" s="145">
        <v>1.1993741220574314</v>
      </c>
      <c r="BT72" s="145">
        <v>11.550861212564216</v>
      </c>
      <c r="BU72" s="145">
        <v>8.3211702961872049</v>
      </c>
      <c r="BV72" s="145">
        <v>3.0391462504883346</v>
      </c>
    </row>
    <row r="73" spans="1:74" x14ac:dyDescent="0.25">
      <c r="A73" s="141">
        <v>42837</v>
      </c>
      <c r="B73" s="142">
        <v>0.47291666666666665</v>
      </c>
      <c r="C73" s="143">
        <v>121.51</v>
      </c>
      <c r="E73" s="144" t="s">
        <v>169</v>
      </c>
      <c r="F73" s="158">
        <v>121.51</v>
      </c>
      <c r="I73" s="143">
        <v>102.2</v>
      </c>
      <c r="J73" s="143">
        <v>84.22</v>
      </c>
      <c r="K73" s="143">
        <v>102.2</v>
      </c>
      <c r="L73" s="143">
        <v>103.52</v>
      </c>
      <c r="M73" s="143">
        <v>107.03</v>
      </c>
      <c r="N73" s="143">
        <v>114.96</v>
      </c>
      <c r="O73" s="143">
        <v>118.77</v>
      </c>
      <c r="P73" s="143">
        <v>123.85</v>
      </c>
      <c r="Q73" s="143">
        <v>123.02</v>
      </c>
      <c r="S73" s="145">
        <v>1.5516484631974694E-2</v>
      </c>
      <c r="T73" s="145">
        <v>2.2583898883599772E-4</v>
      </c>
      <c r="U73" s="145">
        <v>1.5516484631974694E-2</v>
      </c>
      <c r="V73" s="145">
        <v>2.1407008881945952E-2</v>
      </c>
      <c r="W73" s="145">
        <v>4.9277713439381449E-2</v>
      </c>
      <c r="X73" s="145">
        <v>0.422162369749156</v>
      </c>
      <c r="Y73" s="145">
        <v>1.4917691641296718</v>
      </c>
      <c r="Z73" s="145">
        <v>12.492685757309117</v>
      </c>
      <c r="AA73" s="145">
        <v>9.0991531119897431</v>
      </c>
      <c r="AB73" s="145">
        <v>3.5886491702045964</v>
      </c>
      <c r="BB73" s="136">
        <v>102.2</v>
      </c>
      <c r="BC73" s="136">
        <v>84.22</v>
      </c>
      <c r="BD73" s="136">
        <v>102.2</v>
      </c>
      <c r="BE73" s="136">
        <v>103.52</v>
      </c>
      <c r="BF73" s="136">
        <v>107.03</v>
      </c>
      <c r="BG73" s="136">
        <v>114.96</v>
      </c>
      <c r="BH73" s="136">
        <v>118.77</v>
      </c>
      <c r="BI73" s="136">
        <v>123.85</v>
      </c>
      <c r="BJ73" s="136">
        <v>123.02</v>
      </c>
      <c r="BK73" s="136">
        <v>121.51</v>
      </c>
      <c r="BM73" s="145">
        <v>1.5516484631974694E-2</v>
      </c>
      <c r="BN73" s="145">
        <v>2.2583898883599772E-4</v>
      </c>
      <c r="BO73" s="145">
        <v>1.5516484631974694E-2</v>
      </c>
      <c r="BP73" s="145">
        <v>2.1407008881945952E-2</v>
      </c>
      <c r="BQ73" s="145">
        <v>4.9277713439381449E-2</v>
      </c>
      <c r="BR73" s="145">
        <v>0.422162369749156</v>
      </c>
      <c r="BS73" s="145">
        <v>1.4917691641296718</v>
      </c>
      <c r="BT73" s="145">
        <v>12.492685757309117</v>
      </c>
      <c r="BU73" s="145">
        <v>9.0991531119897431</v>
      </c>
      <c r="BV73" s="145">
        <v>3.5886491702045964</v>
      </c>
    </row>
    <row r="74" spans="1:74" x14ac:dyDescent="0.25">
      <c r="A74" s="141">
        <v>42837</v>
      </c>
      <c r="B74" s="142">
        <v>0.47326388888888887</v>
      </c>
      <c r="C74" s="143">
        <v>121.62</v>
      </c>
      <c r="E74" s="144" t="s">
        <v>169</v>
      </c>
      <c r="F74" s="158">
        <v>121.62</v>
      </c>
      <c r="I74" s="143">
        <v>104.16</v>
      </c>
      <c r="J74" s="143">
        <v>86.59</v>
      </c>
      <c r="K74" s="143">
        <v>104.16</v>
      </c>
      <c r="L74" s="143">
        <v>105.36</v>
      </c>
      <c r="M74" s="143">
        <v>108.78</v>
      </c>
      <c r="N74" s="143">
        <v>115.91</v>
      </c>
      <c r="O74" s="143">
        <v>118.89</v>
      </c>
      <c r="P74" s="143">
        <v>122.64</v>
      </c>
      <c r="Q74" s="143">
        <v>122.46</v>
      </c>
      <c r="S74" s="145">
        <v>2.5631580525366057E-2</v>
      </c>
      <c r="T74" s="145">
        <v>4.0283765937771526E-4</v>
      </c>
      <c r="U74" s="145">
        <v>2.5631580525366057E-2</v>
      </c>
      <c r="V74" s="145">
        <v>3.4741302204553362E-2</v>
      </c>
      <c r="W74" s="145">
        <v>7.8584621665082927E-2</v>
      </c>
      <c r="X74" s="145">
        <v>0.57350804115422127</v>
      </c>
      <c r="Y74" s="145">
        <v>1.7923560328713113</v>
      </c>
      <c r="Z74" s="145">
        <v>13.205489554110212</v>
      </c>
      <c r="AA74" s="145">
        <v>9.7830175247876667</v>
      </c>
      <c r="AB74" s="145">
        <v>4.1522478982923534</v>
      </c>
      <c r="BB74" s="136">
        <v>104.16</v>
      </c>
      <c r="BC74" s="136">
        <v>86.59</v>
      </c>
      <c r="BD74" s="136">
        <v>104.16</v>
      </c>
      <c r="BE74" s="136">
        <v>105.36</v>
      </c>
      <c r="BF74" s="136">
        <v>108.78</v>
      </c>
      <c r="BG74" s="136">
        <v>115.91</v>
      </c>
      <c r="BH74" s="136">
        <v>118.89</v>
      </c>
      <c r="BI74" s="136">
        <v>122.64</v>
      </c>
      <c r="BJ74" s="136">
        <v>122.46</v>
      </c>
      <c r="BK74" s="136">
        <v>121.62</v>
      </c>
      <c r="BM74" s="145">
        <v>2.5631580525366057E-2</v>
      </c>
      <c r="BN74" s="145">
        <v>4.0283765937771526E-4</v>
      </c>
      <c r="BO74" s="145">
        <v>2.5631580525366057E-2</v>
      </c>
      <c r="BP74" s="145">
        <v>3.4741302204553362E-2</v>
      </c>
      <c r="BQ74" s="145">
        <v>7.8584621665082927E-2</v>
      </c>
      <c r="BR74" s="145">
        <v>0.57350804115422127</v>
      </c>
      <c r="BS74" s="145">
        <v>1.7923560328713113</v>
      </c>
      <c r="BT74" s="145">
        <v>13.205489554110212</v>
      </c>
      <c r="BU74" s="145">
        <v>9.7830175247876667</v>
      </c>
      <c r="BV74" s="145">
        <v>4.1522478982923534</v>
      </c>
    </row>
    <row r="75" spans="1:74" x14ac:dyDescent="0.25">
      <c r="A75" s="141">
        <v>42837</v>
      </c>
      <c r="B75" s="142">
        <v>0.47361111111111115</v>
      </c>
      <c r="C75" s="143">
        <v>121.92</v>
      </c>
      <c r="E75" s="144" t="s">
        <v>169</v>
      </c>
      <c r="F75" s="158">
        <v>121.92</v>
      </c>
      <c r="I75" s="143">
        <v>105.86</v>
      </c>
      <c r="J75" s="143">
        <v>88.75</v>
      </c>
      <c r="K75" s="143">
        <v>105.86</v>
      </c>
      <c r="L75" s="143">
        <v>107.01</v>
      </c>
      <c r="M75" s="143">
        <v>110.3</v>
      </c>
      <c r="N75" s="143">
        <v>116.74</v>
      </c>
      <c r="O75" s="143">
        <v>119.49</v>
      </c>
      <c r="P75" s="143">
        <v>123.59</v>
      </c>
      <c r="Q75" s="143">
        <v>122.6</v>
      </c>
      <c r="S75" s="145">
        <v>4.0592903708407013E-2</v>
      </c>
      <c r="T75" s="145">
        <v>6.9388926826315111E-4</v>
      </c>
      <c r="U75" s="145">
        <v>4.0592903708407013E-2</v>
      </c>
      <c r="V75" s="145">
        <v>5.4238401538380575E-2</v>
      </c>
      <c r="W75" s="145">
        <v>0.1201728102202165</v>
      </c>
      <c r="X75" s="145">
        <v>0.75672682847813788</v>
      </c>
      <c r="Y75" s="145">
        <v>2.1374759347914325</v>
      </c>
      <c r="Z75" s="145">
        <v>14.092584294555296</v>
      </c>
      <c r="AA75" s="145">
        <v>10.489286297099044</v>
      </c>
      <c r="AB75" s="145">
        <v>4.7561548158457443</v>
      </c>
      <c r="BB75" s="136">
        <v>105.86</v>
      </c>
      <c r="BC75" s="136">
        <v>88.75</v>
      </c>
      <c r="BD75" s="136">
        <v>105.86</v>
      </c>
      <c r="BE75" s="136">
        <v>107.01</v>
      </c>
      <c r="BF75" s="136">
        <v>110.3</v>
      </c>
      <c r="BG75" s="136">
        <v>116.74</v>
      </c>
      <c r="BH75" s="136">
        <v>119.49</v>
      </c>
      <c r="BI75" s="136">
        <v>123.59</v>
      </c>
      <c r="BJ75" s="136">
        <v>122.6</v>
      </c>
      <c r="BK75" s="136">
        <v>121.92</v>
      </c>
      <c r="BM75" s="145">
        <v>4.0592903708407013E-2</v>
      </c>
      <c r="BN75" s="145">
        <v>6.9388926826315111E-4</v>
      </c>
      <c r="BO75" s="145">
        <v>4.0592903708407013E-2</v>
      </c>
      <c r="BP75" s="145">
        <v>5.4238401538380575E-2</v>
      </c>
      <c r="BQ75" s="145">
        <v>0.1201728102202165</v>
      </c>
      <c r="BR75" s="145">
        <v>0.75672682847813788</v>
      </c>
      <c r="BS75" s="145">
        <v>2.1374759347914325</v>
      </c>
      <c r="BT75" s="145">
        <v>14.092584294555296</v>
      </c>
      <c r="BU75" s="145">
        <v>10.489286297099044</v>
      </c>
      <c r="BV75" s="145">
        <v>4.7561548158457443</v>
      </c>
    </row>
    <row r="76" spans="1:74" x14ac:dyDescent="0.25">
      <c r="A76" s="141">
        <v>42837</v>
      </c>
      <c r="B76" s="142">
        <v>0.47395833333333331</v>
      </c>
      <c r="C76" s="143">
        <v>121.91</v>
      </c>
      <c r="E76" s="144" t="s">
        <v>169</v>
      </c>
      <c r="F76" s="158">
        <v>121.91</v>
      </c>
      <c r="I76" s="143">
        <v>107.42</v>
      </c>
      <c r="J76" s="143">
        <v>90.85</v>
      </c>
      <c r="K76" s="143">
        <v>107.42</v>
      </c>
      <c r="L76" s="143">
        <v>108.51</v>
      </c>
      <c r="M76" s="143">
        <v>111.62</v>
      </c>
      <c r="N76" s="143">
        <v>117.41</v>
      </c>
      <c r="O76" s="143">
        <v>119.94</v>
      </c>
      <c r="P76" s="143">
        <v>123.29</v>
      </c>
      <c r="Q76" s="143">
        <v>122.98</v>
      </c>
      <c r="S76" s="145">
        <v>6.2020329728279019E-2</v>
      </c>
      <c r="T76" s="145">
        <v>1.1659197064061125E-3</v>
      </c>
      <c r="U76" s="145">
        <v>6.2020329728279019E-2</v>
      </c>
      <c r="V76" s="145">
        <v>8.1778786358650796E-2</v>
      </c>
      <c r="W76" s="145">
        <v>0.17653268302899214</v>
      </c>
      <c r="X76" s="145">
        <v>0.97050827155393105</v>
      </c>
      <c r="Y76" s="145">
        <v>2.5202742382470609</v>
      </c>
      <c r="Z76" s="145">
        <v>14.920469276290062</v>
      </c>
      <c r="AA76" s="145">
        <v>11.260136523573825</v>
      </c>
      <c r="AB76" s="145">
        <v>5.3586727860316437</v>
      </c>
      <c r="BB76" s="136">
        <v>107.42</v>
      </c>
      <c r="BC76" s="136">
        <v>90.85</v>
      </c>
      <c r="BD76" s="136">
        <v>107.42</v>
      </c>
      <c r="BE76" s="136">
        <v>108.51</v>
      </c>
      <c r="BF76" s="136">
        <v>111.62</v>
      </c>
      <c r="BG76" s="136">
        <v>117.41</v>
      </c>
      <c r="BH76" s="136">
        <v>119.94</v>
      </c>
      <c r="BI76" s="136">
        <v>123.29</v>
      </c>
      <c r="BJ76" s="136">
        <v>122.98</v>
      </c>
      <c r="BK76" s="136">
        <v>121.91</v>
      </c>
      <c r="BM76" s="145">
        <v>6.2020329728279019E-2</v>
      </c>
      <c r="BN76" s="145">
        <v>1.1659197064061125E-3</v>
      </c>
      <c r="BO76" s="145">
        <v>6.2020329728279019E-2</v>
      </c>
      <c r="BP76" s="145">
        <v>8.1778786358650796E-2</v>
      </c>
      <c r="BQ76" s="145">
        <v>0.17653268302899214</v>
      </c>
      <c r="BR76" s="145">
        <v>0.97050827155393105</v>
      </c>
      <c r="BS76" s="145">
        <v>2.5202742382470609</v>
      </c>
      <c r="BT76" s="145">
        <v>14.920469276290062</v>
      </c>
      <c r="BU76" s="145">
        <v>11.260136523573825</v>
      </c>
      <c r="BV76" s="145">
        <v>5.3586727860316437</v>
      </c>
    </row>
    <row r="77" spans="1:74" x14ac:dyDescent="0.25">
      <c r="A77" s="141">
        <v>42837</v>
      </c>
      <c r="B77" s="142">
        <v>0.47430555555555554</v>
      </c>
      <c r="C77" s="143">
        <v>122.16</v>
      </c>
      <c r="E77" s="144" t="s">
        <v>169</v>
      </c>
      <c r="F77" s="158">
        <v>122.16</v>
      </c>
      <c r="I77" s="143">
        <v>108.79</v>
      </c>
      <c r="J77" s="143">
        <v>92.75</v>
      </c>
      <c r="K77" s="143">
        <v>108.79</v>
      </c>
      <c r="L77" s="143">
        <v>109.93</v>
      </c>
      <c r="M77" s="143">
        <v>112.76</v>
      </c>
      <c r="N77" s="143">
        <v>118.07</v>
      </c>
      <c r="O77" s="143">
        <v>119.94</v>
      </c>
      <c r="P77" s="143">
        <v>122.73</v>
      </c>
      <c r="Q77" s="143">
        <v>122.3</v>
      </c>
      <c r="S77" s="145">
        <v>9.1394797354767937E-2</v>
      </c>
      <c r="T77" s="145">
        <v>1.8970082936344719E-3</v>
      </c>
      <c r="U77" s="145">
        <v>9.1394797354767937E-2</v>
      </c>
      <c r="V77" s="145">
        <v>0.11997057553753546</v>
      </c>
      <c r="W77" s="145">
        <v>0.24981007507678787</v>
      </c>
      <c r="X77" s="145">
        <v>1.2193768140433989</v>
      </c>
      <c r="Y77" s="145">
        <v>2.9030725417026892</v>
      </c>
      <c r="Z77" s="145">
        <v>15.648198816581047</v>
      </c>
      <c r="AA77" s="145">
        <v>11.919264892852029</v>
      </c>
      <c r="AB77" s="145">
        <v>5.9968921904373156</v>
      </c>
      <c r="BB77" s="136">
        <v>108.79</v>
      </c>
      <c r="BC77" s="136">
        <v>92.75</v>
      </c>
      <c r="BD77" s="136">
        <v>108.79</v>
      </c>
      <c r="BE77" s="136">
        <v>109.93</v>
      </c>
      <c r="BF77" s="136">
        <v>112.76</v>
      </c>
      <c r="BG77" s="136">
        <v>118.07</v>
      </c>
      <c r="BH77" s="136">
        <v>119.94</v>
      </c>
      <c r="BI77" s="136">
        <v>122.73</v>
      </c>
      <c r="BJ77" s="136">
        <v>122.3</v>
      </c>
      <c r="BK77" s="136">
        <v>122.16</v>
      </c>
      <c r="BM77" s="145">
        <v>9.1394797354767937E-2</v>
      </c>
      <c r="BN77" s="145">
        <v>1.8970082936344719E-3</v>
      </c>
      <c r="BO77" s="145">
        <v>9.1394797354767937E-2</v>
      </c>
      <c r="BP77" s="145">
        <v>0.11997057553753546</v>
      </c>
      <c r="BQ77" s="145">
        <v>0.24981007507678787</v>
      </c>
      <c r="BR77" s="145">
        <v>1.2193768140433989</v>
      </c>
      <c r="BS77" s="145">
        <v>2.9030725417026892</v>
      </c>
      <c r="BT77" s="145">
        <v>15.648198816581047</v>
      </c>
      <c r="BU77" s="145">
        <v>11.919264892852029</v>
      </c>
      <c r="BV77" s="145">
        <v>5.9968921904373156</v>
      </c>
    </row>
    <row r="78" spans="1:74" x14ac:dyDescent="0.25">
      <c r="A78" s="141">
        <v>42837</v>
      </c>
      <c r="B78" s="142">
        <v>0.47465277777777781</v>
      </c>
      <c r="C78" s="143">
        <v>122.15</v>
      </c>
      <c r="E78" s="144" t="s">
        <v>169</v>
      </c>
      <c r="F78" s="158">
        <v>122.15</v>
      </c>
      <c r="I78" s="143">
        <v>110.03</v>
      </c>
      <c r="J78" s="143">
        <v>94.6</v>
      </c>
      <c r="K78" s="143">
        <v>110.03</v>
      </c>
      <c r="L78" s="143">
        <v>111.2</v>
      </c>
      <c r="M78" s="143">
        <v>113.79</v>
      </c>
      <c r="N78" s="143">
        <v>118.57</v>
      </c>
      <c r="O78" s="143">
        <v>120.49</v>
      </c>
      <c r="P78" s="143">
        <v>123.16</v>
      </c>
      <c r="Q78" s="143">
        <v>122.99</v>
      </c>
      <c r="S78" s="145">
        <v>0.13047618758418447</v>
      </c>
      <c r="T78" s="145">
        <v>3.0163688629186412E-3</v>
      </c>
      <c r="U78" s="145">
        <v>0.13047618758418447</v>
      </c>
      <c r="V78" s="145">
        <v>0.17113522515157326</v>
      </c>
      <c r="W78" s="145">
        <v>0.34270029783137307</v>
      </c>
      <c r="X78" s="145">
        <v>1.4986119114118144</v>
      </c>
      <c r="Y78" s="145">
        <v>3.3375527563458403</v>
      </c>
      <c r="Z78" s="145">
        <v>16.451669443087486</v>
      </c>
      <c r="AA78" s="145">
        <v>12.691892112621236</v>
      </c>
      <c r="AB78" s="145">
        <v>6.6336437309456482</v>
      </c>
      <c r="BB78" s="136">
        <v>110.03</v>
      </c>
      <c r="BC78" s="136">
        <v>94.6</v>
      </c>
      <c r="BD78" s="136">
        <v>110.03</v>
      </c>
      <c r="BE78" s="136">
        <v>111.2</v>
      </c>
      <c r="BF78" s="136">
        <v>113.79</v>
      </c>
      <c r="BG78" s="136">
        <v>118.57</v>
      </c>
      <c r="BH78" s="136">
        <v>120.49</v>
      </c>
      <c r="BI78" s="136">
        <v>123.16</v>
      </c>
      <c r="BJ78" s="136">
        <v>122.99</v>
      </c>
      <c r="BK78" s="136">
        <v>122.15</v>
      </c>
      <c r="BM78" s="145">
        <v>0.13047618758418447</v>
      </c>
      <c r="BN78" s="145">
        <v>3.0163688629186412E-3</v>
      </c>
      <c r="BO78" s="145">
        <v>0.13047618758418447</v>
      </c>
      <c r="BP78" s="145">
        <v>0.17113522515157326</v>
      </c>
      <c r="BQ78" s="145">
        <v>0.34270029783137307</v>
      </c>
      <c r="BR78" s="145">
        <v>1.4986119114118144</v>
      </c>
      <c r="BS78" s="145">
        <v>3.3375527563458403</v>
      </c>
      <c r="BT78" s="145">
        <v>16.451669443087486</v>
      </c>
      <c r="BU78" s="145">
        <v>12.691892112621236</v>
      </c>
      <c r="BV78" s="145">
        <v>6.6336437309456482</v>
      </c>
    </row>
    <row r="79" spans="1:74" x14ac:dyDescent="0.25">
      <c r="A79" s="141">
        <v>42837</v>
      </c>
      <c r="B79" s="142">
        <v>0.47500000000000003</v>
      </c>
      <c r="C79" s="143">
        <v>122.29</v>
      </c>
      <c r="E79" s="144" t="s">
        <v>169</v>
      </c>
      <c r="F79" s="158">
        <v>122.29</v>
      </c>
      <c r="I79" s="143">
        <v>111.15</v>
      </c>
      <c r="J79" s="143">
        <v>96.26</v>
      </c>
      <c r="K79" s="143">
        <v>111.15</v>
      </c>
      <c r="L79" s="143">
        <v>112.3</v>
      </c>
      <c r="M79" s="143">
        <v>114.71</v>
      </c>
      <c r="N79" s="143">
        <v>119.06</v>
      </c>
      <c r="O79" s="143">
        <v>120.22</v>
      </c>
      <c r="P79" s="143">
        <v>122.42</v>
      </c>
      <c r="Q79" s="143">
        <v>122.09</v>
      </c>
      <c r="S79" s="145">
        <v>0.18105516029717952</v>
      </c>
      <c r="T79" s="145">
        <v>4.6568453284842387E-3</v>
      </c>
      <c r="U79" s="145">
        <v>0.18105516029717952</v>
      </c>
      <c r="V79" s="145">
        <v>0.23704806207939363</v>
      </c>
      <c r="W79" s="145">
        <v>0.45750773023699115</v>
      </c>
      <c r="X79" s="145">
        <v>1.8111982577996577</v>
      </c>
      <c r="Y79" s="145">
        <v>3.7458439420251368</v>
      </c>
      <c r="Z79" s="145">
        <v>17.129264149263005</v>
      </c>
      <c r="AA79" s="145">
        <v>13.319907094468675</v>
      </c>
      <c r="AB79" s="145">
        <v>7.2912561470417696</v>
      </c>
      <c r="BB79" s="136">
        <v>111.15</v>
      </c>
      <c r="BC79" s="136">
        <v>96.26</v>
      </c>
      <c r="BD79" s="136">
        <v>111.15</v>
      </c>
      <c r="BE79" s="136">
        <v>112.3</v>
      </c>
      <c r="BF79" s="136">
        <v>114.71</v>
      </c>
      <c r="BG79" s="136">
        <v>119.06</v>
      </c>
      <c r="BH79" s="136">
        <v>120.22</v>
      </c>
      <c r="BI79" s="136">
        <v>122.42</v>
      </c>
      <c r="BJ79" s="136">
        <v>122.09</v>
      </c>
      <c r="BK79" s="136">
        <v>122.29</v>
      </c>
      <c r="BM79" s="145">
        <v>0.18105516029717952</v>
      </c>
      <c r="BN79" s="145">
        <v>4.6568453284842387E-3</v>
      </c>
      <c r="BO79" s="145">
        <v>0.18105516029717952</v>
      </c>
      <c r="BP79" s="145">
        <v>0.23704806207939363</v>
      </c>
      <c r="BQ79" s="145">
        <v>0.45750773023699115</v>
      </c>
      <c r="BR79" s="145">
        <v>1.8111982577996577</v>
      </c>
      <c r="BS79" s="145">
        <v>3.7458439420251368</v>
      </c>
      <c r="BT79" s="145">
        <v>17.129264149263005</v>
      </c>
      <c r="BU79" s="145">
        <v>13.319907094468675</v>
      </c>
      <c r="BV79" s="145">
        <v>7.2912561470417696</v>
      </c>
    </row>
    <row r="80" spans="1:74" x14ac:dyDescent="0.25">
      <c r="A80" s="141">
        <v>42837</v>
      </c>
      <c r="B80" s="142">
        <v>0.4753472222222222</v>
      </c>
      <c r="C80" s="143">
        <v>122.31</v>
      </c>
      <c r="E80" s="144" t="s">
        <v>169</v>
      </c>
      <c r="F80" s="158">
        <v>122.31</v>
      </c>
      <c r="I80" s="143">
        <v>112.15</v>
      </c>
      <c r="J80" s="143">
        <v>97.98</v>
      </c>
      <c r="K80" s="143">
        <v>112.15</v>
      </c>
      <c r="L80" s="143">
        <v>113.39</v>
      </c>
      <c r="M80" s="143">
        <v>115.49</v>
      </c>
      <c r="N80" s="143">
        <v>119.44</v>
      </c>
      <c r="O80" s="143">
        <v>120.83</v>
      </c>
      <c r="P80" s="143">
        <v>123.12</v>
      </c>
      <c r="Q80" s="143">
        <v>122.83</v>
      </c>
      <c r="S80" s="145">
        <v>0.24473031434801276</v>
      </c>
      <c r="T80" s="145">
        <v>7.0944877790011752E-3</v>
      </c>
      <c r="U80" s="145">
        <v>0.24473031434801276</v>
      </c>
      <c r="V80" s="145">
        <v>0.32176495210176015</v>
      </c>
      <c r="W80" s="145">
        <v>0.59490243789211106</v>
      </c>
      <c r="X80" s="145">
        <v>2.1523676048704927</v>
      </c>
      <c r="Y80" s="145">
        <v>4.2157055973074566</v>
      </c>
      <c r="Z80" s="145">
        <v>17.925368512788591</v>
      </c>
      <c r="AA80" s="145">
        <v>14.064587633324134</v>
      </c>
      <c r="AB80" s="145">
        <v>7.9519039641350586</v>
      </c>
      <c r="BB80" s="136">
        <v>112.15</v>
      </c>
      <c r="BC80" s="136">
        <v>97.98</v>
      </c>
      <c r="BD80" s="136">
        <v>112.15</v>
      </c>
      <c r="BE80" s="136">
        <v>113.39</v>
      </c>
      <c r="BF80" s="136">
        <v>115.49</v>
      </c>
      <c r="BG80" s="136">
        <v>119.44</v>
      </c>
      <c r="BH80" s="136">
        <v>120.83</v>
      </c>
      <c r="BI80" s="136">
        <v>123.12</v>
      </c>
      <c r="BJ80" s="136">
        <v>122.83</v>
      </c>
      <c r="BK80" s="136">
        <v>122.31</v>
      </c>
      <c r="BM80" s="145">
        <v>0.24473031434801276</v>
      </c>
      <c r="BN80" s="145">
        <v>7.0944877790011752E-3</v>
      </c>
      <c r="BO80" s="145">
        <v>0.24473031434801276</v>
      </c>
      <c r="BP80" s="145">
        <v>0.32176495210176015</v>
      </c>
      <c r="BQ80" s="145">
        <v>0.59490243789211106</v>
      </c>
      <c r="BR80" s="145">
        <v>2.1523676048704927</v>
      </c>
      <c r="BS80" s="145">
        <v>4.2157055973074566</v>
      </c>
      <c r="BT80" s="145">
        <v>17.925368512788591</v>
      </c>
      <c r="BU80" s="145">
        <v>14.064587633324134</v>
      </c>
      <c r="BV80" s="145">
        <v>7.9519039641350586</v>
      </c>
    </row>
    <row r="81" spans="1:74" x14ac:dyDescent="0.25">
      <c r="A81" s="141">
        <v>42837</v>
      </c>
      <c r="B81" s="142">
        <v>0.47569444444444442</v>
      </c>
      <c r="C81" s="143">
        <v>122.36</v>
      </c>
      <c r="E81" s="144" t="s">
        <v>169</v>
      </c>
      <c r="F81" s="158">
        <v>122.36</v>
      </c>
      <c r="I81" s="143">
        <v>113.07</v>
      </c>
      <c r="J81" s="143">
        <v>99.59</v>
      </c>
      <c r="K81" s="143">
        <v>113.07</v>
      </c>
      <c r="L81" s="143">
        <v>114.3</v>
      </c>
      <c r="M81" s="143">
        <v>116.25</v>
      </c>
      <c r="N81" s="143">
        <v>119.8</v>
      </c>
      <c r="O81" s="143">
        <v>120.38</v>
      </c>
      <c r="P81" s="143">
        <v>122.2</v>
      </c>
      <c r="Q81" s="143">
        <v>121.95</v>
      </c>
      <c r="S81" s="145">
        <v>0.32342945757132369</v>
      </c>
      <c r="T81" s="145">
        <v>1.0626075550315993E-2</v>
      </c>
      <c r="U81" s="145">
        <v>0.32342945757132369</v>
      </c>
      <c r="V81" s="145">
        <v>0.42622975864446216</v>
      </c>
      <c r="W81" s="145">
        <v>0.75857278533153039</v>
      </c>
      <c r="X81" s="145">
        <v>2.5230227255209519</v>
      </c>
      <c r="Y81" s="145">
        <v>4.6393193043777554</v>
      </c>
      <c r="Z81" s="145">
        <v>18.569493288635158</v>
      </c>
      <c r="AA81" s="145">
        <v>14.672680633647319</v>
      </c>
      <c r="AB81" s="145">
        <v>8.6202017224082805</v>
      </c>
      <c r="BB81" s="136">
        <v>113.07</v>
      </c>
      <c r="BC81" s="136">
        <v>99.59</v>
      </c>
      <c r="BD81" s="136">
        <v>113.07</v>
      </c>
      <c r="BE81" s="136">
        <v>114.3</v>
      </c>
      <c r="BF81" s="136">
        <v>116.25</v>
      </c>
      <c r="BG81" s="136">
        <v>119.8</v>
      </c>
      <c r="BH81" s="136">
        <v>120.38</v>
      </c>
      <c r="BI81" s="136">
        <v>122.2</v>
      </c>
      <c r="BJ81" s="136">
        <v>121.95</v>
      </c>
      <c r="BK81" s="136">
        <v>122.36</v>
      </c>
      <c r="BM81" s="145">
        <v>0.32342945757132369</v>
      </c>
      <c r="BN81" s="145">
        <v>1.0626075550315993E-2</v>
      </c>
      <c r="BO81" s="145">
        <v>0.32342945757132369</v>
      </c>
      <c r="BP81" s="145">
        <v>0.42622975864446216</v>
      </c>
      <c r="BQ81" s="145">
        <v>0.75857278533153039</v>
      </c>
      <c r="BR81" s="145">
        <v>2.5230227255209519</v>
      </c>
      <c r="BS81" s="145">
        <v>4.6393193043777554</v>
      </c>
      <c r="BT81" s="145">
        <v>18.569493288635158</v>
      </c>
      <c r="BU81" s="145">
        <v>14.672680633647319</v>
      </c>
      <c r="BV81" s="145">
        <v>8.6202017224082805</v>
      </c>
    </row>
    <row r="82" spans="1:74" x14ac:dyDescent="0.25">
      <c r="A82" s="141">
        <v>42837</v>
      </c>
      <c r="B82" s="142">
        <v>0.4760416666666667</v>
      </c>
      <c r="C82" s="143">
        <v>122.43</v>
      </c>
      <c r="E82" s="144" t="s">
        <v>169</v>
      </c>
      <c r="F82" s="158">
        <v>122.43</v>
      </c>
      <c r="I82" s="143">
        <v>113.91</v>
      </c>
      <c r="J82" s="143">
        <v>101.09</v>
      </c>
      <c r="K82" s="143">
        <v>113.91</v>
      </c>
      <c r="L82" s="143">
        <v>115.13</v>
      </c>
      <c r="M82" s="143">
        <v>116.89</v>
      </c>
      <c r="N82" s="143">
        <v>120.1</v>
      </c>
      <c r="O82" s="143">
        <v>121.22</v>
      </c>
      <c r="P82" s="143">
        <v>123.22</v>
      </c>
      <c r="Q82" s="143">
        <v>123</v>
      </c>
      <c r="S82" s="145">
        <v>0.41892212049963562</v>
      </c>
      <c r="T82" s="145">
        <v>1.5614575869428767E-2</v>
      </c>
      <c r="U82" s="145">
        <v>0.41892212049963562</v>
      </c>
      <c r="V82" s="145">
        <v>0.55269465846676946</v>
      </c>
      <c r="W82" s="145">
        <v>0.94823027781837155</v>
      </c>
      <c r="X82" s="145">
        <v>2.9201868428830924</v>
      </c>
      <c r="Y82" s="145">
        <v>5.1533274534409923</v>
      </c>
      <c r="Z82" s="145">
        <v>19.384141304955019</v>
      </c>
      <c r="AA82" s="145">
        <v>15.447088943103561</v>
      </c>
      <c r="AB82" s="145">
        <v>9.2993584457018592</v>
      </c>
      <c r="BB82" s="136">
        <v>113.91</v>
      </c>
      <c r="BC82" s="136">
        <v>101.09</v>
      </c>
      <c r="BD82" s="136">
        <v>113.91</v>
      </c>
      <c r="BE82" s="136">
        <v>115.13</v>
      </c>
      <c r="BF82" s="136">
        <v>116.89</v>
      </c>
      <c r="BG82" s="136">
        <v>120.1</v>
      </c>
      <c r="BH82" s="136">
        <v>121.22</v>
      </c>
      <c r="BI82" s="136">
        <v>123.22</v>
      </c>
      <c r="BJ82" s="136">
        <v>123</v>
      </c>
      <c r="BK82" s="136">
        <v>122.43</v>
      </c>
      <c r="BM82" s="145">
        <v>0.41892212049963562</v>
      </c>
      <c r="BN82" s="145">
        <v>1.5614575869428767E-2</v>
      </c>
      <c r="BO82" s="145">
        <v>0.41892212049963562</v>
      </c>
      <c r="BP82" s="145">
        <v>0.55269465846676946</v>
      </c>
      <c r="BQ82" s="145">
        <v>0.94823027781837155</v>
      </c>
      <c r="BR82" s="145">
        <v>2.9201868428830924</v>
      </c>
      <c r="BS82" s="145">
        <v>5.1533274534409923</v>
      </c>
      <c r="BT82" s="145">
        <v>19.384141304955019</v>
      </c>
      <c r="BU82" s="145">
        <v>15.447088943103561</v>
      </c>
      <c r="BV82" s="145">
        <v>9.2993584457018592</v>
      </c>
    </row>
    <row r="83" spans="1:74" x14ac:dyDescent="0.25">
      <c r="A83" s="141">
        <v>42837</v>
      </c>
      <c r="B83" s="142">
        <v>0.47638888888888892</v>
      </c>
      <c r="C83" s="143">
        <v>122.4</v>
      </c>
      <c r="E83" s="144" t="s">
        <v>169</v>
      </c>
      <c r="F83" s="158">
        <v>122.4</v>
      </c>
      <c r="I83" s="143">
        <v>114.66</v>
      </c>
      <c r="J83" s="143">
        <v>102.42</v>
      </c>
      <c r="K83" s="143">
        <v>114.66</v>
      </c>
      <c r="L83" s="143">
        <v>115.88</v>
      </c>
      <c r="M83" s="143">
        <v>117.48</v>
      </c>
      <c r="N83" s="143">
        <v>120.39</v>
      </c>
      <c r="O83" s="143">
        <v>120.76</v>
      </c>
      <c r="P83" s="143">
        <v>122.3</v>
      </c>
      <c r="Q83" s="143">
        <v>122.19</v>
      </c>
      <c r="S83" s="145">
        <v>0.53241536309382675</v>
      </c>
      <c r="T83" s="145">
        <v>2.2390522931183959E-2</v>
      </c>
      <c r="U83" s="145">
        <v>0.53241536309382675</v>
      </c>
      <c r="V83" s="145">
        <v>0.70299847359818102</v>
      </c>
      <c r="W83" s="145">
        <v>1.1654853899041577</v>
      </c>
      <c r="X83" s="145">
        <v>3.3447770804012498</v>
      </c>
      <c r="Y83" s="145">
        <v>5.6156765404101048</v>
      </c>
      <c r="Z83" s="145">
        <v>20.043269674233223</v>
      </c>
      <c r="AA83" s="145">
        <v>16.08973227307537</v>
      </c>
      <c r="AB83" s="145">
        <v>9.9738398869976876</v>
      </c>
      <c r="BB83" s="136">
        <v>114.66</v>
      </c>
      <c r="BC83" s="136">
        <v>102.42</v>
      </c>
      <c r="BD83" s="136">
        <v>114.66</v>
      </c>
      <c r="BE83" s="136">
        <v>115.88</v>
      </c>
      <c r="BF83" s="136">
        <v>117.48</v>
      </c>
      <c r="BG83" s="136">
        <v>120.39</v>
      </c>
      <c r="BH83" s="136">
        <v>120.76</v>
      </c>
      <c r="BI83" s="136">
        <v>122.3</v>
      </c>
      <c r="BJ83" s="136">
        <v>122.19</v>
      </c>
      <c r="BK83" s="136">
        <v>122.4</v>
      </c>
      <c r="BM83" s="145">
        <v>0.53241536309382675</v>
      </c>
      <c r="BN83" s="145">
        <v>2.2390522931183959E-2</v>
      </c>
      <c r="BO83" s="145">
        <v>0.53241536309382675</v>
      </c>
      <c r="BP83" s="145">
        <v>0.70299847359818102</v>
      </c>
      <c r="BQ83" s="145">
        <v>1.1654853899041577</v>
      </c>
      <c r="BR83" s="145">
        <v>3.3447770804012498</v>
      </c>
      <c r="BS83" s="145">
        <v>5.6156765404101048</v>
      </c>
      <c r="BT83" s="145">
        <v>20.043269674233223</v>
      </c>
      <c r="BU83" s="145">
        <v>16.08973227307537</v>
      </c>
      <c r="BV83" s="145">
        <v>9.9738398869976876</v>
      </c>
    </row>
    <row r="84" spans="1:74" x14ac:dyDescent="0.25">
      <c r="A84" s="141">
        <v>42837</v>
      </c>
      <c r="B84" s="142">
        <v>0.47673611111111108</v>
      </c>
      <c r="C84" s="143">
        <v>122.51</v>
      </c>
      <c r="E84" s="144" t="s">
        <v>169</v>
      </c>
      <c r="F84" s="158">
        <v>122.51</v>
      </c>
      <c r="I84" s="143">
        <v>115.33</v>
      </c>
      <c r="J84" s="143">
        <v>103.7</v>
      </c>
      <c r="K84" s="143">
        <v>115.33</v>
      </c>
      <c r="L84" s="143">
        <v>116.55</v>
      </c>
      <c r="M84" s="143">
        <v>118</v>
      </c>
      <c r="N84" s="143">
        <v>120.6</v>
      </c>
      <c r="O84" s="143">
        <v>121.36</v>
      </c>
      <c r="P84" s="143">
        <v>123.07</v>
      </c>
      <c r="Q84" s="143">
        <v>122.8</v>
      </c>
      <c r="S84" s="145">
        <v>0.66484037002416185</v>
      </c>
      <c r="T84" s="145">
        <v>3.1489027224233891E-2</v>
      </c>
      <c r="U84" s="145">
        <v>0.66484037002416185</v>
      </c>
      <c r="V84" s="145">
        <v>0.87837441057446508</v>
      </c>
      <c r="W84" s="145">
        <v>1.4103747995883811</v>
      </c>
      <c r="X84" s="145">
        <v>3.7904025494681224</v>
      </c>
      <c r="Y84" s="145">
        <v>6.1465243190094681</v>
      </c>
      <c r="Z84" s="145">
        <v>20.830261106466331</v>
      </c>
      <c r="AA84" s="145">
        <v>16.829286467159474</v>
      </c>
      <c r="AB84" s="145">
        <v>10.66562307648358</v>
      </c>
      <c r="BB84" s="136">
        <v>115.33</v>
      </c>
      <c r="BC84" s="136">
        <v>103.7</v>
      </c>
      <c r="BD84" s="136">
        <v>115.33</v>
      </c>
      <c r="BE84" s="136">
        <v>116.55</v>
      </c>
      <c r="BF84" s="136">
        <v>118</v>
      </c>
      <c r="BG84" s="136">
        <v>120.6</v>
      </c>
      <c r="BH84" s="136">
        <v>121.36</v>
      </c>
      <c r="BI84" s="136">
        <v>123.07</v>
      </c>
      <c r="BJ84" s="136">
        <v>122.8</v>
      </c>
      <c r="BK84" s="136">
        <v>122.51</v>
      </c>
      <c r="BM84" s="145">
        <v>0.66484037002416185</v>
      </c>
      <c r="BN84" s="145">
        <v>3.1489027224233891E-2</v>
      </c>
      <c r="BO84" s="145">
        <v>0.66484037002416185</v>
      </c>
      <c r="BP84" s="145">
        <v>0.87837441057446508</v>
      </c>
      <c r="BQ84" s="145">
        <v>1.4103747995883811</v>
      </c>
      <c r="BR84" s="145">
        <v>3.7904025494681224</v>
      </c>
      <c r="BS84" s="145">
        <v>6.1465243190094681</v>
      </c>
      <c r="BT84" s="145">
        <v>20.830261106466331</v>
      </c>
      <c r="BU84" s="145">
        <v>16.829286467159474</v>
      </c>
      <c r="BV84" s="145">
        <v>10.66562307648358</v>
      </c>
    </row>
    <row r="85" spans="1:74" x14ac:dyDescent="0.25">
      <c r="A85" s="141">
        <v>42837</v>
      </c>
      <c r="B85" s="142">
        <v>0.4770833333333333</v>
      </c>
      <c r="C85" s="143">
        <v>122.41</v>
      </c>
      <c r="E85" s="144" t="s">
        <v>169</v>
      </c>
      <c r="F85" s="158">
        <v>122.41</v>
      </c>
      <c r="I85" s="143">
        <v>115.96</v>
      </c>
      <c r="J85" s="143">
        <v>104.87</v>
      </c>
      <c r="K85" s="143">
        <v>115.96</v>
      </c>
      <c r="L85" s="143">
        <v>117.17</v>
      </c>
      <c r="M85" s="143">
        <v>118.49</v>
      </c>
      <c r="N85" s="143">
        <v>120.8</v>
      </c>
      <c r="O85" s="143">
        <v>121.58</v>
      </c>
      <c r="P85" s="143">
        <v>123.03</v>
      </c>
      <c r="Q85" s="143">
        <v>122.99</v>
      </c>
      <c r="S85" s="145">
        <v>0.81793854170869573</v>
      </c>
      <c r="T85" s="145">
        <v>4.340062457102737E-2</v>
      </c>
      <c r="U85" s="145">
        <v>0.81793854170869573</v>
      </c>
      <c r="V85" s="145">
        <v>1.0806623564231868</v>
      </c>
      <c r="W85" s="145">
        <v>1.684513282048808</v>
      </c>
      <c r="X85" s="145">
        <v>4.2570296998666182</v>
      </c>
      <c r="Y85" s="145">
        <v>6.7049559428997494</v>
      </c>
      <c r="Z85" s="145">
        <v>21.610037357879808</v>
      </c>
      <c r="AA85" s="145">
        <v>17.601913686928679</v>
      </c>
      <c r="AB85" s="145">
        <v>11.341659358080719</v>
      </c>
      <c r="BB85" s="136">
        <v>115.96</v>
      </c>
      <c r="BC85" s="136">
        <v>104.87</v>
      </c>
      <c r="BD85" s="136">
        <v>115.96</v>
      </c>
      <c r="BE85" s="136">
        <v>117.17</v>
      </c>
      <c r="BF85" s="136">
        <v>118.49</v>
      </c>
      <c r="BG85" s="136">
        <v>120.8</v>
      </c>
      <c r="BH85" s="136">
        <v>121.58</v>
      </c>
      <c r="BI85" s="136">
        <v>123.03</v>
      </c>
      <c r="BJ85" s="136">
        <v>122.99</v>
      </c>
      <c r="BK85" s="136">
        <v>122.41</v>
      </c>
      <c r="BM85" s="145">
        <v>0.81793854170869573</v>
      </c>
      <c r="BN85" s="145">
        <v>4.340062457102737E-2</v>
      </c>
      <c r="BO85" s="145">
        <v>0.81793854170869573</v>
      </c>
      <c r="BP85" s="145">
        <v>1.0806623564231868</v>
      </c>
      <c r="BQ85" s="145">
        <v>1.684513282048808</v>
      </c>
      <c r="BR85" s="145">
        <v>4.2570296998666182</v>
      </c>
      <c r="BS85" s="145">
        <v>6.7049559428997494</v>
      </c>
      <c r="BT85" s="145">
        <v>21.610037357879808</v>
      </c>
      <c r="BU85" s="145">
        <v>17.601913686928679</v>
      </c>
      <c r="BV85" s="145">
        <v>11.341659358080719</v>
      </c>
    </row>
    <row r="86" spans="1:74" x14ac:dyDescent="0.25">
      <c r="A86" s="141">
        <v>42837</v>
      </c>
      <c r="B86" s="142">
        <v>0.47743055555555558</v>
      </c>
      <c r="C86" s="143">
        <v>122.55</v>
      </c>
      <c r="E86" s="144" t="s">
        <v>169</v>
      </c>
      <c r="F86" s="158">
        <v>122.55</v>
      </c>
      <c r="I86" s="143">
        <v>116.51</v>
      </c>
      <c r="J86" s="143">
        <v>105.98</v>
      </c>
      <c r="K86" s="143">
        <v>116.51</v>
      </c>
      <c r="L86" s="143">
        <v>117.71</v>
      </c>
      <c r="M86" s="143">
        <v>118.9</v>
      </c>
      <c r="N86" s="143">
        <v>120.99</v>
      </c>
      <c r="O86" s="143">
        <v>121.35</v>
      </c>
      <c r="P86" s="143">
        <v>122.9</v>
      </c>
      <c r="Q86" s="143">
        <v>122.52</v>
      </c>
      <c r="S86" s="145">
        <v>0.99170662243029906</v>
      </c>
      <c r="T86" s="145">
        <v>5.8781108644730934E-2</v>
      </c>
      <c r="U86" s="145">
        <v>0.99170662243029906</v>
      </c>
      <c r="V86" s="145">
        <v>1.3097332997804534</v>
      </c>
      <c r="W86" s="145">
        <v>1.9857930750859876</v>
      </c>
      <c r="X86" s="145">
        <v>4.7445245187253118</v>
      </c>
      <c r="Y86" s="145">
        <v>7.2345828054883938</v>
      </c>
      <c r="Z86" s="145">
        <v>22.366817982097913</v>
      </c>
      <c r="AA86" s="145">
        <v>18.295291601364625</v>
      </c>
      <c r="AB86" s="145">
        <v>12.039843538608688</v>
      </c>
      <c r="BB86" s="136">
        <v>116.51</v>
      </c>
      <c r="BC86" s="136">
        <v>105.98</v>
      </c>
      <c r="BD86" s="136">
        <v>116.51</v>
      </c>
      <c r="BE86" s="136">
        <v>117.71</v>
      </c>
      <c r="BF86" s="136">
        <v>118.9</v>
      </c>
      <c r="BG86" s="136">
        <v>120.99</v>
      </c>
      <c r="BH86" s="136">
        <v>121.35</v>
      </c>
      <c r="BI86" s="136">
        <v>122.9</v>
      </c>
      <c r="BJ86" s="136">
        <v>122.52</v>
      </c>
      <c r="BK86" s="136">
        <v>122.55</v>
      </c>
      <c r="BM86" s="145">
        <v>0.99170662243029906</v>
      </c>
      <c r="BN86" s="145">
        <v>5.8781108644730934E-2</v>
      </c>
      <c r="BO86" s="145">
        <v>0.99170662243029906</v>
      </c>
      <c r="BP86" s="145">
        <v>1.3097332997804534</v>
      </c>
      <c r="BQ86" s="145">
        <v>1.9857930750859876</v>
      </c>
      <c r="BR86" s="145">
        <v>4.7445245187253118</v>
      </c>
      <c r="BS86" s="145">
        <v>7.2345828054883938</v>
      </c>
      <c r="BT86" s="145">
        <v>22.366817982097913</v>
      </c>
      <c r="BU86" s="145">
        <v>18.295291601364625</v>
      </c>
      <c r="BV86" s="145">
        <v>12.039843538608688</v>
      </c>
    </row>
    <row r="87" spans="1:74" x14ac:dyDescent="0.25">
      <c r="A87" s="141">
        <v>42837</v>
      </c>
      <c r="B87" s="142">
        <v>0.4777777777777778</v>
      </c>
      <c r="C87" s="143">
        <v>122.45</v>
      </c>
      <c r="E87" s="144" t="s">
        <v>169</v>
      </c>
      <c r="F87" s="158">
        <v>122.45</v>
      </c>
      <c r="I87" s="143">
        <v>117.02</v>
      </c>
      <c r="J87" s="143">
        <v>107.03</v>
      </c>
      <c r="K87" s="143">
        <v>117.02</v>
      </c>
      <c r="L87" s="143">
        <v>118.21</v>
      </c>
      <c r="M87" s="143">
        <v>119.28</v>
      </c>
      <c r="N87" s="143">
        <v>121.13</v>
      </c>
      <c r="O87" s="143">
        <v>121.69</v>
      </c>
      <c r="P87" s="143">
        <v>123.01</v>
      </c>
      <c r="Q87" s="143">
        <v>122.83</v>
      </c>
      <c r="S87" s="145">
        <v>1.1871270703265002</v>
      </c>
      <c r="T87" s="145">
        <v>7.836820250012011E-2</v>
      </c>
      <c r="U87" s="145">
        <v>1.1871270703265002</v>
      </c>
      <c r="V87" s="145">
        <v>1.5667551255716665</v>
      </c>
      <c r="W87" s="145">
        <v>2.3146219937636983</v>
      </c>
      <c r="X87" s="145">
        <v>5.2479903531512138</v>
      </c>
      <c r="Y87" s="145">
        <v>7.8073392762111622</v>
      </c>
      <c r="Z87" s="145">
        <v>23.143011487076958</v>
      </c>
      <c r="AA87" s="145">
        <v>19.039972140220083</v>
      </c>
      <c r="AB87" s="145">
        <v>12.722135106903151</v>
      </c>
      <c r="BB87" s="136">
        <v>117.02</v>
      </c>
      <c r="BC87" s="136">
        <v>107.03</v>
      </c>
      <c r="BD87" s="136">
        <v>117.02</v>
      </c>
      <c r="BE87" s="136">
        <v>118.21</v>
      </c>
      <c r="BF87" s="136">
        <v>119.28</v>
      </c>
      <c r="BG87" s="136">
        <v>121.13</v>
      </c>
      <c r="BH87" s="136">
        <v>121.69</v>
      </c>
      <c r="BI87" s="136">
        <v>123.01</v>
      </c>
      <c r="BJ87" s="136">
        <v>122.83</v>
      </c>
      <c r="BK87" s="136">
        <v>122.45</v>
      </c>
      <c r="BM87" s="145">
        <v>1.1871270703265002</v>
      </c>
      <c r="BN87" s="145">
        <v>7.836820250012011E-2</v>
      </c>
      <c r="BO87" s="145">
        <v>1.1871270703265002</v>
      </c>
      <c r="BP87" s="145">
        <v>1.5667551255716665</v>
      </c>
      <c r="BQ87" s="145">
        <v>2.3146219937636983</v>
      </c>
      <c r="BR87" s="145">
        <v>5.2479903531512138</v>
      </c>
      <c r="BS87" s="145">
        <v>7.8073392762111622</v>
      </c>
      <c r="BT87" s="145">
        <v>23.143011487076958</v>
      </c>
      <c r="BU87" s="145">
        <v>19.039972140220083</v>
      </c>
      <c r="BV87" s="145">
        <v>12.722135106903151</v>
      </c>
    </row>
    <row r="88" spans="1:74" x14ac:dyDescent="0.25">
      <c r="A88" s="141">
        <v>42837</v>
      </c>
      <c r="B88" s="142">
        <v>0.47812499999999997</v>
      </c>
      <c r="C88" s="143">
        <v>122.54</v>
      </c>
      <c r="E88" s="144" t="s">
        <v>169</v>
      </c>
      <c r="F88" s="158">
        <v>122.54</v>
      </c>
      <c r="I88" s="143">
        <v>117.48</v>
      </c>
      <c r="J88" s="143">
        <v>107.99</v>
      </c>
      <c r="K88" s="143">
        <v>117.48</v>
      </c>
      <c r="L88" s="143">
        <v>118.67</v>
      </c>
      <c r="M88" s="143">
        <v>119.62</v>
      </c>
      <c r="N88" s="143">
        <v>121.21</v>
      </c>
      <c r="O88" s="143">
        <v>121.28</v>
      </c>
      <c r="P88" s="143">
        <v>122.36</v>
      </c>
      <c r="Q88" s="143">
        <v>122.18</v>
      </c>
      <c r="S88" s="145">
        <v>1.4043821824122864</v>
      </c>
      <c r="T88" s="145">
        <v>0.10280082046726179</v>
      </c>
      <c r="U88" s="145">
        <v>1.4043821824122864</v>
      </c>
      <c r="V88" s="145">
        <v>1.8524944439076005</v>
      </c>
      <c r="W88" s="145">
        <v>2.6702287505903635</v>
      </c>
      <c r="X88" s="145">
        <v>5.7608163162769177</v>
      </c>
      <c r="Y88" s="145">
        <v>8.328497990907815</v>
      </c>
      <c r="Z88" s="145">
        <v>23.811309245350181</v>
      </c>
      <c r="AA88" s="145">
        <v>19.681137431548095</v>
      </c>
      <c r="AB88" s="145">
        <v>13.418713508375804</v>
      </c>
      <c r="BB88" s="136">
        <v>117.48</v>
      </c>
      <c r="BC88" s="136">
        <v>107.99</v>
      </c>
      <c r="BD88" s="136">
        <v>117.48</v>
      </c>
      <c r="BE88" s="136">
        <v>118.67</v>
      </c>
      <c r="BF88" s="136">
        <v>119.62</v>
      </c>
      <c r="BG88" s="136">
        <v>121.21</v>
      </c>
      <c r="BH88" s="136">
        <v>121.28</v>
      </c>
      <c r="BI88" s="136">
        <v>122.36</v>
      </c>
      <c r="BJ88" s="136">
        <v>122.18</v>
      </c>
      <c r="BK88" s="136">
        <v>122.54</v>
      </c>
      <c r="BM88" s="145">
        <v>1.4043821824122864</v>
      </c>
      <c r="BN88" s="145">
        <v>0.10280082046726179</v>
      </c>
      <c r="BO88" s="145">
        <v>1.4043821824122864</v>
      </c>
      <c r="BP88" s="145">
        <v>1.8524944439076005</v>
      </c>
      <c r="BQ88" s="145">
        <v>2.6702287505903635</v>
      </c>
      <c r="BR88" s="145">
        <v>5.7608163162769177</v>
      </c>
      <c r="BS88" s="145">
        <v>8.328497990907815</v>
      </c>
      <c r="BT88" s="145">
        <v>23.811309245350181</v>
      </c>
      <c r="BU88" s="145">
        <v>19.681137431548095</v>
      </c>
      <c r="BV88" s="145">
        <v>13.418713508375804</v>
      </c>
    </row>
    <row r="89" spans="1:74" x14ac:dyDescent="0.25">
      <c r="A89" s="141">
        <v>42837</v>
      </c>
      <c r="B89" s="142">
        <v>0.47847222222222219</v>
      </c>
      <c r="C89" s="143">
        <v>122.48</v>
      </c>
      <c r="E89" s="144" t="s">
        <v>169</v>
      </c>
      <c r="F89" s="158">
        <v>122.48</v>
      </c>
      <c r="I89" s="143">
        <v>117.89</v>
      </c>
      <c r="J89" s="143">
        <v>108.9</v>
      </c>
      <c r="K89" s="143">
        <v>117.89</v>
      </c>
      <c r="L89" s="143">
        <v>119.07</v>
      </c>
      <c r="M89" s="143">
        <v>119.91</v>
      </c>
      <c r="N89" s="143">
        <v>121.38</v>
      </c>
      <c r="O89" s="143">
        <v>121.91</v>
      </c>
      <c r="P89" s="143">
        <v>123.03</v>
      </c>
      <c r="Q89" s="143">
        <v>122.89</v>
      </c>
      <c r="S89" s="145">
        <v>1.643146819241132</v>
      </c>
      <c r="T89" s="145">
        <v>0.13292879977097974</v>
      </c>
      <c r="U89" s="145">
        <v>1.643146819241132</v>
      </c>
      <c r="V89" s="145">
        <v>2.1658013762437682</v>
      </c>
      <c r="W89" s="145">
        <v>3.0503918890604544</v>
      </c>
      <c r="X89" s="145">
        <v>6.2941143768920469</v>
      </c>
      <c r="Y89" s="145">
        <v>8.9310159610937134</v>
      </c>
      <c r="Z89" s="145">
        <v>24.591085496763657</v>
      </c>
      <c r="AA89" s="145">
        <v>20.43617750863017</v>
      </c>
      <c r="AB89" s="145">
        <v>14.105734495882063</v>
      </c>
      <c r="BB89" s="136">
        <v>117.89</v>
      </c>
      <c r="BC89" s="136">
        <v>108.9</v>
      </c>
      <c r="BD89" s="136">
        <v>117.89</v>
      </c>
      <c r="BE89" s="136">
        <v>119.07</v>
      </c>
      <c r="BF89" s="136">
        <v>119.91</v>
      </c>
      <c r="BG89" s="136">
        <v>121.38</v>
      </c>
      <c r="BH89" s="136">
        <v>121.91</v>
      </c>
      <c r="BI89" s="136">
        <v>123.03</v>
      </c>
      <c r="BJ89" s="136">
        <v>122.89</v>
      </c>
      <c r="BK89" s="136">
        <v>122.48</v>
      </c>
      <c r="BM89" s="145">
        <v>1.643146819241132</v>
      </c>
      <c r="BN89" s="145">
        <v>0.13292879977097974</v>
      </c>
      <c r="BO89" s="145">
        <v>1.643146819241132</v>
      </c>
      <c r="BP89" s="145">
        <v>2.1658013762437682</v>
      </c>
      <c r="BQ89" s="145">
        <v>3.0503918890604544</v>
      </c>
      <c r="BR89" s="145">
        <v>6.2941143768920469</v>
      </c>
      <c r="BS89" s="145">
        <v>8.9310159610937134</v>
      </c>
      <c r="BT89" s="145">
        <v>24.591085496763657</v>
      </c>
      <c r="BU89" s="145">
        <v>20.43617750863017</v>
      </c>
      <c r="BV89" s="145">
        <v>14.105734495882063</v>
      </c>
    </row>
    <row r="90" spans="1:74" x14ac:dyDescent="0.25">
      <c r="A90" s="141">
        <v>42837</v>
      </c>
      <c r="B90" s="142">
        <v>0.47881944444444446</v>
      </c>
      <c r="C90" s="143">
        <v>122.5</v>
      </c>
      <c r="E90" s="144" t="s">
        <v>169</v>
      </c>
      <c r="F90" s="158">
        <v>122.5</v>
      </c>
      <c r="I90" s="143">
        <v>118.27</v>
      </c>
      <c r="J90" s="143">
        <v>109.79</v>
      </c>
      <c r="K90" s="143">
        <v>118.27</v>
      </c>
      <c r="L90" s="143">
        <v>119.45</v>
      </c>
      <c r="M90" s="143">
        <v>120.19</v>
      </c>
      <c r="N90" s="143">
        <v>121.42</v>
      </c>
      <c r="O90" s="143">
        <v>121.19</v>
      </c>
      <c r="P90" s="143">
        <v>122.03</v>
      </c>
      <c r="Q90" s="143">
        <v>121.86</v>
      </c>
      <c r="S90" s="145">
        <v>1.9037441747936723</v>
      </c>
      <c r="T90" s="145">
        <v>0.16990906352389171</v>
      </c>
      <c r="U90" s="145">
        <v>1.9037441747936723</v>
      </c>
      <c r="V90" s="145">
        <v>2.5077571998844834</v>
      </c>
      <c r="W90" s="145">
        <v>3.4558724179873752</v>
      </c>
      <c r="X90" s="145">
        <v>6.832346983706965</v>
      </c>
      <c r="Y90" s="145">
        <v>9.4414857029475545</v>
      </c>
      <c r="Z90" s="145">
        <v>25.210483790028842</v>
      </c>
      <c r="AA90" s="145">
        <v>21.031798512643856</v>
      </c>
      <c r="AB90" s="145">
        <v>14.795926628183507</v>
      </c>
      <c r="BB90" s="136">
        <v>118.27</v>
      </c>
      <c r="BC90" s="136">
        <v>109.79</v>
      </c>
      <c r="BD90" s="136">
        <v>118.27</v>
      </c>
      <c r="BE90" s="136">
        <v>119.45</v>
      </c>
      <c r="BF90" s="136">
        <v>120.19</v>
      </c>
      <c r="BG90" s="136">
        <v>121.42</v>
      </c>
      <c r="BH90" s="136">
        <v>121.19</v>
      </c>
      <c r="BI90" s="136">
        <v>122.03</v>
      </c>
      <c r="BJ90" s="136">
        <v>121.86</v>
      </c>
      <c r="BK90" s="136">
        <v>122.5</v>
      </c>
      <c r="BM90" s="145">
        <v>1.9037441747936723</v>
      </c>
      <c r="BN90" s="145">
        <v>0.16990906352389171</v>
      </c>
      <c r="BO90" s="145">
        <v>1.9037441747936723</v>
      </c>
      <c r="BP90" s="145">
        <v>2.5077571998844834</v>
      </c>
      <c r="BQ90" s="145">
        <v>3.4558724179873752</v>
      </c>
      <c r="BR90" s="145">
        <v>6.832346983706965</v>
      </c>
      <c r="BS90" s="145">
        <v>9.4414857029475545</v>
      </c>
      <c r="BT90" s="145">
        <v>25.210483790028842</v>
      </c>
      <c r="BU90" s="145">
        <v>21.031798512643856</v>
      </c>
      <c r="BV90" s="145">
        <v>14.795926628183507</v>
      </c>
    </row>
    <row r="91" spans="1:74" x14ac:dyDescent="0.25">
      <c r="A91" s="141">
        <v>42837</v>
      </c>
      <c r="B91" s="142">
        <v>0.47916666666666669</v>
      </c>
      <c r="C91" s="143">
        <v>122.52</v>
      </c>
      <c r="E91" s="144" t="s">
        <v>169</v>
      </c>
      <c r="F91" s="158">
        <v>122.52</v>
      </c>
      <c r="I91" s="143">
        <v>118.61</v>
      </c>
      <c r="J91" s="143">
        <v>110.6</v>
      </c>
      <c r="K91" s="143">
        <v>118.61</v>
      </c>
      <c r="L91" s="143">
        <v>119.79</v>
      </c>
      <c r="M91" s="143">
        <v>120.4</v>
      </c>
      <c r="N91" s="143">
        <v>121.58</v>
      </c>
      <c r="O91" s="143">
        <v>122.08</v>
      </c>
      <c r="P91" s="143">
        <v>123.07</v>
      </c>
      <c r="Q91" s="143">
        <v>122.92</v>
      </c>
      <c r="S91" s="145">
        <v>2.1855630027066497</v>
      </c>
      <c r="T91" s="145">
        <v>0.21447161043057897</v>
      </c>
      <c r="U91" s="145">
        <v>2.1855630027066497</v>
      </c>
      <c r="V91" s="145">
        <v>2.8775598374136031</v>
      </c>
      <c r="W91" s="145">
        <v>3.8814414370885646</v>
      </c>
      <c r="X91" s="145">
        <v>7.3907786075972464</v>
      </c>
      <c r="Y91" s="145">
        <v>10.068056290418262</v>
      </c>
      <c r="Z91" s="145">
        <v>25.997475222261951</v>
      </c>
      <c r="AA91" s="145">
        <v>21.792072277510105</v>
      </c>
      <c r="AB91" s="145">
        <v>15.48930454261945</v>
      </c>
      <c r="BB91" s="136">
        <v>118.61</v>
      </c>
      <c r="BC91" s="136">
        <v>110.6</v>
      </c>
      <c r="BD91" s="136">
        <v>118.61</v>
      </c>
      <c r="BE91" s="136">
        <v>119.79</v>
      </c>
      <c r="BF91" s="136">
        <v>120.4</v>
      </c>
      <c r="BG91" s="136">
        <v>121.58</v>
      </c>
      <c r="BH91" s="136">
        <v>122.08</v>
      </c>
      <c r="BI91" s="136">
        <v>123.07</v>
      </c>
      <c r="BJ91" s="136">
        <v>122.92</v>
      </c>
      <c r="BK91" s="136">
        <v>122.52</v>
      </c>
      <c r="BM91" s="145">
        <v>2.1855630027066497</v>
      </c>
      <c r="BN91" s="145">
        <v>0.21447161043057897</v>
      </c>
      <c r="BO91" s="145">
        <v>2.1855630027066497</v>
      </c>
      <c r="BP91" s="145">
        <v>2.8775598374136031</v>
      </c>
      <c r="BQ91" s="145">
        <v>3.8814414370885646</v>
      </c>
      <c r="BR91" s="145">
        <v>7.3907786075972464</v>
      </c>
      <c r="BS91" s="145">
        <v>10.068056290418262</v>
      </c>
      <c r="BT91" s="145">
        <v>25.997475222261951</v>
      </c>
      <c r="BU91" s="145">
        <v>21.792072277510105</v>
      </c>
      <c r="BV91" s="145">
        <v>15.48930454261945</v>
      </c>
    </row>
    <row r="92" spans="1:74" x14ac:dyDescent="0.25">
      <c r="A92" s="141">
        <v>42837</v>
      </c>
      <c r="B92" s="142">
        <v>0.47951388888888885</v>
      </c>
      <c r="C92" s="143">
        <v>122.44</v>
      </c>
      <c r="E92" s="144" t="s">
        <v>169</v>
      </c>
      <c r="F92" s="158">
        <v>122.44</v>
      </c>
      <c r="I92" s="143">
        <v>118.92</v>
      </c>
      <c r="J92" s="143">
        <v>111.37</v>
      </c>
      <c r="K92" s="143">
        <v>118.92</v>
      </c>
      <c r="L92" s="143">
        <v>120.09</v>
      </c>
      <c r="M92" s="143">
        <v>120.62</v>
      </c>
      <c r="N92" s="143">
        <v>121.57</v>
      </c>
      <c r="O92" s="143">
        <v>121.68</v>
      </c>
      <c r="P92" s="143">
        <v>122.4</v>
      </c>
      <c r="Q92" s="143">
        <v>122.38</v>
      </c>
      <c r="S92" s="145">
        <v>2.488233440083607</v>
      </c>
      <c r="T92" s="145">
        <v>0.26767876134179491</v>
      </c>
      <c r="U92" s="145">
        <v>2.488233440083607</v>
      </c>
      <c r="V92" s="145">
        <v>3.27381050265384</v>
      </c>
      <c r="W92" s="145">
        <v>4.3291238198633621</v>
      </c>
      <c r="X92" s="145">
        <v>7.9479258743931114</v>
      </c>
      <c r="Y92" s="145">
        <v>10.639495457813149</v>
      </c>
      <c r="Z92" s="145">
        <v>26.671956663557779</v>
      </c>
      <c r="AA92" s="145">
        <v>22.463454758079038</v>
      </c>
      <c r="AB92" s="145">
        <v>16.170026883852426</v>
      </c>
      <c r="BB92" s="136">
        <v>118.92</v>
      </c>
      <c r="BC92" s="136">
        <v>111.37</v>
      </c>
      <c r="BD92" s="136">
        <v>118.92</v>
      </c>
      <c r="BE92" s="136">
        <v>120.09</v>
      </c>
      <c r="BF92" s="136">
        <v>120.62</v>
      </c>
      <c r="BG92" s="136">
        <v>121.57</v>
      </c>
      <c r="BH92" s="136">
        <v>121.68</v>
      </c>
      <c r="BI92" s="136">
        <v>122.4</v>
      </c>
      <c r="BJ92" s="136">
        <v>122.38</v>
      </c>
      <c r="BK92" s="136">
        <v>122.44</v>
      </c>
      <c r="BM92" s="145">
        <v>2.488233440083607</v>
      </c>
      <c r="BN92" s="145">
        <v>0.26767876134179491</v>
      </c>
      <c r="BO92" s="145">
        <v>2.488233440083607</v>
      </c>
      <c r="BP92" s="145">
        <v>3.27381050265384</v>
      </c>
      <c r="BQ92" s="145">
        <v>4.3291238198633621</v>
      </c>
      <c r="BR92" s="145">
        <v>7.9479258743931114</v>
      </c>
      <c r="BS92" s="145">
        <v>10.639495457813149</v>
      </c>
      <c r="BT92" s="145">
        <v>26.671956663557779</v>
      </c>
      <c r="BU92" s="145">
        <v>22.463454758079038</v>
      </c>
      <c r="BV92" s="145">
        <v>16.170026883852426</v>
      </c>
    </row>
    <row r="93" spans="1:74" x14ac:dyDescent="0.25">
      <c r="A93" s="141">
        <v>42837</v>
      </c>
      <c r="B93" s="142">
        <v>0.47986111111111113</v>
      </c>
      <c r="C93" s="143">
        <v>122.56</v>
      </c>
      <c r="E93" s="144" t="s">
        <v>169</v>
      </c>
      <c r="F93" s="158">
        <v>122.56</v>
      </c>
      <c r="I93" s="143">
        <v>119.2</v>
      </c>
      <c r="J93" s="143">
        <v>112.08</v>
      </c>
      <c r="K93" s="143">
        <v>119.2</v>
      </c>
      <c r="L93" s="143">
        <v>120.36</v>
      </c>
      <c r="M93" s="143">
        <v>120.8</v>
      </c>
      <c r="N93" s="143">
        <v>121.7</v>
      </c>
      <c r="O93" s="143">
        <v>121.92</v>
      </c>
      <c r="P93" s="143">
        <v>122.76</v>
      </c>
      <c r="Q93" s="143">
        <v>122.57</v>
      </c>
      <c r="S93" s="145">
        <v>2.8110605546009353</v>
      </c>
      <c r="T93" s="145">
        <v>0.33033582008886575</v>
      </c>
      <c r="U93" s="145">
        <v>2.8110605546009353</v>
      </c>
      <c r="V93" s="145">
        <v>3.6954778815359783</v>
      </c>
      <c r="W93" s="145">
        <v>4.7957509702618584</v>
      </c>
      <c r="X93" s="145">
        <v>8.5220026851415547</v>
      </c>
      <c r="Y93" s="145">
        <v>11.243402375366541</v>
      </c>
      <c r="Z93" s="145">
        <v>27.404730584035736</v>
      </c>
      <c r="AA93" s="145">
        <v>23.164861610360017</v>
      </c>
      <c r="AB93" s="145">
        <v>16.869820545138737</v>
      </c>
      <c r="BB93" s="136">
        <v>119.2</v>
      </c>
      <c r="BC93" s="136">
        <v>112.08</v>
      </c>
      <c r="BD93" s="136">
        <v>119.2</v>
      </c>
      <c r="BE93" s="136">
        <v>120.36</v>
      </c>
      <c r="BF93" s="136">
        <v>120.8</v>
      </c>
      <c r="BG93" s="136">
        <v>121.7</v>
      </c>
      <c r="BH93" s="136">
        <v>121.92</v>
      </c>
      <c r="BI93" s="136">
        <v>122.76</v>
      </c>
      <c r="BJ93" s="136">
        <v>122.57</v>
      </c>
      <c r="BK93" s="136">
        <v>122.56</v>
      </c>
      <c r="BM93" s="145">
        <v>2.8110605546009353</v>
      </c>
      <c r="BN93" s="145">
        <v>0.33033582008886575</v>
      </c>
      <c r="BO93" s="145">
        <v>2.8110605546009353</v>
      </c>
      <c r="BP93" s="145">
        <v>3.6954778815359783</v>
      </c>
      <c r="BQ93" s="145">
        <v>4.7957509702618584</v>
      </c>
      <c r="BR93" s="145">
        <v>8.5220026851415547</v>
      </c>
      <c r="BS93" s="145">
        <v>11.243402375366541</v>
      </c>
      <c r="BT93" s="145">
        <v>27.404730584035736</v>
      </c>
      <c r="BU93" s="145">
        <v>23.164861610360017</v>
      </c>
      <c r="BV93" s="145">
        <v>16.869820545138737</v>
      </c>
    </row>
    <row r="94" spans="1:74" x14ac:dyDescent="0.25">
      <c r="A94" s="141">
        <v>42837</v>
      </c>
      <c r="B94" s="142">
        <v>0.48020833333333335</v>
      </c>
      <c r="C94" s="143">
        <v>122.43</v>
      </c>
      <c r="E94" s="144" t="s">
        <v>169</v>
      </c>
      <c r="F94" s="158">
        <v>122.43</v>
      </c>
      <c r="I94" s="143">
        <v>119.45</v>
      </c>
      <c r="J94" s="143">
        <v>112.76</v>
      </c>
      <c r="K94" s="143">
        <v>119.45</v>
      </c>
      <c r="L94" s="143">
        <v>120.61</v>
      </c>
      <c r="M94" s="143">
        <v>120.97</v>
      </c>
      <c r="N94" s="143">
        <v>121.66</v>
      </c>
      <c r="O94" s="143">
        <v>122.26</v>
      </c>
      <c r="P94" s="143">
        <v>123.01</v>
      </c>
      <c r="Q94" s="143">
        <v>122.91</v>
      </c>
      <c r="S94" s="145">
        <v>3.1530163782416505</v>
      </c>
      <c r="T94" s="145">
        <v>0.40361321213666146</v>
      </c>
      <c r="U94" s="145">
        <v>3.1530163782416505</v>
      </c>
      <c r="V94" s="145">
        <v>4.1421306234026263</v>
      </c>
      <c r="W94" s="145">
        <v>5.2810059538846037</v>
      </c>
      <c r="X94" s="145">
        <v>9.0908163280532701</v>
      </c>
      <c r="Y94" s="145">
        <v>11.896487819432464</v>
      </c>
      <c r="Z94" s="145">
        <v>28.180924089014781</v>
      </c>
      <c r="AA94" s="145">
        <v>23.923386794089687</v>
      </c>
      <c r="AB94" s="145">
        <v>17.548977268432317</v>
      </c>
      <c r="BB94" s="136">
        <v>119.45</v>
      </c>
      <c r="BC94" s="136">
        <v>112.76</v>
      </c>
      <c r="BD94" s="136">
        <v>119.45</v>
      </c>
      <c r="BE94" s="136">
        <v>120.61</v>
      </c>
      <c r="BF94" s="136">
        <v>120.97</v>
      </c>
      <c r="BG94" s="136">
        <v>121.66</v>
      </c>
      <c r="BH94" s="136">
        <v>122.26</v>
      </c>
      <c r="BI94" s="136">
        <v>123.01</v>
      </c>
      <c r="BJ94" s="136">
        <v>122.91</v>
      </c>
      <c r="BK94" s="136">
        <v>122.43</v>
      </c>
      <c r="BM94" s="145">
        <v>3.1530163782416505</v>
      </c>
      <c r="BN94" s="145">
        <v>0.40361321213666146</v>
      </c>
      <c r="BO94" s="145">
        <v>3.1530163782416505</v>
      </c>
      <c r="BP94" s="145">
        <v>4.1421306234026263</v>
      </c>
      <c r="BQ94" s="145">
        <v>5.2810059538846037</v>
      </c>
      <c r="BR94" s="145">
        <v>9.0908163280532701</v>
      </c>
      <c r="BS94" s="145">
        <v>11.896487819432464</v>
      </c>
      <c r="BT94" s="145">
        <v>28.180924089014781</v>
      </c>
      <c r="BU94" s="145">
        <v>23.923386794089687</v>
      </c>
      <c r="BV94" s="145">
        <v>17.548977268432317</v>
      </c>
    </row>
    <row r="95" spans="1:74" x14ac:dyDescent="0.25">
      <c r="A95" s="141">
        <v>42837</v>
      </c>
      <c r="B95" s="142">
        <v>0.48055555555555557</v>
      </c>
      <c r="C95" s="143">
        <v>122.55</v>
      </c>
      <c r="E95" s="144" t="s">
        <v>169</v>
      </c>
      <c r="F95" s="158">
        <v>122.55</v>
      </c>
      <c r="I95" s="143">
        <v>119.7</v>
      </c>
      <c r="J95" s="143">
        <v>113.4</v>
      </c>
      <c r="K95" s="143">
        <v>119.7</v>
      </c>
      <c r="L95" s="143">
        <v>120.84</v>
      </c>
      <c r="M95" s="143">
        <v>121.11</v>
      </c>
      <c r="N95" s="143">
        <v>121.81</v>
      </c>
      <c r="O95" s="143">
        <v>121.72</v>
      </c>
      <c r="P95" s="143">
        <v>122.37</v>
      </c>
      <c r="Q95" s="143">
        <v>122.2</v>
      </c>
      <c r="S95" s="145">
        <v>3.5152343582791463</v>
      </c>
      <c r="T95" s="145">
        <v>0.48852539475974888</v>
      </c>
      <c r="U95" s="145">
        <v>3.5152343582791463</v>
      </c>
      <c r="V95" s="145">
        <v>4.6130754216640479</v>
      </c>
      <c r="W95" s="145">
        <v>5.7821585729235538</v>
      </c>
      <c r="X95" s="145">
        <v>9.6796193148136744</v>
      </c>
      <c r="Y95" s="145">
        <v>12.473214448343011</v>
      </c>
      <c r="Z95" s="145">
        <v>28.850762432727748</v>
      </c>
      <c r="AA95" s="145">
        <v>24.567511569936254</v>
      </c>
      <c r="AB95" s="145">
        <v>18.247161448960288</v>
      </c>
      <c r="BB95" s="136">
        <v>119.7</v>
      </c>
      <c r="BC95" s="136">
        <v>113.4</v>
      </c>
      <c r="BD95" s="136">
        <v>119.7</v>
      </c>
      <c r="BE95" s="136">
        <v>120.84</v>
      </c>
      <c r="BF95" s="136">
        <v>121.11</v>
      </c>
      <c r="BG95" s="136">
        <v>121.81</v>
      </c>
      <c r="BH95" s="136">
        <v>121.72</v>
      </c>
      <c r="BI95" s="136">
        <v>122.37</v>
      </c>
      <c r="BJ95" s="136">
        <v>122.2</v>
      </c>
      <c r="BK95" s="136">
        <v>122.55</v>
      </c>
      <c r="BM95" s="145">
        <v>3.5152343582791463</v>
      </c>
      <c r="BN95" s="145">
        <v>0.48852539475974888</v>
      </c>
      <c r="BO95" s="145">
        <v>3.5152343582791463</v>
      </c>
      <c r="BP95" s="145">
        <v>4.6130754216640479</v>
      </c>
      <c r="BQ95" s="145">
        <v>5.7821585729235538</v>
      </c>
      <c r="BR95" s="145">
        <v>9.6796193148136744</v>
      </c>
      <c r="BS95" s="145">
        <v>12.473214448343011</v>
      </c>
      <c r="BT95" s="145">
        <v>28.850762432727748</v>
      </c>
      <c r="BU95" s="145">
        <v>24.567511569936254</v>
      </c>
      <c r="BV95" s="145">
        <v>18.247161448960288</v>
      </c>
    </row>
    <row r="96" spans="1:74" x14ac:dyDescent="0.25">
      <c r="A96" s="141">
        <v>42837</v>
      </c>
      <c r="B96" s="142">
        <v>0.48090277777777773</v>
      </c>
      <c r="C96" s="143">
        <v>122.48</v>
      </c>
      <c r="E96" s="144" t="s">
        <v>169</v>
      </c>
      <c r="F96" s="158">
        <v>122.48</v>
      </c>
      <c r="I96" s="143">
        <v>119.88</v>
      </c>
      <c r="J96" s="143">
        <v>114.01</v>
      </c>
      <c r="K96" s="143">
        <v>119.88</v>
      </c>
      <c r="L96" s="143">
        <v>121.04</v>
      </c>
      <c r="M96" s="143">
        <v>121.22</v>
      </c>
      <c r="N96" s="143">
        <v>121.78</v>
      </c>
      <c r="O96" s="143">
        <v>122.3</v>
      </c>
      <c r="P96" s="143">
        <v>122.99</v>
      </c>
      <c r="Q96" s="143">
        <v>122.85</v>
      </c>
      <c r="S96" s="145">
        <v>3.8927804721118635</v>
      </c>
      <c r="T96" s="145">
        <v>0.58624236754851877</v>
      </c>
      <c r="U96" s="145">
        <v>3.8927804721118635</v>
      </c>
      <c r="V96" s="145">
        <v>5.1062151644796545</v>
      </c>
      <c r="W96" s="145">
        <v>6.2961667219867916</v>
      </c>
      <c r="X96" s="145">
        <v>10.264369010323611</v>
      </c>
      <c r="Y96" s="145">
        <v>13.132342817621215</v>
      </c>
      <c r="Z96" s="145">
        <v>29.623389652496954</v>
      </c>
      <c r="AA96" s="145">
        <v>25.315629397983471</v>
      </c>
      <c r="AB96" s="145">
        <v>18.934182436466546</v>
      </c>
      <c r="BB96" s="136">
        <v>119.88</v>
      </c>
      <c r="BC96" s="136">
        <v>114.01</v>
      </c>
      <c r="BD96" s="136">
        <v>119.88</v>
      </c>
      <c r="BE96" s="136">
        <v>121.04</v>
      </c>
      <c r="BF96" s="136">
        <v>121.22</v>
      </c>
      <c r="BG96" s="136">
        <v>121.78</v>
      </c>
      <c r="BH96" s="136">
        <v>122.3</v>
      </c>
      <c r="BI96" s="136">
        <v>122.99</v>
      </c>
      <c r="BJ96" s="136">
        <v>122.85</v>
      </c>
      <c r="BK96" s="136">
        <v>122.48</v>
      </c>
      <c r="BM96" s="145">
        <v>3.8927804721118635</v>
      </c>
      <c r="BN96" s="145">
        <v>0.58624236754851877</v>
      </c>
      <c r="BO96" s="145">
        <v>3.8927804721118635</v>
      </c>
      <c r="BP96" s="145">
        <v>5.1062151644796545</v>
      </c>
      <c r="BQ96" s="145">
        <v>6.2961667219867916</v>
      </c>
      <c r="BR96" s="145">
        <v>10.264369010323611</v>
      </c>
      <c r="BS96" s="145">
        <v>13.132342817621215</v>
      </c>
      <c r="BT96" s="145">
        <v>29.623389652496954</v>
      </c>
      <c r="BU96" s="145">
        <v>25.315629397983471</v>
      </c>
      <c r="BV96" s="145">
        <v>18.934182436466546</v>
      </c>
    </row>
    <row r="97" spans="1:74" x14ac:dyDescent="0.25">
      <c r="A97" s="141">
        <v>42837</v>
      </c>
      <c r="B97" s="142">
        <v>0.48125000000000001</v>
      </c>
      <c r="C97" s="143">
        <v>122.49</v>
      </c>
      <c r="E97" s="144" t="s">
        <v>169</v>
      </c>
      <c r="F97" s="158">
        <v>122.49</v>
      </c>
      <c r="I97" s="143">
        <v>120.09</v>
      </c>
      <c r="J97" s="143">
        <v>114.57</v>
      </c>
      <c r="K97" s="143">
        <v>120.09</v>
      </c>
      <c r="L97" s="143">
        <v>121.26</v>
      </c>
      <c r="M97" s="143">
        <v>121.34</v>
      </c>
      <c r="N97" s="143">
        <v>121.91</v>
      </c>
      <c r="O97" s="143">
        <v>121.5</v>
      </c>
      <c r="P97" s="143">
        <v>121.96</v>
      </c>
      <c r="Q97" s="143">
        <v>121.82</v>
      </c>
      <c r="S97" s="145">
        <v>4.2890311373521</v>
      </c>
      <c r="T97" s="145">
        <v>0.69740786208108885</v>
      </c>
      <c r="U97" s="145">
        <v>4.2890311373521</v>
      </c>
      <c r="V97" s="145">
        <v>5.6249793723886619</v>
      </c>
      <c r="W97" s="145">
        <v>6.8245754765936217</v>
      </c>
      <c r="X97" s="145">
        <v>10.866886980509509</v>
      </c>
      <c r="Y97" s="145">
        <v>13.680581915692809</v>
      </c>
      <c r="Z97" s="145">
        <v>30.232884451959386</v>
      </c>
      <c r="AA97" s="145">
        <v>25.905789715809338</v>
      </c>
      <c r="AB97" s="145">
        <v>19.622787170913519</v>
      </c>
      <c r="BB97" s="136">
        <v>120.09</v>
      </c>
      <c r="BC97" s="136">
        <v>114.57</v>
      </c>
      <c r="BD97" s="136">
        <v>120.09</v>
      </c>
      <c r="BE97" s="136">
        <v>121.26</v>
      </c>
      <c r="BF97" s="136">
        <v>121.34</v>
      </c>
      <c r="BG97" s="136">
        <v>121.91</v>
      </c>
      <c r="BH97" s="136">
        <v>121.5</v>
      </c>
      <c r="BI97" s="136">
        <v>121.96</v>
      </c>
      <c r="BJ97" s="136">
        <v>121.82</v>
      </c>
      <c r="BK97" s="136">
        <v>122.49</v>
      </c>
      <c r="BM97" s="145">
        <v>4.2890311373521</v>
      </c>
      <c r="BN97" s="145">
        <v>0.69740786208108885</v>
      </c>
      <c r="BO97" s="145">
        <v>4.2890311373521</v>
      </c>
      <c r="BP97" s="145">
        <v>5.6249793723886619</v>
      </c>
      <c r="BQ97" s="145">
        <v>6.8245754765936217</v>
      </c>
      <c r="BR97" s="145">
        <v>10.866886980509509</v>
      </c>
      <c r="BS97" s="145">
        <v>13.680581915692809</v>
      </c>
      <c r="BT97" s="145">
        <v>30.232884451959386</v>
      </c>
      <c r="BU97" s="145">
        <v>25.905789715809338</v>
      </c>
      <c r="BV97" s="145">
        <v>19.622787170913519</v>
      </c>
    </row>
    <row r="98" spans="1:74" x14ac:dyDescent="0.25">
      <c r="A98" s="141">
        <v>42837</v>
      </c>
      <c r="B98" s="142">
        <v>0.48159722222222223</v>
      </c>
      <c r="C98" s="143">
        <v>122.53</v>
      </c>
      <c r="E98" s="144" t="s">
        <v>169</v>
      </c>
      <c r="F98" s="158">
        <v>122.53</v>
      </c>
      <c r="I98" s="143">
        <v>120.25</v>
      </c>
      <c r="J98" s="143">
        <v>115.12</v>
      </c>
      <c r="K98" s="143">
        <v>120.25</v>
      </c>
      <c r="L98" s="143">
        <v>121.4</v>
      </c>
      <c r="M98" s="143">
        <v>121.43</v>
      </c>
      <c r="N98" s="143">
        <v>121.92</v>
      </c>
      <c r="O98" s="143">
        <v>122.3</v>
      </c>
      <c r="P98" s="143">
        <v>122.89</v>
      </c>
      <c r="Q98" s="143">
        <v>122.76</v>
      </c>
      <c r="S98" s="145">
        <v>4.7001524623256357</v>
      </c>
      <c r="T98" s="145">
        <v>0.82358190070511783</v>
      </c>
      <c r="U98" s="145">
        <v>4.7001524623256357</v>
      </c>
      <c r="V98" s="145">
        <v>6.1607390250074667</v>
      </c>
      <c r="W98" s="145">
        <v>7.3640488377085376</v>
      </c>
      <c r="X98" s="145">
        <v>11.470793898062901</v>
      </c>
      <c r="Y98" s="145">
        <v>14.339710284971012</v>
      </c>
      <c r="Z98" s="145">
        <v>30.987924529041461</v>
      </c>
      <c r="AA98" s="145">
        <v>26.638563636287294</v>
      </c>
      <c r="AB98" s="145">
        <v>20.317763486520196</v>
      </c>
      <c r="BB98" s="136">
        <v>120.25</v>
      </c>
      <c r="BC98" s="136">
        <v>115.12</v>
      </c>
      <c r="BD98" s="136">
        <v>120.25</v>
      </c>
      <c r="BE98" s="136">
        <v>121.4</v>
      </c>
      <c r="BF98" s="136">
        <v>121.43</v>
      </c>
      <c r="BG98" s="136">
        <v>121.92</v>
      </c>
      <c r="BH98" s="136">
        <v>122.3</v>
      </c>
      <c r="BI98" s="136">
        <v>122.89</v>
      </c>
      <c r="BJ98" s="136">
        <v>122.76</v>
      </c>
      <c r="BK98" s="136">
        <v>122.53</v>
      </c>
      <c r="BM98" s="145">
        <v>4.7001524623256357</v>
      </c>
      <c r="BN98" s="145">
        <v>0.82358190070511783</v>
      </c>
      <c r="BO98" s="145">
        <v>4.7001524623256357</v>
      </c>
      <c r="BP98" s="145">
        <v>6.1607390250074667</v>
      </c>
      <c r="BQ98" s="145">
        <v>7.3640488377085376</v>
      </c>
      <c r="BR98" s="145">
        <v>11.470793898062901</v>
      </c>
      <c r="BS98" s="145">
        <v>14.339710284971012</v>
      </c>
      <c r="BT98" s="145">
        <v>30.987924529041461</v>
      </c>
      <c r="BU98" s="145">
        <v>26.638563636287294</v>
      </c>
      <c r="BV98" s="145">
        <v>20.317763486520196</v>
      </c>
    </row>
    <row r="99" spans="1:74" x14ac:dyDescent="0.25">
      <c r="A99" s="141">
        <v>42837</v>
      </c>
      <c r="B99" s="142">
        <v>0.48194444444444445</v>
      </c>
      <c r="C99" s="143">
        <v>122.42</v>
      </c>
      <c r="E99" s="144" t="s">
        <v>169</v>
      </c>
      <c r="F99" s="158">
        <v>122.42</v>
      </c>
      <c r="I99" s="143">
        <v>120.42</v>
      </c>
      <c r="J99" s="143">
        <v>115.63</v>
      </c>
      <c r="K99" s="143">
        <v>120.42</v>
      </c>
      <c r="L99" s="143">
        <v>121.57</v>
      </c>
      <c r="M99" s="143">
        <v>121.53</v>
      </c>
      <c r="N99" s="143">
        <v>121.87</v>
      </c>
      <c r="O99" s="143">
        <v>122.41</v>
      </c>
      <c r="P99" s="143">
        <v>122.86</v>
      </c>
      <c r="Q99" s="143">
        <v>122.91</v>
      </c>
      <c r="S99" s="145">
        <v>5.1276858187679784</v>
      </c>
      <c r="T99" s="145">
        <v>0.96547785212719561</v>
      </c>
      <c r="U99" s="145">
        <v>5.1276858187679784</v>
      </c>
      <c r="V99" s="145">
        <v>6.7178862918033317</v>
      </c>
      <c r="W99" s="145">
        <v>7.9160881476595755</v>
      </c>
      <c r="X99" s="145">
        <v>12.067787950295038</v>
      </c>
      <c r="Y99" s="145">
        <v>15.015746566568151</v>
      </c>
      <c r="Z99" s="145">
        <v>31.73776694679265</v>
      </c>
      <c r="AA99" s="145">
        <v>27.397088820016965</v>
      </c>
      <c r="AB99" s="145">
        <v>20.995358192695715</v>
      </c>
      <c r="BB99" s="136">
        <v>120.42</v>
      </c>
      <c r="BC99" s="136">
        <v>115.63</v>
      </c>
      <c r="BD99" s="136">
        <v>120.42</v>
      </c>
      <c r="BE99" s="136">
        <v>121.57</v>
      </c>
      <c r="BF99" s="136">
        <v>121.53</v>
      </c>
      <c r="BG99" s="136">
        <v>121.87</v>
      </c>
      <c r="BH99" s="136">
        <v>122.41</v>
      </c>
      <c r="BI99" s="136">
        <v>122.86</v>
      </c>
      <c r="BJ99" s="136">
        <v>122.91</v>
      </c>
      <c r="BK99" s="136">
        <v>122.42</v>
      </c>
      <c r="BM99" s="145">
        <v>5.1276858187679784</v>
      </c>
      <c r="BN99" s="145">
        <v>0.96547785212719561</v>
      </c>
      <c r="BO99" s="145">
        <v>5.1276858187679784</v>
      </c>
      <c r="BP99" s="145">
        <v>6.7178862918033317</v>
      </c>
      <c r="BQ99" s="145">
        <v>7.9160881476595755</v>
      </c>
      <c r="BR99" s="145">
        <v>12.067787950295038</v>
      </c>
      <c r="BS99" s="145">
        <v>15.015746566568151</v>
      </c>
      <c r="BT99" s="145">
        <v>31.73776694679265</v>
      </c>
      <c r="BU99" s="145">
        <v>27.397088820016965</v>
      </c>
      <c r="BV99" s="145">
        <v>20.995358192695715</v>
      </c>
    </row>
    <row r="100" spans="1:74" x14ac:dyDescent="0.25">
      <c r="A100" s="141">
        <v>42837</v>
      </c>
      <c r="B100" s="142">
        <v>0.48229166666666662</v>
      </c>
      <c r="C100" s="143">
        <v>122.54</v>
      </c>
      <c r="E100" s="144" t="s">
        <v>169</v>
      </c>
      <c r="F100" s="158">
        <v>122.54</v>
      </c>
      <c r="I100" s="143">
        <v>120.55</v>
      </c>
      <c r="J100" s="143">
        <v>116.1</v>
      </c>
      <c r="K100" s="143">
        <v>120.55</v>
      </c>
      <c r="L100" s="143">
        <v>121.7</v>
      </c>
      <c r="M100" s="143">
        <v>121.6</v>
      </c>
      <c r="N100" s="143">
        <v>122</v>
      </c>
      <c r="O100" s="143">
        <v>122.1</v>
      </c>
      <c r="P100" s="143">
        <v>122.55</v>
      </c>
      <c r="Q100" s="143">
        <v>122.41</v>
      </c>
      <c r="S100" s="145">
        <v>5.5682102552719854</v>
      </c>
      <c r="T100" s="145">
        <v>1.1235917351356146</v>
      </c>
      <c r="U100" s="145">
        <v>5.5682102552719854</v>
      </c>
      <c r="V100" s="145">
        <v>7.2919631025517742</v>
      </c>
      <c r="W100" s="145">
        <v>8.4770973748105565</v>
      </c>
      <c r="X100" s="145">
        <v>12.68292233570123</v>
      </c>
      <c r="Y100" s="145">
        <v>15.645209272465234</v>
      </c>
      <c r="Z100" s="145">
        <v>32.435951127320621</v>
      </c>
      <c r="AA100" s="145">
        <v>28.073125101614103</v>
      </c>
      <c r="AB100" s="145">
        <v>21.691936594168368</v>
      </c>
      <c r="BB100" s="136">
        <v>120.55</v>
      </c>
      <c r="BC100" s="136">
        <v>116.1</v>
      </c>
      <c r="BD100" s="136">
        <v>120.55</v>
      </c>
      <c r="BE100" s="136">
        <v>121.7</v>
      </c>
      <c r="BF100" s="136">
        <v>121.6</v>
      </c>
      <c r="BG100" s="136">
        <v>122</v>
      </c>
      <c r="BH100" s="136">
        <v>122.1</v>
      </c>
      <c r="BI100" s="136">
        <v>122.55</v>
      </c>
      <c r="BJ100" s="136">
        <v>122.41</v>
      </c>
      <c r="BK100" s="136">
        <v>122.54</v>
      </c>
      <c r="BM100" s="145">
        <v>5.5682102552719854</v>
      </c>
      <c r="BN100" s="145">
        <v>1.1235917351356146</v>
      </c>
      <c r="BO100" s="145">
        <v>5.5682102552719854</v>
      </c>
      <c r="BP100" s="145">
        <v>7.2919631025517742</v>
      </c>
      <c r="BQ100" s="145">
        <v>8.4770973748105565</v>
      </c>
      <c r="BR100" s="145">
        <v>12.68292233570123</v>
      </c>
      <c r="BS100" s="145">
        <v>15.645209272465234</v>
      </c>
      <c r="BT100" s="145">
        <v>32.435951127320621</v>
      </c>
      <c r="BU100" s="145">
        <v>28.073125101614103</v>
      </c>
      <c r="BV100" s="145">
        <v>21.691936594168368</v>
      </c>
    </row>
    <row r="101" spans="1:74" x14ac:dyDescent="0.25">
      <c r="A101" s="141">
        <v>42837</v>
      </c>
      <c r="B101" s="142">
        <v>0.4826388888888889</v>
      </c>
      <c r="C101" s="143">
        <v>122.44</v>
      </c>
      <c r="E101" s="144" t="s">
        <v>169</v>
      </c>
      <c r="F101" s="158">
        <v>122.44</v>
      </c>
      <c r="I101" s="143">
        <v>120.7</v>
      </c>
      <c r="J101" s="143">
        <v>116.55</v>
      </c>
      <c r="K101" s="143">
        <v>120.7</v>
      </c>
      <c r="L101" s="143">
        <v>121.85</v>
      </c>
      <c r="M101" s="143">
        <v>121.68</v>
      </c>
      <c r="N101" s="143">
        <v>121.92</v>
      </c>
      <c r="O101" s="143">
        <v>122.51</v>
      </c>
      <c r="P101" s="143">
        <v>122.95</v>
      </c>
      <c r="Q101" s="143">
        <v>122.89</v>
      </c>
      <c r="S101" s="145">
        <v>6.0242156749499411</v>
      </c>
      <c r="T101" s="145">
        <v>1.2989676721118988</v>
      </c>
      <c r="U101" s="145">
        <v>6.0242156749499411</v>
      </c>
      <c r="V101" s="145">
        <v>7.8862142162702833</v>
      </c>
      <c r="W101" s="145">
        <v>9.0485365422054436</v>
      </c>
      <c r="X101" s="145">
        <v>13.286829253254622</v>
      </c>
      <c r="Y101" s="145">
        <v>16.336992461951127</v>
      </c>
      <c r="Z101" s="145">
        <v>33.201494858161638</v>
      </c>
      <c r="AA101" s="145">
        <v>28.828165178696178</v>
      </c>
      <c r="AB101" s="145">
        <v>22.372658935401343</v>
      </c>
      <c r="BB101" s="136">
        <v>120.7</v>
      </c>
      <c r="BC101" s="136">
        <v>116.55</v>
      </c>
      <c r="BD101" s="136">
        <v>120.7</v>
      </c>
      <c r="BE101" s="136">
        <v>121.85</v>
      </c>
      <c r="BF101" s="136">
        <v>121.68</v>
      </c>
      <c r="BG101" s="136">
        <v>121.92</v>
      </c>
      <c r="BH101" s="136">
        <v>122.51</v>
      </c>
      <c r="BI101" s="136">
        <v>122.95</v>
      </c>
      <c r="BJ101" s="136">
        <v>122.89</v>
      </c>
      <c r="BK101" s="136">
        <v>122.44</v>
      </c>
      <c r="BM101" s="145">
        <v>6.0242156749499411</v>
      </c>
      <c r="BN101" s="145">
        <v>1.2989676721118988</v>
      </c>
      <c r="BO101" s="145">
        <v>6.0242156749499411</v>
      </c>
      <c r="BP101" s="145">
        <v>7.8862142162702833</v>
      </c>
      <c r="BQ101" s="145">
        <v>9.0485365422054436</v>
      </c>
      <c r="BR101" s="145">
        <v>13.286829253254622</v>
      </c>
      <c r="BS101" s="145">
        <v>16.336992461951127</v>
      </c>
      <c r="BT101" s="145">
        <v>33.201494858161638</v>
      </c>
      <c r="BU101" s="145">
        <v>28.828165178696178</v>
      </c>
      <c r="BV101" s="145">
        <v>22.372658935401343</v>
      </c>
    </row>
    <row r="102" spans="1:74" x14ac:dyDescent="0.25">
      <c r="A102" s="141">
        <v>42837</v>
      </c>
      <c r="B102" s="142">
        <v>0.48298611111111112</v>
      </c>
      <c r="C102" s="143">
        <v>122.53</v>
      </c>
      <c r="E102" s="144" t="s">
        <v>169</v>
      </c>
      <c r="F102" s="158">
        <v>122.53</v>
      </c>
      <c r="I102" s="143">
        <v>120.8</v>
      </c>
      <c r="J102" s="143">
        <v>116.98</v>
      </c>
      <c r="K102" s="143">
        <v>120.8</v>
      </c>
      <c r="L102" s="143">
        <v>121.95</v>
      </c>
      <c r="M102" s="143">
        <v>121.74</v>
      </c>
      <c r="N102" s="143">
        <v>122.1</v>
      </c>
      <c r="O102" s="143">
        <v>121.83</v>
      </c>
      <c r="P102" s="143">
        <v>122.17</v>
      </c>
      <c r="Q102" s="143">
        <v>122.04</v>
      </c>
      <c r="S102" s="145">
        <v>6.4908428253484374</v>
      </c>
      <c r="T102" s="145">
        <v>1.4925964945727079</v>
      </c>
      <c r="U102" s="145">
        <v>6.4908428253484374</v>
      </c>
      <c r="V102" s="145">
        <v>8.4943072165934694</v>
      </c>
      <c r="W102" s="145">
        <v>9.6279252202830072</v>
      </c>
      <c r="X102" s="145">
        <v>13.916291959151705</v>
      </c>
      <c r="Y102" s="145">
        <v>16.928513239813711</v>
      </c>
      <c r="Z102" s="145">
        <v>33.8411855102404</v>
      </c>
      <c r="AA102" s="145">
        <v>29.448991332492387</v>
      </c>
      <c r="AB102" s="145">
        <v>23.067635251008021</v>
      </c>
      <c r="BB102" s="136">
        <v>120.8</v>
      </c>
      <c r="BC102" s="136">
        <v>116.98</v>
      </c>
      <c r="BD102" s="136">
        <v>120.8</v>
      </c>
      <c r="BE102" s="136">
        <v>121.95</v>
      </c>
      <c r="BF102" s="136">
        <v>121.74</v>
      </c>
      <c r="BG102" s="136">
        <v>122.1</v>
      </c>
      <c r="BH102" s="136">
        <v>121.83</v>
      </c>
      <c r="BI102" s="136">
        <v>122.17</v>
      </c>
      <c r="BJ102" s="136">
        <v>122.04</v>
      </c>
      <c r="BK102" s="136">
        <v>122.53</v>
      </c>
      <c r="BM102" s="145">
        <v>6.4908428253484374</v>
      </c>
      <c r="BN102" s="145">
        <v>1.4925964945727079</v>
      </c>
      <c r="BO102" s="145">
        <v>6.4908428253484374</v>
      </c>
      <c r="BP102" s="145">
        <v>8.4943072165934694</v>
      </c>
      <c r="BQ102" s="145">
        <v>9.6279252202830072</v>
      </c>
      <c r="BR102" s="145">
        <v>13.916291959151705</v>
      </c>
      <c r="BS102" s="145">
        <v>16.928513239813711</v>
      </c>
      <c r="BT102" s="145">
        <v>33.8411855102404</v>
      </c>
      <c r="BU102" s="145">
        <v>29.448991332492387</v>
      </c>
      <c r="BV102" s="145">
        <v>23.067635251008021</v>
      </c>
    </row>
    <row r="103" spans="1:74" x14ac:dyDescent="0.25">
      <c r="A103" s="141">
        <v>42837</v>
      </c>
      <c r="B103" s="142">
        <v>0.48333333333333334</v>
      </c>
      <c r="C103" s="143">
        <v>122.49</v>
      </c>
      <c r="E103" s="144" t="s">
        <v>169</v>
      </c>
      <c r="F103" s="158">
        <v>122.49</v>
      </c>
      <c r="I103" s="143">
        <v>120.93</v>
      </c>
      <c r="J103" s="143">
        <v>117.37</v>
      </c>
      <c r="K103" s="143">
        <v>120.93</v>
      </c>
      <c r="L103" s="143">
        <v>122.08</v>
      </c>
      <c r="M103" s="143">
        <v>121.79</v>
      </c>
      <c r="N103" s="143">
        <v>122.02</v>
      </c>
      <c r="O103" s="143">
        <v>122.64</v>
      </c>
      <c r="P103" s="143">
        <v>123.05</v>
      </c>
      <c r="Q103" s="143">
        <v>122.98</v>
      </c>
      <c r="S103" s="145">
        <v>6.9716489645402708</v>
      </c>
      <c r="T103" s="145">
        <v>1.704417977597479</v>
      </c>
      <c r="U103" s="145">
        <v>6.9716489645402708</v>
      </c>
      <c r="V103" s="145">
        <v>9.1208778040641789</v>
      </c>
      <c r="W103" s="145">
        <v>10.214022903057074</v>
      </c>
      <c r="X103" s="145">
        <v>14.534265675873961</v>
      </c>
      <c r="Y103" s="145">
        <v>17.641317036614804</v>
      </c>
      <c r="Z103" s="145">
        <v>34.624561045294477</v>
      </c>
      <c r="AA103" s="145">
        <v>30.219841558967168</v>
      </c>
      <c r="AB103" s="145">
        <v>23.756239985454993</v>
      </c>
      <c r="BB103" s="136">
        <v>120.93</v>
      </c>
      <c r="BC103" s="136">
        <v>117.37</v>
      </c>
      <c r="BD103" s="136">
        <v>120.93</v>
      </c>
      <c r="BE103" s="136">
        <v>122.08</v>
      </c>
      <c r="BF103" s="136">
        <v>121.79</v>
      </c>
      <c r="BG103" s="136">
        <v>122.02</v>
      </c>
      <c r="BH103" s="136">
        <v>122.64</v>
      </c>
      <c r="BI103" s="136">
        <v>123.05</v>
      </c>
      <c r="BJ103" s="136">
        <v>122.98</v>
      </c>
      <c r="BK103" s="136">
        <v>122.49</v>
      </c>
      <c r="BM103" s="145">
        <v>6.9716489645402708</v>
      </c>
      <c r="BN103" s="145">
        <v>1.704417977597479</v>
      </c>
      <c r="BO103" s="145">
        <v>6.9716489645402708</v>
      </c>
      <c r="BP103" s="145">
        <v>9.1208778040641789</v>
      </c>
      <c r="BQ103" s="145">
        <v>10.214022903057074</v>
      </c>
      <c r="BR103" s="145">
        <v>14.534265675873961</v>
      </c>
      <c r="BS103" s="145">
        <v>17.641317036614804</v>
      </c>
      <c r="BT103" s="145">
        <v>34.624561045294477</v>
      </c>
      <c r="BU103" s="145">
        <v>30.219841558967168</v>
      </c>
      <c r="BV103" s="145">
        <v>23.756239985454993</v>
      </c>
    </row>
    <row r="104" spans="1:74" x14ac:dyDescent="0.25">
      <c r="A104" s="141">
        <v>42837</v>
      </c>
      <c r="B104" s="142">
        <v>0.4836805555555555</v>
      </c>
      <c r="C104" s="143">
        <v>122.47</v>
      </c>
      <c r="E104" s="144" t="s">
        <v>169</v>
      </c>
      <c r="F104" s="158">
        <v>122.47</v>
      </c>
      <c r="I104" s="143">
        <v>121.01</v>
      </c>
      <c r="J104" s="143">
        <v>117.76</v>
      </c>
      <c r="K104" s="143">
        <v>121.01</v>
      </c>
      <c r="L104" s="143">
        <v>122.16</v>
      </c>
      <c r="M104" s="143">
        <v>121.85</v>
      </c>
      <c r="N104" s="143">
        <v>122.05</v>
      </c>
      <c r="O104" s="143">
        <v>121.64</v>
      </c>
      <c r="P104" s="143">
        <v>121.86</v>
      </c>
      <c r="Q104" s="143">
        <v>121.75</v>
      </c>
      <c r="S104" s="145">
        <v>7.4613939572446215</v>
      </c>
      <c r="T104" s="145">
        <v>1.9361414374656236</v>
      </c>
      <c r="U104" s="145">
        <v>7.4613939572446215</v>
      </c>
      <c r="V104" s="145">
        <v>9.7590972084698517</v>
      </c>
      <c r="W104" s="145">
        <v>10.808274016775584</v>
      </c>
      <c r="X104" s="145">
        <v>15.156522981759654</v>
      </c>
      <c r="Y104" s="145">
        <v>18.207517218232585</v>
      </c>
      <c r="Z104" s="145">
        <v>35.220182049308164</v>
      </c>
      <c r="AA104" s="145">
        <v>30.800565865887339</v>
      </c>
      <c r="AB104" s="145">
        <v>24.441680868537421</v>
      </c>
      <c r="BB104" s="136">
        <v>121.01</v>
      </c>
      <c r="BC104" s="136">
        <v>117.76</v>
      </c>
      <c r="BD104" s="136">
        <v>121.01</v>
      </c>
      <c r="BE104" s="136">
        <v>122.16</v>
      </c>
      <c r="BF104" s="136">
        <v>121.85</v>
      </c>
      <c r="BG104" s="136">
        <v>122.05</v>
      </c>
      <c r="BH104" s="136">
        <v>121.64</v>
      </c>
      <c r="BI104" s="136">
        <v>121.86</v>
      </c>
      <c r="BJ104" s="136">
        <v>121.75</v>
      </c>
      <c r="BK104" s="136">
        <v>122.47</v>
      </c>
      <c r="BM104" s="145">
        <v>7.4613939572446215</v>
      </c>
      <c r="BN104" s="145">
        <v>1.9361414374656236</v>
      </c>
      <c r="BO104" s="145">
        <v>7.4613939572446215</v>
      </c>
      <c r="BP104" s="145">
        <v>9.7590972084698517</v>
      </c>
      <c r="BQ104" s="145">
        <v>10.808274016775584</v>
      </c>
      <c r="BR104" s="145">
        <v>15.156522981759654</v>
      </c>
      <c r="BS104" s="145">
        <v>18.207517218232585</v>
      </c>
      <c r="BT104" s="145">
        <v>35.220182049308164</v>
      </c>
      <c r="BU104" s="145">
        <v>30.800565865887339</v>
      </c>
      <c r="BV104" s="145">
        <v>24.441680868537421</v>
      </c>
    </row>
    <row r="105" spans="1:74" x14ac:dyDescent="0.25">
      <c r="A105" s="141">
        <v>42837</v>
      </c>
      <c r="B105" s="142">
        <v>0.48402777777777778</v>
      </c>
      <c r="C105" s="143">
        <v>122.53</v>
      </c>
      <c r="E105" s="144" t="s">
        <v>169</v>
      </c>
      <c r="F105" s="158">
        <v>122.53</v>
      </c>
      <c r="I105" s="143">
        <v>121.13</v>
      </c>
      <c r="J105" s="143">
        <v>118.12</v>
      </c>
      <c r="K105" s="143">
        <v>121.13</v>
      </c>
      <c r="L105" s="143">
        <v>122.26</v>
      </c>
      <c r="M105" s="143">
        <v>121.88</v>
      </c>
      <c r="N105" s="143">
        <v>122.04</v>
      </c>
      <c r="O105" s="143">
        <v>122.44</v>
      </c>
      <c r="P105" s="143">
        <v>122.78</v>
      </c>
      <c r="Q105" s="143">
        <v>122.67</v>
      </c>
      <c r="S105" s="145">
        <v>7.9648597916705235</v>
      </c>
      <c r="T105" s="145">
        <v>2.1878917418595765</v>
      </c>
      <c r="U105" s="145">
        <v>7.9648597916705235</v>
      </c>
      <c r="V105" s="145">
        <v>10.412182652535774</v>
      </c>
      <c r="W105" s="145">
        <v>11.406644282429207</v>
      </c>
      <c r="X105" s="145">
        <v>15.777349135555861</v>
      </c>
      <c r="Y105" s="145">
        <v>18.888239559465561</v>
      </c>
      <c r="Z105" s="145">
        <v>35.956338300524521</v>
      </c>
      <c r="AA105" s="145">
        <v>31.518310582564169</v>
      </c>
      <c r="AB105" s="145">
        <v>25.136657184144099</v>
      </c>
      <c r="BB105" s="136">
        <v>121.13</v>
      </c>
      <c r="BC105" s="136">
        <v>118.12</v>
      </c>
      <c r="BD105" s="136">
        <v>121.13</v>
      </c>
      <c r="BE105" s="136">
        <v>122.26</v>
      </c>
      <c r="BF105" s="136">
        <v>121.88</v>
      </c>
      <c r="BG105" s="136">
        <v>122.04</v>
      </c>
      <c r="BH105" s="136">
        <v>122.44</v>
      </c>
      <c r="BI105" s="136">
        <v>122.78</v>
      </c>
      <c r="BJ105" s="136">
        <v>122.67</v>
      </c>
      <c r="BK105" s="136">
        <v>122.53</v>
      </c>
      <c r="BM105" s="145">
        <v>7.9648597916705235</v>
      </c>
      <c r="BN105" s="145">
        <v>2.1878917418595765</v>
      </c>
      <c r="BO105" s="145">
        <v>7.9648597916705235</v>
      </c>
      <c r="BP105" s="145">
        <v>10.412182652535774</v>
      </c>
      <c r="BQ105" s="145">
        <v>11.406644282429207</v>
      </c>
      <c r="BR105" s="145">
        <v>15.777349135555861</v>
      </c>
      <c r="BS105" s="145">
        <v>18.888239559465561</v>
      </c>
      <c r="BT105" s="145">
        <v>35.956338300524521</v>
      </c>
      <c r="BU105" s="145">
        <v>31.518310582564169</v>
      </c>
      <c r="BV105" s="145">
        <v>25.136657184144099</v>
      </c>
    </row>
    <row r="106" spans="1:74" x14ac:dyDescent="0.25">
      <c r="A106" s="141">
        <v>42837</v>
      </c>
      <c r="B106" s="142">
        <v>0.484375</v>
      </c>
      <c r="C106" s="143">
        <v>122.39</v>
      </c>
      <c r="E106" s="144" t="s">
        <v>169</v>
      </c>
      <c r="F106" s="158">
        <v>122.39</v>
      </c>
      <c r="I106" s="143">
        <v>121.19</v>
      </c>
      <c r="J106" s="143">
        <v>118.48</v>
      </c>
      <c r="K106" s="143">
        <v>121.19</v>
      </c>
      <c r="L106" s="143">
        <v>122.33</v>
      </c>
      <c r="M106" s="143">
        <v>121.93</v>
      </c>
      <c r="N106" s="143">
        <v>122.02</v>
      </c>
      <c r="O106" s="143">
        <v>122.59</v>
      </c>
      <c r="P106" s="143">
        <v>122.89</v>
      </c>
      <c r="Q106" s="143">
        <v>122.93</v>
      </c>
      <c r="S106" s="145">
        <v>8.4753295335243646</v>
      </c>
      <c r="T106" s="145">
        <v>2.4613997233065628</v>
      </c>
      <c r="U106" s="145">
        <v>8.4753295335243646</v>
      </c>
      <c r="V106" s="145">
        <v>11.075879881400645</v>
      </c>
      <c r="W106" s="145">
        <v>12.011943349204451</v>
      </c>
      <c r="X106" s="145">
        <v>16.395322852278117</v>
      </c>
      <c r="Y106" s="145">
        <v>19.592883958676499</v>
      </c>
      <c r="Z106" s="145">
        <v>36.7113783776066</v>
      </c>
      <c r="AA106" s="145">
        <v>32.280336959462815</v>
      </c>
      <c r="AB106" s="145">
        <v>25.809587361172074</v>
      </c>
      <c r="BB106" s="136">
        <v>121.19</v>
      </c>
      <c r="BC106" s="136">
        <v>118.48</v>
      </c>
      <c r="BD106" s="136">
        <v>121.19</v>
      </c>
      <c r="BE106" s="136">
        <v>122.33</v>
      </c>
      <c r="BF106" s="136">
        <v>121.93</v>
      </c>
      <c r="BG106" s="136">
        <v>122.02</v>
      </c>
      <c r="BH106" s="136">
        <v>122.59</v>
      </c>
      <c r="BI106" s="136">
        <v>122.89</v>
      </c>
      <c r="BJ106" s="136">
        <v>122.93</v>
      </c>
      <c r="BK106" s="136">
        <v>122.39</v>
      </c>
      <c r="BM106" s="145">
        <v>8.4753295335243646</v>
      </c>
      <c r="BN106" s="145">
        <v>2.4613997233065628</v>
      </c>
      <c r="BO106" s="145">
        <v>8.4753295335243646</v>
      </c>
      <c r="BP106" s="145">
        <v>11.075879881400645</v>
      </c>
      <c r="BQ106" s="145">
        <v>12.011943349204451</v>
      </c>
      <c r="BR106" s="145">
        <v>16.395322852278117</v>
      </c>
      <c r="BS106" s="145">
        <v>19.592883958676499</v>
      </c>
      <c r="BT106" s="145">
        <v>36.7113783776066</v>
      </c>
      <c r="BU106" s="145">
        <v>32.280336959462815</v>
      </c>
      <c r="BV106" s="145">
        <v>25.809587361172074</v>
      </c>
    </row>
    <row r="107" spans="1:74" x14ac:dyDescent="0.25">
      <c r="A107" s="141">
        <v>42837</v>
      </c>
      <c r="B107" s="142">
        <v>0.48472222222222222</v>
      </c>
      <c r="C107" s="143">
        <v>122.51</v>
      </c>
      <c r="E107" s="144" t="s">
        <v>169</v>
      </c>
      <c r="F107" s="158">
        <v>122.51</v>
      </c>
      <c r="I107" s="143">
        <v>121.29</v>
      </c>
      <c r="J107" s="143">
        <v>118.83</v>
      </c>
      <c r="K107" s="143">
        <v>121.29</v>
      </c>
      <c r="L107" s="143">
        <v>122.43</v>
      </c>
      <c r="M107" s="143">
        <v>121.95</v>
      </c>
      <c r="N107" s="143">
        <v>122.09</v>
      </c>
      <c r="O107" s="143">
        <v>122.04</v>
      </c>
      <c r="P107" s="143">
        <v>122.29</v>
      </c>
      <c r="Q107" s="143">
        <v>122.17</v>
      </c>
      <c r="S107" s="145">
        <v>8.9976896431347662</v>
      </c>
      <c r="T107" s="145">
        <v>2.7578623855965629</v>
      </c>
      <c r="U107" s="145">
        <v>8.9976896431347662</v>
      </c>
      <c r="V107" s="145">
        <v>11.755036604694224</v>
      </c>
      <c r="W107" s="145">
        <v>12.620036349527636</v>
      </c>
      <c r="X107" s="145">
        <v>17.023337834125556</v>
      </c>
      <c r="Y107" s="145">
        <v>20.213710112472707</v>
      </c>
      <c r="Z107" s="145">
        <v>37.368990793702721</v>
      </c>
      <c r="AA107" s="145">
        <v>32.920027611541578</v>
      </c>
      <c r="AB107" s="145">
        <v>26.501370550657967</v>
      </c>
      <c r="BB107" s="136">
        <v>121.29</v>
      </c>
      <c r="BC107" s="136">
        <v>118.83</v>
      </c>
      <c r="BD107" s="136">
        <v>121.29</v>
      </c>
      <c r="BE107" s="136">
        <v>122.43</v>
      </c>
      <c r="BF107" s="136">
        <v>121.95</v>
      </c>
      <c r="BG107" s="136">
        <v>122.09</v>
      </c>
      <c r="BH107" s="136">
        <v>122.04</v>
      </c>
      <c r="BI107" s="136">
        <v>122.29</v>
      </c>
      <c r="BJ107" s="136">
        <v>122.17</v>
      </c>
      <c r="BK107" s="136">
        <v>122.51</v>
      </c>
      <c r="BM107" s="145">
        <v>8.9976896431347662</v>
      </c>
      <c r="BN107" s="145">
        <v>2.7578623855965629</v>
      </c>
      <c r="BO107" s="145">
        <v>8.9976896431347662</v>
      </c>
      <c r="BP107" s="145">
        <v>11.755036604694224</v>
      </c>
      <c r="BQ107" s="145">
        <v>12.620036349527636</v>
      </c>
      <c r="BR107" s="145">
        <v>17.023337834125556</v>
      </c>
      <c r="BS107" s="145">
        <v>20.213710112472707</v>
      </c>
      <c r="BT107" s="145">
        <v>37.368990793702721</v>
      </c>
      <c r="BU107" s="145">
        <v>32.920027611541578</v>
      </c>
      <c r="BV107" s="145">
        <v>26.501370550657967</v>
      </c>
    </row>
    <row r="108" spans="1:74" x14ac:dyDescent="0.25">
      <c r="A108" s="141">
        <v>42837</v>
      </c>
      <c r="B108" s="142">
        <v>0.4850694444444445</v>
      </c>
      <c r="C108" s="143">
        <v>122.43</v>
      </c>
      <c r="E108" s="144" t="s">
        <v>169</v>
      </c>
      <c r="F108" s="158">
        <v>122.43</v>
      </c>
      <c r="I108" s="143">
        <v>121.35</v>
      </c>
      <c r="J108" s="143">
        <v>119.16</v>
      </c>
      <c r="K108" s="143">
        <v>121.35</v>
      </c>
      <c r="L108" s="143">
        <v>122.49</v>
      </c>
      <c r="M108" s="143">
        <v>121.99</v>
      </c>
      <c r="N108" s="143">
        <v>122.03</v>
      </c>
      <c r="O108" s="143">
        <v>122.72</v>
      </c>
      <c r="P108" s="143">
        <v>123.02</v>
      </c>
      <c r="Q108" s="143">
        <v>122.93</v>
      </c>
      <c r="S108" s="145">
        <v>9.5273165057234106</v>
      </c>
      <c r="T108" s="145">
        <v>3.077729803337887</v>
      </c>
      <c r="U108" s="145">
        <v>9.5273165057234106</v>
      </c>
      <c r="V108" s="145">
        <v>12.443641339141198</v>
      </c>
      <c r="W108" s="145">
        <v>13.233755965106839</v>
      </c>
      <c r="X108" s="145">
        <v>17.642736127390741</v>
      </c>
      <c r="Y108" s="145">
        <v>20.939765921266581</v>
      </c>
      <c r="Z108" s="145">
        <v>38.14697360950526</v>
      </c>
      <c r="AA108" s="145">
        <v>33.682053988440224</v>
      </c>
      <c r="AB108" s="145">
        <v>27.180527273951547</v>
      </c>
      <c r="BB108" s="136">
        <v>121.35</v>
      </c>
      <c r="BC108" s="136">
        <v>119.16</v>
      </c>
      <c r="BD108" s="136">
        <v>121.35</v>
      </c>
      <c r="BE108" s="136">
        <v>122.49</v>
      </c>
      <c r="BF108" s="136">
        <v>121.99</v>
      </c>
      <c r="BG108" s="136">
        <v>122.03</v>
      </c>
      <c r="BH108" s="136">
        <v>122.72</v>
      </c>
      <c r="BI108" s="136">
        <v>123.02</v>
      </c>
      <c r="BJ108" s="136">
        <v>122.93</v>
      </c>
      <c r="BK108" s="136">
        <v>122.43</v>
      </c>
      <c r="BM108" s="145">
        <v>9.5273165057234106</v>
      </c>
      <c r="BN108" s="145">
        <v>3.077729803337887</v>
      </c>
      <c r="BO108" s="145">
        <v>9.5273165057234106</v>
      </c>
      <c r="BP108" s="145">
        <v>12.443641339141198</v>
      </c>
      <c r="BQ108" s="145">
        <v>13.233755965106839</v>
      </c>
      <c r="BR108" s="145">
        <v>17.642736127390741</v>
      </c>
      <c r="BS108" s="145">
        <v>20.939765921266581</v>
      </c>
      <c r="BT108" s="145">
        <v>38.14697360950526</v>
      </c>
      <c r="BU108" s="145">
        <v>33.682053988440224</v>
      </c>
      <c r="BV108" s="145">
        <v>27.180527273951547</v>
      </c>
    </row>
    <row r="109" spans="1:74" x14ac:dyDescent="0.25">
      <c r="A109" s="141">
        <v>42837</v>
      </c>
      <c r="B109" s="142">
        <v>0.48541666666666666</v>
      </c>
      <c r="C109" s="143">
        <v>122.47</v>
      </c>
      <c r="E109" s="144" t="s">
        <v>169</v>
      </c>
      <c r="F109" s="158">
        <v>122.47</v>
      </c>
      <c r="I109" s="143">
        <v>121.42</v>
      </c>
      <c r="J109" s="143">
        <v>119.47</v>
      </c>
      <c r="K109" s="143">
        <v>121.42</v>
      </c>
      <c r="L109" s="143">
        <v>122.58</v>
      </c>
      <c r="M109" s="143">
        <v>122.02</v>
      </c>
      <c r="N109" s="143">
        <v>122.08</v>
      </c>
      <c r="O109" s="143">
        <v>121.83</v>
      </c>
      <c r="P109" s="143">
        <v>122</v>
      </c>
      <c r="Q109" s="143">
        <v>121.89</v>
      </c>
      <c r="S109" s="145">
        <v>10.06554911253833</v>
      </c>
      <c r="T109" s="145">
        <v>3.4212640233450036</v>
      </c>
      <c r="U109" s="145">
        <v>10.06554911253833</v>
      </c>
      <c r="V109" s="145">
        <v>13.146665101206155</v>
      </c>
      <c r="W109" s="145">
        <v>13.851729681829095</v>
      </c>
      <c r="X109" s="145">
        <v>18.26930671486145</v>
      </c>
      <c r="Y109" s="145">
        <v>21.531286699129165</v>
      </c>
      <c r="Z109" s="145">
        <v>38.762107994911453</v>
      </c>
      <c r="AA109" s="145">
        <v>34.281803640014914</v>
      </c>
      <c r="AB109" s="145">
        <v>27.865968157033976</v>
      </c>
      <c r="BB109" s="136">
        <v>121.42</v>
      </c>
      <c r="BC109" s="136">
        <v>119.47</v>
      </c>
      <c r="BD109" s="136">
        <v>121.42</v>
      </c>
      <c r="BE109" s="136">
        <v>122.58</v>
      </c>
      <c r="BF109" s="136">
        <v>122.02</v>
      </c>
      <c r="BG109" s="136">
        <v>122.08</v>
      </c>
      <c r="BH109" s="136">
        <v>121.83</v>
      </c>
      <c r="BI109" s="136">
        <v>122</v>
      </c>
      <c r="BJ109" s="136">
        <v>121.89</v>
      </c>
      <c r="BK109" s="136">
        <v>122.47</v>
      </c>
      <c r="BM109" s="145">
        <v>10.06554911253833</v>
      </c>
      <c r="BN109" s="145">
        <v>3.4212640233450036</v>
      </c>
      <c r="BO109" s="145">
        <v>10.06554911253833</v>
      </c>
      <c r="BP109" s="145">
        <v>13.146665101206155</v>
      </c>
      <c r="BQ109" s="145">
        <v>13.851729681829095</v>
      </c>
      <c r="BR109" s="145">
        <v>18.26930671486145</v>
      </c>
      <c r="BS109" s="145">
        <v>21.531286699129165</v>
      </c>
      <c r="BT109" s="145">
        <v>38.762107994911453</v>
      </c>
      <c r="BU109" s="145">
        <v>34.281803640014914</v>
      </c>
      <c r="BV109" s="145">
        <v>27.865968157033976</v>
      </c>
    </row>
    <row r="110" spans="1:74" x14ac:dyDescent="0.25">
      <c r="A110" s="141">
        <v>42837</v>
      </c>
      <c r="B110" s="142">
        <v>0.48576388888888888</v>
      </c>
      <c r="C110" s="143">
        <v>122.46</v>
      </c>
      <c r="E110" s="144" t="s">
        <v>169</v>
      </c>
      <c r="F110" s="158">
        <v>122.46</v>
      </c>
      <c r="I110" s="143">
        <v>121.47</v>
      </c>
      <c r="J110" s="143">
        <v>119.74</v>
      </c>
      <c r="K110" s="143">
        <v>121.47</v>
      </c>
      <c r="L110" s="143">
        <v>122.63</v>
      </c>
      <c r="M110" s="143">
        <v>122.03</v>
      </c>
      <c r="N110" s="143">
        <v>122.07</v>
      </c>
      <c r="O110" s="143">
        <v>122.78</v>
      </c>
      <c r="P110" s="143">
        <v>123.06</v>
      </c>
      <c r="Q110" s="143">
        <v>122.98</v>
      </c>
      <c r="S110" s="145">
        <v>10.610014159205047</v>
      </c>
      <c r="T110" s="145">
        <v>3.7868335650867122</v>
      </c>
      <c r="U110" s="145">
        <v>10.610014159205047</v>
      </c>
      <c r="V110" s="145">
        <v>13.857829494767564</v>
      </c>
      <c r="W110" s="145">
        <v>14.47112797509428</v>
      </c>
      <c r="X110" s="145">
        <v>18.89443622997031</v>
      </c>
      <c r="Y110" s="145">
        <v>22.267442950345526</v>
      </c>
      <c r="Z110" s="145">
        <v>39.547289397078231</v>
      </c>
      <c r="AA110" s="145">
        <v>35.052653866489692</v>
      </c>
      <c r="AB110" s="145">
        <v>28.549832569831899</v>
      </c>
      <c r="BB110" s="136">
        <v>121.47</v>
      </c>
      <c r="BC110" s="136">
        <v>119.74</v>
      </c>
      <c r="BD110" s="136">
        <v>121.47</v>
      </c>
      <c r="BE110" s="136">
        <v>122.63</v>
      </c>
      <c r="BF110" s="136">
        <v>122.03</v>
      </c>
      <c r="BG110" s="136">
        <v>122.07</v>
      </c>
      <c r="BH110" s="136">
        <v>122.78</v>
      </c>
      <c r="BI110" s="136">
        <v>123.06</v>
      </c>
      <c r="BJ110" s="136">
        <v>122.98</v>
      </c>
      <c r="BK110" s="136">
        <v>122.46</v>
      </c>
      <c r="BM110" s="145">
        <v>10.610014159205047</v>
      </c>
      <c r="BN110" s="145">
        <v>3.7868335650867122</v>
      </c>
      <c r="BO110" s="145">
        <v>10.610014159205047</v>
      </c>
      <c r="BP110" s="145">
        <v>13.857829494767564</v>
      </c>
      <c r="BQ110" s="145">
        <v>14.47112797509428</v>
      </c>
      <c r="BR110" s="145">
        <v>18.89443622997031</v>
      </c>
      <c r="BS110" s="145">
        <v>22.267442950345526</v>
      </c>
      <c r="BT110" s="145">
        <v>39.547289397078231</v>
      </c>
      <c r="BU110" s="145">
        <v>35.052653866489692</v>
      </c>
      <c r="BV110" s="145">
        <v>28.549832569831899</v>
      </c>
    </row>
    <row r="111" spans="1:74" x14ac:dyDescent="0.25">
      <c r="A111" s="141">
        <v>42837</v>
      </c>
      <c r="B111" s="142">
        <v>0.4861111111111111</v>
      </c>
      <c r="C111" s="143">
        <v>122.43</v>
      </c>
      <c r="E111" s="144" t="s">
        <v>169</v>
      </c>
      <c r="F111" s="158">
        <v>122.43</v>
      </c>
      <c r="I111" s="143">
        <v>121.53</v>
      </c>
      <c r="J111" s="143">
        <v>120.02</v>
      </c>
      <c r="K111" s="143">
        <v>121.53</v>
      </c>
      <c r="L111" s="143">
        <v>122.69</v>
      </c>
      <c r="M111" s="143">
        <v>122.03</v>
      </c>
      <c r="N111" s="143">
        <v>122.09</v>
      </c>
      <c r="O111" s="143">
        <v>121.7</v>
      </c>
      <c r="P111" s="143">
        <v>121.82</v>
      </c>
      <c r="Q111" s="143">
        <v>121.7</v>
      </c>
      <c r="S111" s="145">
        <v>11.162053469156085</v>
      </c>
      <c r="T111" s="145">
        <v>4.1767486203483415</v>
      </c>
      <c r="U111" s="145">
        <v>11.162053469156085</v>
      </c>
      <c r="V111" s="145">
        <v>14.578887170529999</v>
      </c>
      <c r="W111" s="145">
        <v>15.090526268359465</v>
      </c>
      <c r="X111" s="145">
        <v>19.522451211817749</v>
      </c>
      <c r="Y111" s="145">
        <v>22.84151976109397</v>
      </c>
      <c r="Z111" s="145">
        <v>40.137449714904093</v>
      </c>
      <c r="AA111" s="145">
        <v>35.626730677238136</v>
      </c>
      <c r="AB111" s="145">
        <v>29.22898929312548</v>
      </c>
      <c r="BB111" s="136">
        <v>121.53</v>
      </c>
      <c r="BC111" s="136">
        <v>120.02</v>
      </c>
      <c r="BD111" s="136">
        <v>121.53</v>
      </c>
      <c r="BE111" s="136">
        <v>122.69</v>
      </c>
      <c r="BF111" s="136">
        <v>122.03</v>
      </c>
      <c r="BG111" s="136">
        <v>122.09</v>
      </c>
      <c r="BH111" s="136">
        <v>121.7</v>
      </c>
      <c r="BI111" s="136">
        <v>121.82</v>
      </c>
      <c r="BJ111" s="136">
        <v>121.7</v>
      </c>
      <c r="BK111" s="136">
        <v>122.43</v>
      </c>
      <c r="BM111" s="145">
        <v>11.162053469156085</v>
      </c>
      <c r="BN111" s="145">
        <v>4.1767486203483415</v>
      </c>
      <c r="BO111" s="145">
        <v>11.162053469156085</v>
      </c>
      <c r="BP111" s="145">
        <v>14.578887170529999</v>
      </c>
      <c r="BQ111" s="145">
        <v>15.090526268359465</v>
      </c>
      <c r="BR111" s="145">
        <v>19.522451211817749</v>
      </c>
      <c r="BS111" s="145">
        <v>22.84151976109397</v>
      </c>
      <c r="BT111" s="145">
        <v>40.137449714904093</v>
      </c>
      <c r="BU111" s="145">
        <v>35.626730677238136</v>
      </c>
      <c r="BV111" s="145">
        <v>29.22898929312548</v>
      </c>
    </row>
    <row r="112" spans="1:74" x14ac:dyDescent="0.25">
      <c r="A112" s="141">
        <v>42837</v>
      </c>
      <c r="B112" s="142">
        <v>0.48645833333333338</v>
      </c>
      <c r="C112" s="143">
        <v>122.47</v>
      </c>
      <c r="E112" s="144" t="s">
        <v>169</v>
      </c>
      <c r="F112" s="158">
        <v>122.47</v>
      </c>
      <c r="I112" s="143">
        <v>121.58</v>
      </c>
      <c r="J112" s="143">
        <v>120.25</v>
      </c>
      <c r="K112" s="143">
        <v>121.58</v>
      </c>
      <c r="L112" s="143">
        <v>122.74</v>
      </c>
      <c r="M112" s="143">
        <v>122.05</v>
      </c>
      <c r="N112" s="143">
        <v>122.07</v>
      </c>
      <c r="O112" s="143">
        <v>122.75</v>
      </c>
      <c r="P112" s="143">
        <v>122.99</v>
      </c>
      <c r="Q112" s="143">
        <v>122.9</v>
      </c>
      <c r="S112" s="145">
        <v>11.720485093046365</v>
      </c>
      <c r="T112" s="145">
        <v>4.5878699453218772</v>
      </c>
      <c r="U112" s="145">
        <v>11.720485093046365</v>
      </c>
      <c r="V112" s="145">
        <v>15.308294300667674</v>
      </c>
      <c r="W112" s="145">
        <v>15.712783574245158</v>
      </c>
      <c r="X112" s="145">
        <v>20.147580726926609</v>
      </c>
      <c r="Y112" s="145">
        <v>23.57260834832233</v>
      </c>
      <c r="Z112" s="145">
        <v>40.910076934673299</v>
      </c>
      <c r="AA112" s="145">
        <v>36.383511301456245</v>
      </c>
      <c r="AB112" s="145">
        <v>29.914430176207908</v>
      </c>
      <c r="BB112" s="136">
        <v>121.58</v>
      </c>
      <c r="BC112" s="136">
        <v>120.25</v>
      </c>
      <c r="BD112" s="136">
        <v>121.58</v>
      </c>
      <c r="BE112" s="136">
        <v>122.74</v>
      </c>
      <c r="BF112" s="136">
        <v>122.05</v>
      </c>
      <c r="BG112" s="136">
        <v>122.07</v>
      </c>
      <c r="BH112" s="136">
        <v>122.75</v>
      </c>
      <c r="BI112" s="136">
        <v>122.99</v>
      </c>
      <c r="BJ112" s="136">
        <v>122.9</v>
      </c>
      <c r="BK112" s="136">
        <v>122.47</v>
      </c>
      <c r="BM112" s="145">
        <v>11.720485093046365</v>
      </c>
      <c r="BN112" s="145">
        <v>4.5878699453218772</v>
      </c>
      <c r="BO112" s="145">
        <v>11.720485093046365</v>
      </c>
      <c r="BP112" s="145">
        <v>15.308294300667674</v>
      </c>
      <c r="BQ112" s="145">
        <v>15.712783574245158</v>
      </c>
      <c r="BR112" s="145">
        <v>20.147580726926609</v>
      </c>
      <c r="BS112" s="145">
        <v>23.57260834832233</v>
      </c>
      <c r="BT112" s="145">
        <v>40.910076934673299</v>
      </c>
      <c r="BU112" s="145">
        <v>36.383511301456245</v>
      </c>
      <c r="BV112" s="145">
        <v>29.914430176207908</v>
      </c>
    </row>
    <row r="113" spans="1:74" x14ac:dyDescent="0.25">
      <c r="A113" s="141">
        <v>42837</v>
      </c>
      <c r="B113" s="142">
        <v>0.48680555555555555</v>
      </c>
      <c r="C113" s="143">
        <v>122.42</v>
      </c>
      <c r="E113" s="144" t="s">
        <v>169</v>
      </c>
      <c r="F113" s="158">
        <v>122.42</v>
      </c>
      <c r="I113" s="143">
        <v>121.63</v>
      </c>
      <c r="J113" s="143">
        <v>120.49</v>
      </c>
      <c r="K113" s="143">
        <v>121.63</v>
      </c>
      <c r="L113" s="143">
        <v>122.79</v>
      </c>
      <c r="M113" s="143">
        <v>122.06</v>
      </c>
      <c r="N113" s="143">
        <v>122.09</v>
      </c>
      <c r="O113" s="143">
        <v>121.67</v>
      </c>
      <c r="P113" s="143">
        <v>121.76</v>
      </c>
      <c r="Q113" s="143">
        <v>121.65</v>
      </c>
      <c r="S113" s="145">
        <v>12.285383050382764</v>
      </c>
      <c r="T113" s="145">
        <v>5.0223501599650282</v>
      </c>
      <c r="U113" s="145">
        <v>12.285383050382764</v>
      </c>
      <c r="V113" s="145">
        <v>16.046147567305624</v>
      </c>
      <c r="W113" s="145">
        <v>16.336475331366632</v>
      </c>
      <c r="X113" s="145">
        <v>20.775595708774048</v>
      </c>
      <c r="Y113" s="145">
        <v>24.142733242102913</v>
      </c>
      <c r="Z113" s="145">
        <v>41.492139949378547</v>
      </c>
      <c r="AA113" s="145">
        <v>36.951016709292404</v>
      </c>
      <c r="AB113" s="145">
        <v>30.592024882383427</v>
      </c>
      <c r="BB113" s="136">
        <v>121.63</v>
      </c>
      <c r="BC113" s="136">
        <v>120.49</v>
      </c>
      <c r="BD113" s="136">
        <v>121.63</v>
      </c>
      <c r="BE113" s="136">
        <v>122.79</v>
      </c>
      <c r="BF113" s="136">
        <v>122.06</v>
      </c>
      <c r="BG113" s="136">
        <v>122.09</v>
      </c>
      <c r="BH113" s="136">
        <v>121.67</v>
      </c>
      <c r="BI113" s="136">
        <v>121.76</v>
      </c>
      <c r="BJ113" s="136">
        <v>121.65</v>
      </c>
      <c r="BK113" s="136">
        <v>122.42</v>
      </c>
      <c r="BM113" s="145">
        <v>12.285383050382764</v>
      </c>
      <c r="BN113" s="145">
        <v>5.0223501599650282</v>
      </c>
      <c r="BO113" s="145">
        <v>12.285383050382764</v>
      </c>
      <c r="BP113" s="145">
        <v>16.046147567305624</v>
      </c>
      <c r="BQ113" s="145">
        <v>16.336475331366632</v>
      </c>
      <c r="BR113" s="145">
        <v>20.775595708774048</v>
      </c>
      <c r="BS113" s="145">
        <v>24.142733242102913</v>
      </c>
      <c r="BT113" s="145">
        <v>41.492139949378547</v>
      </c>
      <c r="BU113" s="145">
        <v>36.951016709292404</v>
      </c>
      <c r="BV113" s="145">
        <v>30.592024882383427</v>
      </c>
    </row>
    <row r="114" spans="1:74" x14ac:dyDescent="0.25">
      <c r="A114" s="141">
        <v>42837</v>
      </c>
      <c r="B114" s="142">
        <v>0.48715277777777777</v>
      </c>
      <c r="C114" s="143">
        <v>122.5</v>
      </c>
      <c r="E114" s="144" t="s">
        <v>169</v>
      </c>
      <c r="F114" s="158">
        <v>122.5</v>
      </c>
      <c r="I114" s="143">
        <v>121.67</v>
      </c>
      <c r="J114" s="143">
        <v>120.69</v>
      </c>
      <c r="K114" s="143">
        <v>121.67</v>
      </c>
      <c r="L114" s="143">
        <v>122.83</v>
      </c>
      <c r="M114" s="143">
        <v>122.06</v>
      </c>
      <c r="N114" s="143">
        <v>122.12</v>
      </c>
      <c r="O114" s="143">
        <v>122.69</v>
      </c>
      <c r="P114" s="143">
        <v>122.9</v>
      </c>
      <c r="Q114" s="143">
        <v>122.78</v>
      </c>
      <c r="S114" s="145">
        <v>12.85550794416335</v>
      </c>
      <c r="T114" s="145">
        <v>5.4773067962811544</v>
      </c>
      <c r="U114" s="145">
        <v>12.85550794416335</v>
      </c>
      <c r="V114" s="145">
        <v>16.790828106161083</v>
      </c>
      <c r="W114" s="145">
        <v>16.960167088488106</v>
      </c>
      <c r="X114" s="145">
        <v>21.407963882509627</v>
      </c>
      <c r="Y114" s="145">
        <v>24.863790917865348</v>
      </c>
      <c r="Z114" s="145">
        <v>42.248920573596656</v>
      </c>
      <c r="AA114" s="145">
        <v>37.687172960508761</v>
      </c>
      <c r="AB114" s="145">
        <v>31.282217014684871</v>
      </c>
      <c r="BB114" s="136">
        <v>121.67</v>
      </c>
      <c r="BC114" s="136">
        <v>120.69</v>
      </c>
      <c r="BD114" s="136">
        <v>121.67</v>
      </c>
      <c r="BE114" s="136">
        <v>122.83</v>
      </c>
      <c r="BF114" s="136">
        <v>122.06</v>
      </c>
      <c r="BG114" s="136">
        <v>122.12</v>
      </c>
      <c r="BH114" s="136">
        <v>122.69</v>
      </c>
      <c r="BI114" s="136">
        <v>122.9</v>
      </c>
      <c r="BJ114" s="136">
        <v>122.78</v>
      </c>
      <c r="BK114" s="136">
        <v>122.5</v>
      </c>
      <c r="BM114" s="145">
        <v>12.85550794416335</v>
      </c>
      <c r="BN114" s="145">
        <v>5.4773067962811544</v>
      </c>
      <c r="BO114" s="145">
        <v>12.85550794416335</v>
      </c>
      <c r="BP114" s="145">
        <v>16.790828106161083</v>
      </c>
      <c r="BQ114" s="145">
        <v>16.960167088488106</v>
      </c>
      <c r="BR114" s="145">
        <v>21.407963882509627</v>
      </c>
      <c r="BS114" s="145">
        <v>24.863790917865348</v>
      </c>
      <c r="BT114" s="145">
        <v>42.248920573596656</v>
      </c>
      <c r="BU114" s="145">
        <v>37.687172960508761</v>
      </c>
      <c r="BV114" s="145">
        <v>31.282217014684871</v>
      </c>
    </row>
    <row r="115" spans="1:74" x14ac:dyDescent="0.25">
      <c r="A115" s="141">
        <v>42837</v>
      </c>
      <c r="B115" s="142">
        <v>0.48749999999999999</v>
      </c>
      <c r="C115" s="143">
        <v>122.4</v>
      </c>
      <c r="E115" s="144" t="s">
        <v>169</v>
      </c>
      <c r="F115" s="158">
        <v>122.4</v>
      </c>
      <c r="I115" s="143">
        <v>121.7</v>
      </c>
      <c r="J115" s="143">
        <v>120.9</v>
      </c>
      <c r="K115" s="143">
        <v>121.7</v>
      </c>
      <c r="L115" s="143">
        <v>122.88</v>
      </c>
      <c r="M115" s="143">
        <v>122.08</v>
      </c>
      <c r="N115" s="143">
        <v>122.11</v>
      </c>
      <c r="O115" s="143">
        <v>121.76</v>
      </c>
      <c r="P115" s="143">
        <v>121.82</v>
      </c>
      <c r="Q115" s="143">
        <v>121.76</v>
      </c>
      <c r="S115" s="145">
        <v>13.429584754911792</v>
      </c>
      <c r="T115" s="145">
        <v>5.9548030892918735</v>
      </c>
      <c r="U115" s="145">
        <v>13.429584754911792</v>
      </c>
      <c r="V115" s="145">
        <v>17.544131639254456</v>
      </c>
      <c r="W115" s="145">
        <v>17.586737675958815</v>
      </c>
      <c r="X115" s="145">
        <v>22.038877649804963</v>
      </c>
      <c r="Y115" s="145">
        <v>25.445853932570596</v>
      </c>
      <c r="Z115" s="145">
        <v>42.839080891422519</v>
      </c>
      <c r="AA115" s="145">
        <v>38.269235975214009</v>
      </c>
      <c r="AB115" s="145">
        <v>31.9566984559807</v>
      </c>
      <c r="BB115" s="136">
        <v>121.7</v>
      </c>
      <c r="BC115" s="136">
        <v>120.9</v>
      </c>
      <c r="BD115" s="136">
        <v>121.7</v>
      </c>
      <c r="BE115" s="136">
        <v>122.88</v>
      </c>
      <c r="BF115" s="136">
        <v>122.08</v>
      </c>
      <c r="BG115" s="136">
        <v>122.11</v>
      </c>
      <c r="BH115" s="136">
        <v>121.76</v>
      </c>
      <c r="BI115" s="136">
        <v>121.82</v>
      </c>
      <c r="BJ115" s="136">
        <v>121.76</v>
      </c>
      <c r="BK115" s="136">
        <v>122.4</v>
      </c>
      <c r="BM115" s="145">
        <v>13.429584754911792</v>
      </c>
      <c r="BN115" s="145">
        <v>5.9548030892918735</v>
      </c>
      <c r="BO115" s="145">
        <v>13.429584754911792</v>
      </c>
      <c r="BP115" s="145">
        <v>17.544131639254456</v>
      </c>
      <c r="BQ115" s="145">
        <v>17.586737675958815</v>
      </c>
      <c r="BR115" s="145">
        <v>22.038877649804963</v>
      </c>
      <c r="BS115" s="145">
        <v>25.445853932570596</v>
      </c>
      <c r="BT115" s="145">
        <v>42.839080891422519</v>
      </c>
      <c r="BU115" s="145">
        <v>38.269235975214009</v>
      </c>
      <c r="BV115" s="145">
        <v>31.9566984559807</v>
      </c>
    </row>
    <row r="116" spans="1:74" x14ac:dyDescent="0.25">
      <c r="A116" s="141">
        <v>42837</v>
      </c>
      <c r="B116" s="142">
        <v>0.48784722222222227</v>
      </c>
      <c r="C116" s="143">
        <v>122.5</v>
      </c>
      <c r="E116" s="144" t="s">
        <v>169</v>
      </c>
      <c r="F116" s="158">
        <v>122.5</v>
      </c>
      <c r="I116" s="143">
        <v>121.74</v>
      </c>
      <c r="J116" s="143">
        <v>121.08</v>
      </c>
      <c r="K116" s="143">
        <v>121.74</v>
      </c>
      <c r="L116" s="143">
        <v>122.91</v>
      </c>
      <c r="M116" s="143">
        <v>122.09</v>
      </c>
      <c r="N116" s="143">
        <v>122.12</v>
      </c>
      <c r="O116" s="143">
        <v>122.59</v>
      </c>
      <c r="P116" s="143">
        <v>122.78</v>
      </c>
      <c r="Q116" s="143">
        <v>122.67</v>
      </c>
      <c r="S116" s="145">
        <v>14.008973432989356</v>
      </c>
      <c r="T116" s="145">
        <v>6.4525057979676372</v>
      </c>
      <c r="U116" s="145">
        <v>14.008973432989356</v>
      </c>
      <c r="V116" s="145">
        <v>18.302656822984126</v>
      </c>
      <c r="W116" s="145">
        <v>18.214752657806255</v>
      </c>
      <c r="X116" s="145">
        <v>22.671245823540541</v>
      </c>
      <c r="Y116" s="145">
        <v>26.150498331781534</v>
      </c>
      <c r="Z116" s="145">
        <v>43.575237142638876</v>
      </c>
      <c r="AA116" s="145">
        <v>38.986980691890835</v>
      </c>
      <c r="AB116" s="145">
        <v>32.64689058828214</v>
      </c>
      <c r="BB116" s="136">
        <v>121.74</v>
      </c>
      <c r="BC116" s="136">
        <v>121.08</v>
      </c>
      <c r="BD116" s="136">
        <v>121.74</v>
      </c>
      <c r="BE116" s="136">
        <v>122.91</v>
      </c>
      <c r="BF116" s="136">
        <v>122.09</v>
      </c>
      <c r="BG116" s="136">
        <v>122.12</v>
      </c>
      <c r="BH116" s="136">
        <v>122.59</v>
      </c>
      <c r="BI116" s="136">
        <v>122.78</v>
      </c>
      <c r="BJ116" s="136">
        <v>122.67</v>
      </c>
      <c r="BK116" s="136">
        <v>122.5</v>
      </c>
      <c r="BM116" s="145">
        <v>14.008973432989356</v>
      </c>
      <c r="BN116" s="145">
        <v>6.4525057979676372</v>
      </c>
      <c r="BO116" s="145">
        <v>14.008973432989356</v>
      </c>
      <c r="BP116" s="145">
        <v>18.302656822984126</v>
      </c>
      <c r="BQ116" s="145">
        <v>18.214752657806255</v>
      </c>
      <c r="BR116" s="145">
        <v>22.671245823540541</v>
      </c>
      <c r="BS116" s="145">
        <v>26.150498331781534</v>
      </c>
      <c r="BT116" s="145">
        <v>43.575237142638876</v>
      </c>
      <c r="BU116" s="145">
        <v>38.986980691890835</v>
      </c>
      <c r="BV116" s="145">
        <v>32.64689058828214</v>
      </c>
    </row>
    <row r="117" spans="1:74" x14ac:dyDescent="0.25">
      <c r="A117" s="141">
        <v>42837</v>
      </c>
      <c r="B117" s="142">
        <v>0.48819444444444443</v>
      </c>
      <c r="C117" s="143">
        <v>122.38</v>
      </c>
      <c r="E117" s="144" t="s">
        <v>169</v>
      </c>
      <c r="F117" s="158">
        <v>122.38</v>
      </c>
      <c r="I117" s="143">
        <v>121.78</v>
      </c>
      <c r="J117" s="143">
        <v>121.26</v>
      </c>
      <c r="K117" s="143">
        <v>121.78</v>
      </c>
      <c r="L117" s="143">
        <v>122.96</v>
      </c>
      <c r="M117" s="143">
        <v>122.1</v>
      </c>
      <c r="N117" s="143">
        <v>122.1</v>
      </c>
      <c r="O117" s="143">
        <v>122.15</v>
      </c>
      <c r="P117" s="143">
        <v>122.23</v>
      </c>
      <c r="Q117" s="143">
        <v>122.26</v>
      </c>
      <c r="S117" s="145">
        <v>14.593723128499292</v>
      </c>
      <c r="T117" s="145">
        <v>6.9712700058766446</v>
      </c>
      <c r="U117" s="145">
        <v>14.593723128499292</v>
      </c>
      <c r="V117" s="145">
        <v>19.069965314383772</v>
      </c>
      <c r="W117" s="145">
        <v>18.844215363703338</v>
      </c>
      <c r="X117" s="145">
        <v>23.300708529437625</v>
      </c>
      <c r="Y117" s="145">
        <v>26.787249872289866</v>
      </c>
      <c r="Z117" s="145">
        <v>44.223826778130856</v>
      </c>
      <c r="AA117" s="145">
        <v>39.640066135956758</v>
      </c>
      <c r="AB117" s="145">
        <v>33.31827306885107</v>
      </c>
      <c r="BB117" s="136">
        <v>121.78</v>
      </c>
      <c r="BC117" s="136">
        <v>121.26</v>
      </c>
      <c r="BD117" s="136">
        <v>121.78</v>
      </c>
      <c r="BE117" s="136">
        <v>122.96</v>
      </c>
      <c r="BF117" s="136">
        <v>122.1</v>
      </c>
      <c r="BG117" s="136">
        <v>122.1</v>
      </c>
      <c r="BH117" s="136">
        <v>122.15</v>
      </c>
      <c r="BI117" s="136">
        <v>122.23</v>
      </c>
      <c r="BJ117" s="136">
        <v>122.26</v>
      </c>
      <c r="BK117" s="136">
        <v>122.38</v>
      </c>
      <c r="BM117" s="145">
        <v>14.593723128499292</v>
      </c>
      <c r="BN117" s="145">
        <v>6.9712700058766446</v>
      </c>
      <c r="BO117" s="145">
        <v>14.593723128499292</v>
      </c>
      <c r="BP117" s="145">
        <v>19.069965314383772</v>
      </c>
      <c r="BQ117" s="145">
        <v>18.844215363703338</v>
      </c>
      <c r="BR117" s="145">
        <v>23.300708529437625</v>
      </c>
      <c r="BS117" s="145">
        <v>26.787249872289866</v>
      </c>
      <c r="BT117" s="145">
        <v>44.223826778130856</v>
      </c>
      <c r="BU117" s="145">
        <v>39.640066135956758</v>
      </c>
      <c r="BV117" s="145">
        <v>33.31827306885107</v>
      </c>
    </row>
    <row r="118" spans="1:74" x14ac:dyDescent="0.25">
      <c r="A118" s="141">
        <v>42837</v>
      </c>
      <c r="B118" s="142">
        <v>0.48854166666666665</v>
      </c>
      <c r="C118" s="143">
        <v>122.51</v>
      </c>
      <c r="E118" s="144" t="s">
        <v>169</v>
      </c>
      <c r="F118" s="158">
        <v>122.51</v>
      </c>
      <c r="I118" s="143">
        <v>121.79</v>
      </c>
      <c r="J118" s="143">
        <v>121.43</v>
      </c>
      <c r="K118" s="143">
        <v>121.79</v>
      </c>
      <c r="L118" s="143">
        <v>122.99</v>
      </c>
      <c r="M118" s="143">
        <v>122.1</v>
      </c>
      <c r="N118" s="143">
        <v>122.13</v>
      </c>
      <c r="O118" s="143">
        <v>122.53</v>
      </c>
      <c r="P118" s="143">
        <v>122.7</v>
      </c>
      <c r="Q118" s="143">
        <v>122.59</v>
      </c>
      <c r="S118" s="145">
        <v>15.179820811273359</v>
      </c>
      <c r="T118" s="145">
        <v>7.5107433669915604</v>
      </c>
      <c r="U118" s="145">
        <v>15.179820811273359</v>
      </c>
      <c r="V118" s="145">
        <v>19.842592534152978</v>
      </c>
      <c r="W118" s="145">
        <v>19.473678069600421</v>
      </c>
      <c r="X118" s="145">
        <v>23.934534462366546</v>
      </c>
      <c r="Y118" s="145">
        <v>27.482226187896543</v>
      </c>
      <c r="Z118" s="145">
        <v>44.946546663503824</v>
      </c>
      <c r="AA118" s="145">
        <v>40.3447105351677</v>
      </c>
      <c r="AB118" s="145">
        <v>34.010056258336959</v>
      </c>
      <c r="BB118" s="136">
        <v>121.79</v>
      </c>
      <c r="BC118" s="136">
        <v>121.43</v>
      </c>
      <c r="BD118" s="136">
        <v>121.79</v>
      </c>
      <c r="BE118" s="136">
        <v>122.99</v>
      </c>
      <c r="BF118" s="136">
        <v>122.1</v>
      </c>
      <c r="BG118" s="136">
        <v>122.13</v>
      </c>
      <c r="BH118" s="136">
        <v>122.53</v>
      </c>
      <c r="BI118" s="136">
        <v>122.7</v>
      </c>
      <c r="BJ118" s="136">
        <v>122.59</v>
      </c>
      <c r="BK118" s="136">
        <v>122.51</v>
      </c>
      <c r="BM118" s="145">
        <v>15.179820811273359</v>
      </c>
      <c r="BN118" s="145">
        <v>7.5107433669915604</v>
      </c>
      <c r="BO118" s="145">
        <v>15.179820811273359</v>
      </c>
      <c r="BP118" s="145">
        <v>19.842592534152978</v>
      </c>
      <c r="BQ118" s="145">
        <v>19.473678069600421</v>
      </c>
      <c r="BR118" s="145">
        <v>23.934534462366546</v>
      </c>
      <c r="BS118" s="145">
        <v>27.482226187896543</v>
      </c>
      <c r="BT118" s="145">
        <v>44.946546663503824</v>
      </c>
      <c r="BU118" s="145">
        <v>40.3447105351677</v>
      </c>
      <c r="BV118" s="145">
        <v>34.010056258336959</v>
      </c>
    </row>
    <row r="119" spans="1:74" x14ac:dyDescent="0.25">
      <c r="A119" s="141">
        <v>42837</v>
      </c>
      <c r="B119" s="142">
        <v>0.48888888888888887</v>
      </c>
      <c r="C119" s="143">
        <v>122.37</v>
      </c>
      <c r="E119" s="144" t="s">
        <v>169</v>
      </c>
      <c r="F119" s="158">
        <v>122.37</v>
      </c>
      <c r="I119" s="143">
        <v>121.84</v>
      </c>
      <c r="J119" s="143">
        <v>121.59</v>
      </c>
      <c r="K119" s="143">
        <v>121.84</v>
      </c>
      <c r="L119" s="143">
        <v>123.01</v>
      </c>
      <c r="M119" s="143">
        <v>122.11</v>
      </c>
      <c r="N119" s="143">
        <v>122.12</v>
      </c>
      <c r="O119" s="143">
        <v>122.33</v>
      </c>
      <c r="P119" s="143">
        <v>122.42</v>
      </c>
      <c r="Q119" s="143">
        <v>122.46</v>
      </c>
      <c r="S119" s="145">
        <v>15.772705185356941</v>
      </c>
      <c r="T119" s="145">
        <v>8.070462308725137</v>
      </c>
      <c r="U119" s="145">
        <v>15.772705185356941</v>
      </c>
      <c r="V119" s="145">
        <v>20.618786039132022</v>
      </c>
      <c r="W119" s="145">
        <v>20.104591836895757</v>
      </c>
      <c r="X119" s="145">
        <v>24.566902636102125</v>
      </c>
      <c r="Y119" s="145">
        <v>28.145923416761413</v>
      </c>
      <c r="Z119" s="145">
        <v>45.624141369679343</v>
      </c>
      <c r="AA119" s="145">
        <v>41.028574947965623</v>
      </c>
      <c r="AB119" s="145">
        <v>34.679894602049927</v>
      </c>
      <c r="BB119" s="136">
        <v>121.84</v>
      </c>
      <c r="BC119" s="136">
        <v>121.59</v>
      </c>
      <c r="BD119" s="136">
        <v>121.84</v>
      </c>
      <c r="BE119" s="136">
        <v>123.01</v>
      </c>
      <c r="BF119" s="136">
        <v>122.11</v>
      </c>
      <c r="BG119" s="136">
        <v>122.12</v>
      </c>
      <c r="BH119" s="136">
        <v>122.33</v>
      </c>
      <c r="BI119" s="136">
        <v>122.42</v>
      </c>
      <c r="BJ119" s="136">
        <v>122.46</v>
      </c>
      <c r="BK119" s="136">
        <v>122.37</v>
      </c>
      <c r="BM119" s="145">
        <v>15.772705185356941</v>
      </c>
      <c r="BN119" s="145">
        <v>8.070462308725137</v>
      </c>
      <c r="BO119" s="145">
        <v>15.772705185356941</v>
      </c>
      <c r="BP119" s="145">
        <v>20.618786039132022</v>
      </c>
      <c r="BQ119" s="145">
        <v>20.104591836895757</v>
      </c>
      <c r="BR119" s="145">
        <v>24.566902636102125</v>
      </c>
      <c r="BS119" s="145">
        <v>28.145923416761413</v>
      </c>
      <c r="BT119" s="145">
        <v>45.624141369679343</v>
      </c>
      <c r="BU119" s="145">
        <v>41.028574947965623</v>
      </c>
      <c r="BV119" s="145">
        <v>34.679894602049927</v>
      </c>
    </row>
    <row r="120" spans="1:74" x14ac:dyDescent="0.25">
      <c r="A120" s="141">
        <v>42837</v>
      </c>
      <c r="B120" s="142">
        <v>0.48923611111111115</v>
      </c>
      <c r="C120" s="143">
        <v>122.52</v>
      </c>
      <c r="E120" s="144" t="s">
        <v>169</v>
      </c>
      <c r="F120" s="158">
        <v>122.52</v>
      </c>
      <c r="I120" s="143">
        <v>121.86</v>
      </c>
      <c r="J120" s="143">
        <v>121.73</v>
      </c>
      <c r="K120" s="143">
        <v>121.86</v>
      </c>
      <c r="L120" s="143">
        <v>123.04</v>
      </c>
      <c r="M120" s="143">
        <v>122.12</v>
      </c>
      <c r="N120" s="143">
        <v>122.15</v>
      </c>
      <c r="O120" s="143">
        <v>122.46</v>
      </c>
      <c r="P120" s="143">
        <v>122.6</v>
      </c>
      <c r="Q120" s="143">
        <v>122.48</v>
      </c>
      <c r="S120" s="145">
        <v>16.368326189370627</v>
      </c>
      <c r="T120" s="145">
        <v>8.6485184298211877</v>
      </c>
      <c r="U120" s="145">
        <v>16.368326189370627</v>
      </c>
      <c r="V120" s="145">
        <v>21.4003598604525</v>
      </c>
      <c r="W120" s="145">
        <v>20.736960010631336</v>
      </c>
      <c r="X120" s="145">
        <v>25.203654176610456</v>
      </c>
      <c r="Y120" s="145">
        <v>28.829787829559336</v>
      </c>
      <c r="Z120" s="145">
        <v>46.330410141990718</v>
      </c>
      <c r="AA120" s="145">
        <v>41.715595935471882</v>
      </c>
      <c r="AB120" s="145">
        <v>35.373272516485869</v>
      </c>
      <c r="BB120" s="136">
        <v>121.86</v>
      </c>
      <c r="BC120" s="136">
        <v>121.73</v>
      </c>
      <c r="BD120" s="136">
        <v>121.86</v>
      </c>
      <c r="BE120" s="136">
        <v>123.04</v>
      </c>
      <c r="BF120" s="136">
        <v>122.12</v>
      </c>
      <c r="BG120" s="136">
        <v>122.15</v>
      </c>
      <c r="BH120" s="136">
        <v>122.46</v>
      </c>
      <c r="BI120" s="136">
        <v>122.6</v>
      </c>
      <c r="BJ120" s="136">
        <v>122.48</v>
      </c>
      <c r="BK120" s="136">
        <v>122.52</v>
      </c>
      <c r="BM120" s="145">
        <v>16.368326189370627</v>
      </c>
      <c r="BN120" s="145">
        <v>8.6485184298211877</v>
      </c>
      <c r="BO120" s="145">
        <v>16.368326189370627</v>
      </c>
      <c r="BP120" s="145">
        <v>21.4003598604525</v>
      </c>
      <c r="BQ120" s="145">
        <v>20.736960010631336</v>
      </c>
      <c r="BR120" s="145">
        <v>25.203654176610456</v>
      </c>
      <c r="BS120" s="145">
        <v>28.829787829559336</v>
      </c>
      <c r="BT120" s="145">
        <v>46.330410141990718</v>
      </c>
      <c r="BU120" s="145">
        <v>41.715595935471882</v>
      </c>
      <c r="BV120" s="145">
        <v>35.373272516485869</v>
      </c>
    </row>
    <row r="121" spans="1:74" x14ac:dyDescent="0.25">
      <c r="A121" s="141">
        <v>42837</v>
      </c>
      <c r="B121" s="142">
        <v>0.48958333333333331</v>
      </c>
      <c r="C121" s="143">
        <v>122.37</v>
      </c>
      <c r="E121" s="144" t="s">
        <v>169</v>
      </c>
      <c r="F121" s="158">
        <v>122.37</v>
      </c>
      <c r="I121" s="143">
        <v>121.89</v>
      </c>
      <c r="J121" s="143">
        <v>121.87</v>
      </c>
      <c r="K121" s="143">
        <v>121.89</v>
      </c>
      <c r="L121" s="143">
        <v>123.08</v>
      </c>
      <c r="M121" s="143">
        <v>122.13</v>
      </c>
      <c r="N121" s="143">
        <v>122.14</v>
      </c>
      <c r="O121" s="143">
        <v>122.85</v>
      </c>
      <c r="P121" s="143">
        <v>123.01</v>
      </c>
      <c r="Q121" s="143">
        <v>122.98</v>
      </c>
      <c r="S121" s="145">
        <v>16.968075840945318</v>
      </c>
      <c r="T121" s="145">
        <v>9.245512482053325</v>
      </c>
      <c r="U121" s="145">
        <v>16.968075840945318</v>
      </c>
      <c r="V121" s="145">
        <v>22.189165495302177</v>
      </c>
      <c r="W121" s="145">
        <v>21.370785943560257</v>
      </c>
      <c r="X121" s="145">
        <v>25.838941229214729</v>
      </c>
      <c r="Y121" s="145">
        <v>29.577905657606554</v>
      </c>
      <c r="Z121" s="145">
        <v>47.106603646969759</v>
      </c>
      <c r="AA121" s="145">
        <v>42.48644616194666</v>
      </c>
      <c r="AB121" s="145">
        <v>36.043110860198837</v>
      </c>
      <c r="BB121" s="136">
        <v>121.89</v>
      </c>
      <c r="BC121" s="136">
        <v>121.87</v>
      </c>
      <c r="BD121" s="136">
        <v>121.89</v>
      </c>
      <c r="BE121" s="136">
        <v>123.08</v>
      </c>
      <c r="BF121" s="136">
        <v>122.13</v>
      </c>
      <c r="BG121" s="136">
        <v>122.14</v>
      </c>
      <c r="BH121" s="136">
        <v>122.85</v>
      </c>
      <c r="BI121" s="136">
        <v>123.01</v>
      </c>
      <c r="BJ121" s="136">
        <v>122.98</v>
      </c>
      <c r="BK121" s="136">
        <v>122.37</v>
      </c>
      <c r="BM121" s="145">
        <v>16.968075840945318</v>
      </c>
      <c r="BN121" s="145">
        <v>9.245512482053325</v>
      </c>
      <c r="BO121" s="145">
        <v>16.968075840945318</v>
      </c>
      <c r="BP121" s="145">
        <v>22.189165495302177</v>
      </c>
      <c r="BQ121" s="145">
        <v>21.370785943560257</v>
      </c>
      <c r="BR121" s="145">
        <v>25.838941229214729</v>
      </c>
      <c r="BS121" s="145">
        <v>29.577905657606554</v>
      </c>
      <c r="BT121" s="145">
        <v>47.106603646969759</v>
      </c>
      <c r="BU121" s="145">
        <v>42.48644616194666</v>
      </c>
      <c r="BV121" s="145">
        <v>36.043110860198837</v>
      </c>
    </row>
    <row r="122" spans="1:74" x14ac:dyDescent="0.25">
      <c r="A122" s="141">
        <v>42837</v>
      </c>
      <c r="B122" s="142">
        <v>0.48993055555555554</v>
      </c>
      <c r="C122" s="143">
        <v>122.52</v>
      </c>
      <c r="E122" s="144" t="s">
        <v>169</v>
      </c>
      <c r="F122" s="158">
        <v>122.52</v>
      </c>
      <c r="I122" s="143">
        <v>121.91</v>
      </c>
      <c r="J122" s="143">
        <v>122.01</v>
      </c>
      <c r="K122" s="143">
        <v>121.91</v>
      </c>
      <c r="L122" s="143">
        <v>123.11</v>
      </c>
      <c r="M122" s="143">
        <v>122.14</v>
      </c>
      <c r="N122" s="143">
        <v>122.18</v>
      </c>
      <c r="O122" s="143">
        <v>122.33</v>
      </c>
      <c r="P122" s="143">
        <v>122.45</v>
      </c>
      <c r="Q122" s="143">
        <v>122.34</v>
      </c>
      <c r="S122" s="145">
        <v>17.570593811131218</v>
      </c>
      <c r="T122" s="145">
        <v>9.8620648986677804</v>
      </c>
      <c r="U122" s="145">
        <v>17.570593811131218</v>
      </c>
      <c r="V122" s="145">
        <v>22.983438869601066</v>
      </c>
      <c r="W122" s="145">
        <v>22.00607299616453</v>
      </c>
      <c r="X122" s="145">
        <v>26.480106520542741</v>
      </c>
      <c r="Y122" s="145">
        <v>30.241602886471423</v>
      </c>
      <c r="Z122" s="145">
        <v>47.788895215264226</v>
      </c>
      <c r="AA122" s="145">
        <v>43.151673370935704</v>
      </c>
      <c r="AB122" s="145">
        <v>36.736488774634779</v>
      </c>
      <c r="BB122" s="136">
        <v>121.91</v>
      </c>
      <c r="BC122" s="136">
        <v>122.01</v>
      </c>
      <c r="BD122" s="136">
        <v>121.91</v>
      </c>
      <c r="BE122" s="136">
        <v>123.11</v>
      </c>
      <c r="BF122" s="136">
        <v>122.14</v>
      </c>
      <c r="BG122" s="136">
        <v>122.18</v>
      </c>
      <c r="BH122" s="136">
        <v>122.33</v>
      </c>
      <c r="BI122" s="136">
        <v>122.45</v>
      </c>
      <c r="BJ122" s="136">
        <v>122.34</v>
      </c>
      <c r="BK122" s="136">
        <v>122.52</v>
      </c>
      <c r="BM122" s="145">
        <v>17.570593811131218</v>
      </c>
      <c r="BN122" s="145">
        <v>9.8620648986677804</v>
      </c>
      <c r="BO122" s="145">
        <v>17.570593811131218</v>
      </c>
      <c r="BP122" s="145">
        <v>22.983438869601066</v>
      </c>
      <c r="BQ122" s="145">
        <v>22.00607299616453</v>
      </c>
      <c r="BR122" s="145">
        <v>26.480106520542741</v>
      </c>
      <c r="BS122" s="145">
        <v>30.241602886471423</v>
      </c>
      <c r="BT122" s="145">
        <v>47.788895215264226</v>
      </c>
      <c r="BU122" s="145">
        <v>43.151673370935704</v>
      </c>
      <c r="BV122" s="145">
        <v>36.736488774634779</v>
      </c>
    </row>
    <row r="123" spans="1:74" x14ac:dyDescent="0.25">
      <c r="A123" s="141">
        <v>42837</v>
      </c>
      <c r="B123" s="142">
        <v>0.49027777777777781</v>
      </c>
      <c r="C123" s="143">
        <v>122.4</v>
      </c>
      <c r="E123" s="144" t="s">
        <v>169</v>
      </c>
      <c r="F123" s="158">
        <v>122.4</v>
      </c>
      <c r="I123" s="143">
        <v>121.93</v>
      </c>
      <c r="J123" s="143">
        <v>122.13</v>
      </c>
      <c r="K123" s="143">
        <v>121.93</v>
      </c>
      <c r="L123" s="143">
        <v>123.13</v>
      </c>
      <c r="M123" s="143">
        <v>122.15</v>
      </c>
      <c r="N123" s="143">
        <v>122.13</v>
      </c>
      <c r="O123" s="143">
        <v>122.85</v>
      </c>
      <c r="P123" s="143">
        <v>123.01</v>
      </c>
      <c r="Q123" s="143">
        <v>122.96</v>
      </c>
      <c r="S123" s="145">
        <v>18.17589287790646</v>
      </c>
      <c r="T123" s="145">
        <v>10.495890831596704</v>
      </c>
      <c r="U123" s="145">
        <v>18.17589287790646</v>
      </c>
      <c r="V123" s="145">
        <v>23.781378443219435</v>
      </c>
      <c r="W123" s="145">
        <v>22.642824536672862</v>
      </c>
      <c r="X123" s="145">
        <v>27.113932453471662</v>
      </c>
      <c r="Y123" s="145">
        <v>30.98972071451864</v>
      </c>
      <c r="Z123" s="145">
        <v>48.565088720243267</v>
      </c>
      <c r="AA123" s="145">
        <v>43.91898186233535</v>
      </c>
      <c r="AB123" s="145">
        <v>37.410970215930611</v>
      </c>
      <c r="BB123" s="136">
        <v>121.93</v>
      </c>
      <c r="BC123" s="136">
        <v>122.13</v>
      </c>
      <c r="BD123" s="136">
        <v>121.93</v>
      </c>
      <c r="BE123" s="136">
        <v>123.13</v>
      </c>
      <c r="BF123" s="136">
        <v>122.15</v>
      </c>
      <c r="BG123" s="136">
        <v>122.13</v>
      </c>
      <c r="BH123" s="136">
        <v>122.85</v>
      </c>
      <c r="BI123" s="136">
        <v>123.01</v>
      </c>
      <c r="BJ123" s="136">
        <v>122.96</v>
      </c>
      <c r="BK123" s="136">
        <v>122.4</v>
      </c>
      <c r="BM123" s="145">
        <v>18.17589287790646</v>
      </c>
      <c r="BN123" s="145">
        <v>10.495890831596704</v>
      </c>
      <c r="BO123" s="145">
        <v>18.17589287790646</v>
      </c>
      <c r="BP123" s="145">
        <v>23.781378443219435</v>
      </c>
      <c r="BQ123" s="145">
        <v>22.642824536672862</v>
      </c>
      <c r="BR123" s="145">
        <v>27.113932453471662</v>
      </c>
      <c r="BS123" s="145">
        <v>30.98972071451864</v>
      </c>
      <c r="BT123" s="145">
        <v>48.565088720243267</v>
      </c>
      <c r="BU123" s="145">
        <v>43.91898186233535</v>
      </c>
      <c r="BV123" s="145">
        <v>37.410970215930611</v>
      </c>
    </row>
    <row r="124" spans="1:74" x14ac:dyDescent="0.25">
      <c r="A124" s="141">
        <v>42837</v>
      </c>
      <c r="B124" s="142">
        <v>0.49062500000000003</v>
      </c>
      <c r="C124" s="143">
        <v>122.5</v>
      </c>
      <c r="E124" s="144" t="s">
        <v>169</v>
      </c>
      <c r="F124" s="158">
        <v>122.5</v>
      </c>
      <c r="I124" s="143">
        <v>121.95</v>
      </c>
      <c r="J124" s="143">
        <v>122.25</v>
      </c>
      <c r="K124" s="143">
        <v>121.95</v>
      </c>
      <c r="L124" s="143">
        <v>123.15</v>
      </c>
      <c r="M124" s="143">
        <v>122.16</v>
      </c>
      <c r="N124" s="143">
        <v>122.17</v>
      </c>
      <c r="O124" s="143">
        <v>122.16</v>
      </c>
      <c r="P124" s="143">
        <v>122.25</v>
      </c>
      <c r="Q124" s="143">
        <v>122.14</v>
      </c>
      <c r="S124" s="145">
        <v>18.783985878229643</v>
      </c>
      <c r="T124" s="145">
        <v>11.147474220822854</v>
      </c>
      <c r="U124" s="145">
        <v>18.783985878229643</v>
      </c>
      <c r="V124" s="145">
        <v>24.583001138564459</v>
      </c>
      <c r="W124" s="145">
        <v>23.281043941078533</v>
      </c>
      <c r="X124" s="145">
        <v>27.753623105550425</v>
      </c>
      <c r="Y124" s="145">
        <v>31.627940118924311</v>
      </c>
      <c r="Z124" s="145">
        <v>49.216672109469421</v>
      </c>
      <c r="AA124" s="145">
        <v>44.55426891493962</v>
      </c>
      <c r="AB124" s="145">
        <v>38.101162348232052</v>
      </c>
      <c r="BB124" s="136">
        <v>121.95</v>
      </c>
      <c r="BC124" s="136">
        <v>122.25</v>
      </c>
      <c r="BD124" s="136">
        <v>121.95</v>
      </c>
      <c r="BE124" s="136">
        <v>123.15</v>
      </c>
      <c r="BF124" s="136">
        <v>122.16</v>
      </c>
      <c r="BG124" s="136">
        <v>122.17</v>
      </c>
      <c r="BH124" s="136">
        <v>122.16</v>
      </c>
      <c r="BI124" s="136">
        <v>122.25</v>
      </c>
      <c r="BJ124" s="136">
        <v>122.14</v>
      </c>
      <c r="BK124" s="136">
        <v>122.5</v>
      </c>
      <c r="BM124" s="145">
        <v>18.783985878229643</v>
      </c>
      <c r="BN124" s="145">
        <v>11.147474220822854</v>
      </c>
      <c r="BO124" s="145">
        <v>18.783985878229643</v>
      </c>
      <c r="BP124" s="145">
        <v>24.583001138564459</v>
      </c>
      <c r="BQ124" s="145">
        <v>23.281043941078533</v>
      </c>
      <c r="BR124" s="145">
        <v>27.753623105550425</v>
      </c>
      <c r="BS124" s="145">
        <v>31.627940118924311</v>
      </c>
      <c r="BT124" s="145">
        <v>49.216672109469421</v>
      </c>
      <c r="BU124" s="145">
        <v>44.55426891493962</v>
      </c>
      <c r="BV124" s="145">
        <v>38.101162348232052</v>
      </c>
    </row>
    <row r="125" spans="1:74" x14ac:dyDescent="0.25">
      <c r="A125" s="141">
        <v>42837</v>
      </c>
      <c r="B125" s="142">
        <v>0.4909722222222222</v>
      </c>
      <c r="C125" s="143">
        <v>122.41</v>
      </c>
      <c r="E125" s="144" t="s">
        <v>169</v>
      </c>
      <c r="F125" s="158">
        <v>122.41</v>
      </c>
      <c r="I125" s="143">
        <v>121.98</v>
      </c>
      <c r="J125" s="143">
        <v>122.36</v>
      </c>
      <c r="K125" s="143">
        <v>121.98</v>
      </c>
      <c r="L125" s="143">
        <v>123.18</v>
      </c>
      <c r="M125" s="143">
        <v>122.16</v>
      </c>
      <c r="N125" s="143">
        <v>122.15</v>
      </c>
      <c r="O125" s="143">
        <v>122.89</v>
      </c>
      <c r="P125" s="143">
        <v>123.04</v>
      </c>
      <c r="Q125" s="143">
        <v>122.97</v>
      </c>
      <c r="S125" s="145">
        <v>19.396293977862168</v>
      </c>
      <c r="T125" s="145">
        <v>11.815771979096077</v>
      </c>
      <c r="U125" s="145">
        <v>19.396293977862168</v>
      </c>
      <c r="V125" s="145">
        <v>25.390180416977703</v>
      </c>
      <c r="W125" s="145">
        <v>23.919263345484204</v>
      </c>
      <c r="X125" s="145">
        <v>28.390374646058756</v>
      </c>
      <c r="Y125" s="145">
        <v>32.382980196006386</v>
      </c>
      <c r="Z125" s="145">
        <v>49.998245930789899</v>
      </c>
      <c r="AA125" s="145">
        <v>45.323346235091137</v>
      </c>
      <c r="AB125" s="145">
        <v>38.777198629829194</v>
      </c>
      <c r="BB125" s="136">
        <v>121.98</v>
      </c>
      <c r="BC125" s="136">
        <v>122.36</v>
      </c>
      <c r="BD125" s="136">
        <v>121.98</v>
      </c>
      <c r="BE125" s="136">
        <v>123.18</v>
      </c>
      <c r="BF125" s="136">
        <v>122.16</v>
      </c>
      <c r="BG125" s="136">
        <v>122.15</v>
      </c>
      <c r="BH125" s="136">
        <v>122.89</v>
      </c>
      <c r="BI125" s="136">
        <v>123.04</v>
      </c>
      <c r="BJ125" s="136">
        <v>122.97</v>
      </c>
      <c r="BK125" s="136">
        <v>122.41</v>
      </c>
      <c r="BM125" s="145">
        <v>19.396293977862168</v>
      </c>
      <c r="BN125" s="145">
        <v>11.815771979096077</v>
      </c>
      <c r="BO125" s="145">
        <v>19.396293977862168</v>
      </c>
      <c r="BP125" s="145">
        <v>25.390180416977703</v>
      </c>
      <c r="BQ125" s="145">
        <v>23.919263345484204</v>
      </c>
      <c r="BR125" s="145">
        <v>28.390374646058756</v>
      </c>
      <c r="BS125" s="145">
        <v>32.382980196006386</v>
      </c>
      <c r="BT125" s="145">
        <v>49.998245930789899</v>
      </c>
      <c r="BU125" s="145">
        <v>45.323346235091137</v>
      </c>
      <c r="BV125" s="145">
        <v>38.777198629829194</v>
      </c>
    </row>
    <row r="126" spans="1:74" x14ac:dyDescent="0.25">
      <c r="A126" s="141">
        <v>42837</v>
      </c>
      <c r="B126" s="142">
        <v>0.49131944444444442</v>
      </c>
      <c r="C126" s="143">
        <v>122.48</v>
      </c>
      <c r="E126" s="144" t="s">
        <v>169</v>
      </c>
      <c r="F126" s="158">
        <v>122.48</v>
      </c>
      <c r="I126" s="143">
        <v>121.99</v>
      </c>
      <c r="J126" s="143">
        <v>122.46</v>
      </c>
      <c r="K126" s="143">
        <v>121.99</v>
      </c>
      <c r="L126" s="143">
        <v>123.19</v>
      </c>
      <c r="M126" s="143">
        <v>122.17</v>
      </c>
      <c r="N126" s="143">
        <v>122.17</v>
      </c>
      <c r="O126" s="143">
        <v>122.05</v>
      </c>
      <c r="P126" s="143">
        <v>122.12</v>
      </c>
      <c r="Q126" s="143">
        <v>122.01</v>
      </c>
      <c r="S126" s="145">
        <v>20.010013593441371</v>
      </c>
      <c r="T126" s="145">
        <v>12.499636391894001</v>
      </c>
      <c r="U126" s="145">
        <v>20.010013593441371</v>
      </c>
      <c r="V126" s="145">
        <v>26.199220435799237</v>
      </c>
      <c r="W126" s="145">
        <v>24.558953997562966</v>
      </c>
      <c r="X126" s="145">
        <v>29.030065298137519</v>
      </c>
      <c r="Y126" s="145">
        <v>33.005237501892076</v>
      </c>
      <c r="Z126" s="145">
        <v>50.630614104525478</v>
      </c>
      <c r="AA126" s="145">
        <v>45.93989865170559</v>
      </c>
      <c r="AB126" s="145">
        <v>39.464219617335452</v>
      </c>
      <c r="BB126" s="136">
        <v>121.99</v>
      </c>
      <c r="BC126" s="136">
        <v>122.46</v>
      </c>
      <c r="BD126" s="136">
        <v>121.99</v>
      </c>
      <c r="BE126" s="136">
        <v>123.19</v>
      </c>
      <c r="BF126" s="136">
        <v>122.17</v>
      </c>
      <c r="BG126" s="136">
        <v>122.17</v>
      </c>
      <c r="BH126" s="136">
        <v>122.05</v>
      </c>
      <c r="BI126" s="136">
        <v>122.12</v>
      </c>
      <c r="BJ126" s="136">
        <v>122.01</v>
      </c>
      <c r="BK126" s="136">
        <v>122.48</v>
      </c>
      <c r="BM126" s="145">
        <v>20.010013593441371</v>
      </c>
      <c r="BN126" s="145">
        <v>12.499636391894001</v>
      </c>
      <c r="BO126" s="145">
        <v>20.010013593441371</v>
      </c>
      <c r="BP126" s="145">
        <v>26.199220435799237</v>
      </c>
      <c r="BQ126" s="145">
        <v>24.558953997562966</v>
      </c>
      <c r="BR126" s="145">
        <v>29.030065298137519</v>
      </c>
      <c r="BS126" s="145">
        <v>33.005237501892076</v>
      </c>
      <c r="BT126" s="145">
        <v>50.630614104525478</v>
      </c>
      <c r="BU126" s="145">
        <v>45.93989865170559</v>
      </c>
      <c r="BV126" s="145">
        <v>39.464219617335452</v>
      </c>
    </row>
    <row r="127" spans="1:74" x14ac:dyDescent="0.25">
      <c r="A127" s="141">
        <v>42837</v>
      </c>
      <c r="B127" s="142">
        <v>0.4916666666666667</v>
      </c>
      <c r="C127" s="143">
        <v>122.43</v>
      </c>
      <c r="E127" s="144" t="s">
        <v>169</v>
      </c>
      <c r="F127" s="158">
        <v>122.43</v>
      </c>
      <c r="I127" s="143">
        <v>122.01</v>
      </c>
      <c r="J127" s="143">
        <v>122.57</v>
      </c>
      <c r="K127" s="143">
        <v>122.01</v>
      </c>
      <c r="L127" s="143">
        <v>123.22</v>
      </c>
      <c r="M127" s="143">
        <v>122.17</v>
      </c>
      <c r="N127" s="143">
        <v>122.13</v>
      </c>
      <c r="O127" s="143">
        <v>122.78</v>
      </c>
      <c r="P127" s="143">
        <v>122.93</v>
      </c>
      <c r="Q127" s="143">
        <v>122.83</v>
      </c>
      <c r="S127" s="145">
        <v>20.626566010055829</v>
      </c>
      <c r="T127" s="145">
        <v>13.201043244174979</v>
      </c>
      <c r="U127" s="145">
        <v>20.626566010055829</v>
      </c>
      <c r="V127" s="145">
        <v>27.013868452119098</v>
      </c>
      <c r="W127" s="145">
        <v>25.198644649641729</v>
      </c>
      <c r="X127" s="145">
        <v>29.66389123106644</v>
      </c>
      <c r="Y127" s="145">
        <v>33.741393753108433</v>
      </c>
      <c r="Z127" s="145">
        <v>51.392640481424124</v>
      </c>
      <c r="AA127" s="145">
        <v>46.684579190561045</v>
      </c>
      <c r="AB127" s="145">
        <v>40.143376340629032</v>
      </c>
      <c r="BB127" s="136">
        <v>122.01</v>
      </c>
      <c r="BC127" s="136">
        <v>122.57</v>
      </c>
      <c r="BD127" s="136">
        <v>122.01</v>
      </c>
      <c r="BE127" s="136">
        <v>123.22</v>
      </c>
      <c r="BF127" s="136">
        <v>122.17</v>
      </c>
      <c r="BG127" s="136">
        <v>122.13</v>
      </c>
      <c r="BH127" s="136">
        <v>122.78</v>
      </c>
      <c r="BI127" s="136">
        <v>122.93</v>
      </c>
      <c r="BJ127" s="136">
        <v>122.83</v>
      </c>
      <c r="BK127" s="136">
        <v>122.43</v>
      </c>
      <c r="BM127" s="145">
        <v>20.626566010055829</v>
      </c>
      <c r="BN127" s="145">
        <v>13.201043244174979</v>
      </c>
      <c r="BO127" s="145">
        <v>20.626566010055829</v>
      </c>
      <c r="BP127" s="145">
        <v>27.013868452119098</v>
      </c>
      <c r="BQ127" s="145">
        <v>25.198644649641729</v>
      </c>
      <c r="BR127" s="145">
        <v>29.66389123106644</v>
      </c>
      <c r="BS127" s="145">
        <v>33.741393753108433</v>
      </c>
      <c r="BT127" s="145">
        <v>51.392640481424124</v>
      </c>
      <c r="BU127" s="145">
        <v>46.684579190561045</v>
      </c>
      <c r="BV127" s="145">
        <v>40.143376340629032</v>
      </c>
    </row>
    <row r="128" spans="1:74" x14ac:dyDescent="0.25">
      <c r="A128" s="141">
        <v>42837</v>
      </c>
      <c r="B128" s="142">
        <v>0.49201388888888892</v>
      </c>
      <c r="C128" s="143">
        <v>122.46</v>
      </c>
      <c r="E128" s="144" t="s">
        <v>169</v>
      </c>
      <c r="F128" s="158">
        <v>122.46</v>
      </c>
      <c r="I128" s="143">
        <v>122.03</v>
      </c>
      <c r="J128" s="143">
        <v>122.67</v>
      </c>
      <c r="K128" s="143">
        <v>122.03</v>
      </c>
      <c r="L128" s="143">
        <v>123.23</v>
      </c>
      <c r="M128" s="143">
        <v>122.18</v>
      </c>
      <c r="N128" s="143">
        <v>122.2</v>
      </c>
      <c r="O128" s="143">
        <v>121.96</v>
      </c>
      <c r="P128" s="143">
        <v>122.02</v>
      </c>
      <c r="Q128" s="143">
        <v>121.92</v>
      </c>
      <c r="S128" s="145">
        <v>21.245964303321013</v>
      </c>
      <c r="T128" s="145">
        <v>13.918787960851809</v>
      </c>
      <c r="U128" s="145">
        <v>21.245964303321013</v>
      </c>
      <c r="V128" s="145">
        <v>27.830394426066267</v>
      </c>
      <c r="W128" s="145">
        <v>25.83980994096974</v>
      </c>
      <c r="X128" s="145">
        <v>30.308016006913007</v>
      </c>
      <c r="Y128" s="145">
        <v>34.350888552570865</v>
      </c>
      <c r="Z128" s="145">
        <v>52.010614198146378</v>
      </c>
      <c r="AA128" s="145">
        <v>47.288486108114434</v>
      </c>
      <c r="AB128" s="145">
        <v>40.827240753426956</v>
      </c>
      <c r="BB128" s="136">
        <v>122.03</v>
      </c>
      <c r="BC128" s="136">
        <v>122.67</v>
      </c>
      <c r="BD128" s="136">
        <v>122.03</v>
      </c>
      <c r="BE128" s="136">
        <v>123.23</v>
      </c>
      <c r="BF128" s="136">
        <v>122.18</v>
      </c>
      <c r="BG128" s="136">
        <v>122.2</v>
      </c>
      <c r="BH128" s="136">
        <v>121.96</v>
      </c>
      <c r="BI128" s="136">
        <v>122.02</v>
      </c>
      <c r="BJ128" s="136">
        <v>121.92</v>
      </c>
      <c r="BK128" s="136">
        <v>122.46</v>
      </c>
      <c r="BM128" s="145">
        <v>21.245964303321013</v>
      </c>
      <c r="BN128" s="145">
        <v>13.918787960851809</v>
      </c>
      <c r="BO128" s="145">
        <v>21.245964303321013</v>
      </c>
      <c r="BP128" s="145">
        <v>27.830394426066267</v>
      </c>
      <c r="BQ128" s="145">
        <v>25.83980994096974</v>
      </c>
      <c r="BR128" s="145">
        <v>30.308016006913007</v>
      </c>
      <c r="BS128" s="145">
        <v>34.350888552570865</v>
      </c>
      <c r="BT128" s="145">
        <v>52.010614198146378</v>
      </c>
      <c r="BU128" s="145">
        <v>47.288486108114434</v>
      </c>
      <c r="BV128" s="145">
        <v>40.827240753426956</v>
      </c>
    </row>
    <row r="129" spans="1:74" x14ac:dyDescent="0.25">
      <c r="A129" s="141">
        <v>42837</v>
      </c>
      <c r="B129" s="142">
        <v>0.49236111111111108</v>
      </c>
      <c r="C129" s="143">
        <v>122.45</v>
      </c>
      <c r="E129" s="144" t="s">
        <v>169</v>
      </c>
      <c r="F129" s="158">
        <v>122.45</v>
      </c>
      <c r="I129" s="143">
        <v>122.04</v>
      </c>
      <c r="J129" s="143">
        <v>122.74</v>
      </c>
      <c r="K129" s="143">
        <v>122.04</v>
      </c>
      <c r="L129" s="143">
        <v>123.25</v>
      </c>
      <c r="M129" s="143">
        <v>122.17</v>
      </c>
      <c r="N129" s="143">
        <v>122.14</v>
      </c>
      <c r="O129" s="143">
        <v>122.65</v>
      </c>
      <c r="P129" s="143">
        <v>122.79</v>
      </c>
      <c r="Q129" s="143">
        <v>122.66</v>
      </c>
      <c r="S129" s="145">
        <v>21.866790457117222</v>
      </c>
      <c r="T129" s="145">
        <v>14.648195090989484</v>
      </c>
      <c r="U129" s="145">
        <v>21.866790457117222</v>
      </c>
      <c r="V129" s="145">
        <v>28.650689312666039</v>
      </c>
      <c r="W129" s="145">
        <v>26.479500593048503</v>
      </c>
      <c r="X129" s="145">
        <v>30.94330305951728</v>
      </c>
      <c r="Y129" s="145">
        <v>35.06533553182642</v>
      </c>
      <c r="Z129" s="145">
        <v>52.748467464784326</v>
      </c>
      <c r="AA129" s="145">
        <v>48.004580057751205</v>
      </c>
      <c r="AB129" s="145">
        <v>41.509532321721423</v>
      </c>
      <c r="BB129" s="136">
        <v>122.04</v>
      </c>
      <c r="BC129" s="136">
        <v>122.74</v>
      </c>
      <c r="BD129" s="136">
        <v>122.04</v>
      </c>
      <c r="BE129" s="136">
        <v>123.25</v>
      </c>
      <c r="BF129" s="136">
        <v>122.17</v>
      </c>
      <c r="BG129" s="136">
        <v>122.14</v>
      </c>
      <c r="BH129" s="136">
        <v>122.65</v>
      </c>
      <c r="BI129" s="136">
        <v>122.79</v>
      </c>
      <c r="BJ129" s="136">
        <v>122.66</v>
      </c>
      <c r="BK129" s="136">
        <v>122.45</v>
      </c>
      <c r="BM129" s="145">
        <v>21.866790457117222</v>
      </c>
      <c r="BN129" s="145">
        <v>14.648195090989484</v>
      </c>
      <c r="BO129" s="145">
        <v>21.866790457117222</v>
      </c>
      <c r="BP129" s="145">
        <v>28.650689312666039</v>
      </c>
      <c r="BQ129" s="145">
        <v>26.479500593048503</v>
      </c>
      <c r="BR129" s="145">
        <v>30.94330305951728</v>
      </c>
      <c r="BS129" s="145">
        <v>35.06533553182642</v>
      </c>
      <c r="BT129" s="145">
        <v>52.748467464784326</v>
      </c>
      <c r="BU129" s="145">
        <v>48.004580057751205</v>
      </c>
      <c r="BV129" s="145">
        <v>41.509532321721423</v>
      </c>
    </row>
    <row r="130" spans="1:74" x14ac:dyDescent="0.25">
      <c r="A130" s="137">
        <v>42837</v>
      </c>
      <c r="B130" s="138">
        <v>0.4927083333333333</v>
      </c>
      <c r="C130" s="139">
        <v>121.72</v>
      </c>
      <c r="E130" s="140" t="s">
        <v>169</v>
      </c>
      <c r="F130" s="140">
        <v>121.72</v>
      </c>
      <c r="I130" s="139">
        <v>119.99</v>
      </c>
      <c r="J130" s="139">
        <v>122.2</v>
      </c>
      <c r="K130" s="139">
        <v>119.99</v>
      </c>
      <c r="L130" s="139">
        <v>121.27</v>
      </c>
      <c r="M130" s="139">
        <v>120.49</v>
      </c>
      <c r="N130" s="139">
        <v>118.55</v>
      </c>
      <c r="O130" s="139">
        <v>117.34</v>
      </c>
      <c r="P130" s="139">
        <v>116.9</v>
      </c>
      <c r="Q130" s="139">
        <v>116.66</v>
      </c>
      <c r="S130" s="139">
        <v>22.25402135601848</v>
      </c>
      <c r="T130" s="139">
        <v>15.292319866836053</v>
      </c>
      <c r="U130" s="139">
        <v>22.25402135601848</v>
      </c>
      <c r="V130" s="139">
        <v>29.170649395580568</v>
      </c>
      <c r="W130" s="139">
        <v>26.913980807691654</v>
      </c>
      <c r="X130" s="139">
        <v>31.221255188152483</v>
      </c>
      <c r="Y130" s="139">
        <v>35.275698846018642</v>
      </c>
      <c r="Z130" s="139">
        <v>52.938562162944606</v>
      </c>
      <c r="AA130" s="139">
        <v>48.184454725329076</v>
      </c>
      <c r="AB130" s="139">
        <v>42.086258950631972</v>
      </c>
      <c r="BB130" s="136">
        <v>119.99</v>
      </c>
      <c r="BC130" s="136">
        <v>122.2</v>
      </c>
      <c r="BD130" s="136">
        <v>119.99</v>
      </c>
      <c r="BE130" s="136">
        <v>121.27</v>
      </c>
      <c r="BF130" s="136">
        <v>120.49</v>
      </c>
      <c r="BG130" s="136">
        <v>118.55</v>
      </c>
      <c r="BH130" s="136">
        <v>117.34</v>
      </c>
      <c r="BI130" s="136">
        <v>116.9</v>
      </c>
      <c r="BJ130" s="136">
        <v>116.66</v>
      </c>
      <c r="BK130" s="136">
        <v>121.72</v>
      </c>
      <c r="BM130" s="139">
        <v>22.25402135601848</v>
      </c>
      <c r="BN130" s="139">
        <v>15.292319866836053</v>
      </c>
      <c r="BO130" s="139">
        <v>22.25402135601848</v>
      </c>
      <c r="BP130" s="139">
        <v>29.170649395580568</v>
      </c>
      <c r="BQ130" s="139">
        <v>26.913980807691654</v>
      </c>
      <c r="BR130" s="139">
        <v>31.221255188152483</v>
      </c>
      <c r="BS130" s="139">
        <v>35.275698846018642</v>
      </c>
      <c r="BT130" s="139">
        <v>52.938562162944606</v>
      </c>
      <c r="BU130" s="139">
        <v>48.184454725329076</v>
      </c>
      <c r="BV130" s="139">
        <v>42.086258950631972</v>
      </c>
    </row>
    <row r="131" spans="1:74" x14ac:dyDescent="0.25">
      <c r="A131" s="137">
        <v>42837</v>
      </c>
      <c r="B131" s="138">
        <v>0.49305555555555558</v>
      </c>
      <c r="C131" s="139">
        <v>119.53</v>
      </c>
      <c r="E131" s="140" t="s">
        <v>169</v>
      </c>
      <c r="F131" s="140">
        <v>119.53</v>
      </c>
      <c r="I131" s="139">
        <v>114.47</v>
      </c>
      <c r="J131" s="139">
        <v>117.5</v>
      </c>
      <c r="K131" s="139">
        <v>114.47</v>
      </c>
      <c r="L131" s="139">
        <v>116.16</v>
      </c>
      <c r="M131" s="139">
        <v>115.35</v>
      </c>
      <c r="N131" s="139">
        <v>112.77</v>
      </c>
      <c r="O131" s="139">
        <v>111.34</v>
      </c>
      <c r="P131" s="139">
        <v>110.96</v>
      </c>
      <c r="Q131" s="139">
        <v>110.7</v>
      </c>
      <c r="S131" s="139">
        <v>22.362656414961666</v>
      </c>
      <c r="T131" s="139">
        <v>15.510577782956137</v>
      </c>
      <c r="U131" s="139">
        <v>22.362656414961666</v>
      </c>
      <c r="V131" s="139">
        <v>29.33096286180584</v>
      </c>
      <c r="W131" s="139">
        <v>27.047017060681593</v>
      </c>
      <c r="X131" s="139">
        <v>31.294701502034677</v>
      </c>
      <c r="Y131" s="139">
        <v>35.328539721479324</v>
      </c>
      <c r="Z131" s="139">
        <v>52.986976055757665</v>
      </c>
      <c r="AA131" s="139">
        <v>48.230055267296869</v>
      </c>
      <c r="AB131" s="139">
        <v>42.43457220768736</v>
      </c>
      <c r="BB131" s="136">
        <v>114.47</v>
      </c>
      <c r="BC131" s="136">
        <v>117.5</v>
      </c>
      <c r="BD131" s="136">
        <v>114.47</v>
      </c>
      <c r="BE131" s="136">
        <v>116.16</v>
      </c>
      <c r="BF131" s="136">
        <v>115.35</v>
      </c>
      <c r="BG131" s="136">
        <v>112.77</v>
      </c>
      <c r="BH131" s="136">
        <v>111.34</v>
      </c>
      <c r="BI131" s="136">
        <v>110.96</v>
      </c>
      <c r="BJ131" s="136">
        <v>110.7</v>
      </c>
      <c r="BK131" s="136">
        <v>119.53</v>
      </c>
      <c r="BM131" s="139">
        <v>22.362656414961666</v>
      </c>
      <c r="BN131" s="139">
        <v>15.510577782956137</v>
      </c>
      <c r="BO131" s="139">
        <v>22.362656414961666</v>
      </c>
      <c r="BP131" s="139">
        <v>29.33096286180584</v>
      </c>
      <c r="BQ131" s="139">
        <v>27.047017060681593</v>
      </c>
      <c r="BR131" s="139">
        <v>31.294701502034677</v>
      </c>
      <c r="BS131" s="139">
        <v>35.328539721479324</v>
      </c>
      <c r="BT131" s="139">
        <v>52.986976055757665</v>
      </c>
      <c r="BU131" s="139">
        <v>48.230055267296869</v>
      </c>
      <c r="BV131" s="139">
        <v>42.43457220768736</v>
      </c>
    </row>
    <row r="132" spans="1:74" x14ac:dyDescent="0.25">
      <c r="A132" s="137">
        <v>42837</v>
      </c>
      <c r="B132" s="138">
        <v>0.4934027777777778</v>
      </c>
      <c r="C132" s="139">
        <v>116.51</v>
      </c>
      <c r="E132" s="140" t="s">
        <v>169</v>
      </c>
      <c r="F132" s="140">
        <v>116.51</v>
      </c>
      <c r="I132" s="139">
        <v>108.94</v>
      </c>
      <c r="J132" s="139">
        <v>112.19</v>
      </c>
      <c r="K132" s="139">
        <v>108.94</v>
      </c>
      <c r="L132" s="139">
        <v>110.62</v>
      </c>
      <c r="M132" s="139">
        <v>111.11</v>
      </c>
      <c r="N132" s="139">
        <v>107.25</v>
      </c>
      <c r="O132" s="139">
        <v>105.97</v>
      </c>
      <c r="P132" s="139">
        <v>105.95</v>
      </c>
      <c r="Q132" s="139">
        <v>105.37</v>
      </c>
      <c r="S132" s="139">
        <v>22.393063165025602</v>
      </c>
      <c r="T132" s="139">
        <v>15.574842115953318</v>
      </c>
      <c r="U132" s="139">
        <v>22.393063165025602</v>
      </c>
      <c r="V132" s="139">
        <v>29.375731100083321</v>
      </c>
      <c r="W132" s="139">
        <v>27.097132322585487</v>
      </c>
      <c r="X132" s="139">
        <v>31.315306377989543</v>
      </c>
      <c r="Y132" s="139">
        <v>35.343884831421278</v>
      </c>
      <c r="Z132" s="139">
        <v>53.002250661323743</v>
      </c>
      <c r="AA132" s="139">
        <v>48.243420299340187</v>
      </c>
      <c r="AB132" s="139">
        <v>42.608340288408961</v>
      </c>
      <c r="BB132" s="136">
        <v>108.94</v>
      </c>
      <c r="BC132" s="136">
        <v>112.19</v>
      </c>
      <c r="BD132" s="136">
        <v>108.94</v>
      </c>
      <c r="BE132" s="136">
        <v>110.62</v>
      </c>
      <c r="BF132" s="136">
        <v>111.11</v>
      </c>
      <c r="BG132" s="136">
        <v>107.25</v>
      </c>
      <c r="BH132" s="136">
        <v>105.97</v>
      </c>
      <c r="BI132" s="136">
        <v>105.95</v>
      </c>
      <c r="BJ132" s="136">
        <v>105.37</v>
      </c>
      <c r="BK132" s="136">
        <v>116.51</v>
      </c>
      <c r="BM132" s="139">
        <v>22.393063165025602</v>
      </c>
      <c r="BN132" s="139">
        <v>15.574842115953318</v>
      </c>
      <c r="BO132" s="139">
        <v>22.393063165025602</v>
      </c>
      <c r="BP132" s="139">
        <v>29.375731100083321</v>
      </c>
      <c r="BQ132" s="139">
        <v>27.097132322585487</v>
      </c>
      <c r="BR132" s="139">
        <v>31.315306377989543</v>
      </c>
      <c r="BS132" s="139">
        <v>35.343884831421278</v>
      </c>
      <c r="BT132" s="139">
        <v>53.002250661323743</v>
      </c>
      <c r="BU132" s="139">
        <v>48.243420299340187</v>
      </c>
      <c r="BV132" s="139">
        <v>42.608340288408961</v>
      </c>
    </row>
    <row r="133" spans="1:74" x14ac:dyDescent="0.25">
      <c r="A133" s="137">
        <v>42837</v>
      </c>
      <c r="B133" s="138">
        <v>0.49374999999999997</v>
      </c>
      <c r="C133" s="139">
        <v>113.18</v>
      </c>
      <c r="E133" s="140" t="s">
        <v>169</v>
      </c>
      <c r="F133" s="140">
        <v>113.18</v>
      </c>
      <c r="I133" s="139">
        <v>104.34</v>
      </c>
      <c r="J133" s="139">
        <v>107.83</v>
      </c>
      <c r="K133" s="139">
        <v>104.34</v>
      </c>
      <c r="L133" s="139">
        <v>105.72</v>
      </c>
      <c r="M133" s="139">
        <v>107.41</v>
      </c>
      <c r="N133" s="139">
        <v>102.66</v>
      </c>
      <c r="O133" s="139">
        <v>101.57</v>
      </c>
      <c r="P133" s="139">
        <v>103.38</v>
      </c>
      <c r="Q133" s="139">
        <v>101.09</v>
      </c>
      <c r="S133" s="139">
        <v>22.40360630577527</v>
      </c>
      <c r="T133" s="139">
        <v>15.598390982273166</v>
      </c>
      <c r="U133" s="139">
        <v>22.40360630577527</v>
      </c>
      <c r="V133" s="139">
        <v>29.390217818021828</v>
      </c>
      <c r="W133" s="139">
        <v>27.118510466893067</v>
      </c>
      <c r="X133" s="139">
        <v>31.322467317485913</v>
      </c>
      <c r="Y133" s="139">
        <v>35.349456304089237</v>
      </c>
      <c r="Z133" s="139">
        <v>53.010702865981962</v>
      </c>
      <c r="AA133" s="139">
        <v>48.248408799659302</v>
      </c>
      <c r="AB133" s="139">
        <v>42.689058216250288</v>
      </c>
      <c r="BB133" s="136">
        <v>104.34</v>
      </c>
      <c r="BC133" s="136">
        <v>107.83</v>
      </c>
      <c r="BD133" s="136">
        <v>104.34</v>
      </c>
      <c r="BE133" s="136">
        <v>105.72</v>
      </c>
      <c r="BF133" s="136">
        <v>107.41</v>
      </c>
      <c r="BG133" s="136">
        <v>102.66</v>
      </c>
      <c r="BH133" s="136">
        <v>101.57</v>
      </c>
      <c r="BI133" s="136">
        <v>103.38</v>
      </c>
      <c r="BJ133" s="136">
        <v>101.09</v>
      </c>
      <c r="BK133" s="136">
        <v>113.18</v>
      </c>
      <c r="BM133" s="139">
        <v>22.40360630577527</v>
      </c>
      <c r="BN133" s="139">
        <v>15.598390982273166</v>
      </c>
      <c r="BO133" s="139">
        <v>22.40360630577527</v>
      </c>
      <c r="BP133" s="139">
        <v>29.390217818021828</v>
      </c>
      <c r="BQ133" s="139">
        <v>27.118510466893067</v>
      </c>
      <c r="BR133" s="139">
        <v>31.322467317485913</v>
      </c>
      <c r="BS133" s="139">
        <v>35.349456304089237</v>
      </c>
      <c r="BT133" s="139">
        <v>53.010702865981962</v>
      </c>
      <c r="BU133" s="139">
        <v>48.248408799659302</v>
      </c>
      <c r="BV133" s="139">
        <v>42.689058216250288</v>
      </c>
    </row>
    <row r="134" spans="1:74" x14ac:dyDescent="0.25">
      <c r="A134" s="137">
        <v>42837</v>
      </c>
      <c r="B134" s="138">
        <v>0.49409722222222219</v>
      </c>
      <c r="C134" s="139">
        <v>110.15</v>
      </c>
      <c r="E134" s="140" t="s">
        <v>169</v>
      </c>
      <c r="F134" s="140">
        <v>110.15</v>
      </c>
      <c r="I134" s="139">
        <v>100.83</v>
      </c>
      <c r="J134" s="139">
        <v>104.01</v>
      </c>
      <c r="K134" s="139">
        <v>100.83</v>
      </c>
      <c r="L134" s="139">
        <v>101.73</v>
      </c>
      <c r="M134" s="139">
        <v>103.79</v>
      </c>
      <c r="N134" s="139">
        <v>99.1</v>
      </c>
      <c r="O134" s="139">
        <v>98.13</v>
      </c>
      <c r="P134" s="139">
        <v>101.27</v>
      </c>
      <c r="Q134" s="139">
        <v>98.03</v>
      </c>
      <c r="S134" s="139">
        <v>22.408304922328092</v>
      </c>
      <c r="T134" s="139">
        <v>15.608162679552043</v>
      </c>
      <c r="U134" s="139">
        <v>22.408304922328092</v>
      </c>
      <c r="V134" s="139">
        <v>29.39599837923279</v>
      </c>
      <c r="W134" s="139">
        <v>27.127799489168524</v>
      </c>
      <c r="X134" s="139">
        <v>31.325622104208314</v>
      </c>
      <c r="Y134" s="139">
        <v>35.351979610577054</v>
      </c>
      <c r="Z134" s="139">
        <v>53.015902466811106</v>
      </c>
      <c r="AA134" s="139">
        <v>48.250874668679074</v>
      </c>
      <c r="AB134" s="139">
        <v>42.729234522359569</v>
      </c>
      <c r="BB134" s="136">
        <v>100.83</v>
      </c>
      <c r="BC134" s="136">
        <v>104.01</v>
      </c>
      <c r="BD134" s="136">
        <v>100.83</v>
      </c>
      <c r="BE134" s="136">
        <v>101.73</v>
      </c>
      <c r="BF134" s="136">
        <v>103.79</v>
      </c>
      <c r="BG134" s="136">
        <v>99.1</v>
      </c>
      <c r="BH134" s="136">
        <v>98.13</v>
      </c>
      <c r="BI134" s="136">
        <v>101.27</v>
      </c>
      <c r="BJ134" s="136">
        <v>98.03</v>
      </c>
      <c r="BK134" s="136">
        <v>110.15</v>
      </c>
      <c r="BM134" s="139">
        <v>22.408304922328092</v>
      </c>
      <c r="BN134" s="139">
        <v>15.608162679552043</v>
      </c>
      <c r="BO134" s="139">
        <v>22.408304922328092</v>
      </c>
      <c r="BP134" s="139">
        <v>29.39599837923279</v>
      </c>
      <c r="BQ134" s="139">
        <v>27.127799489168524</v>
      </c>
      <c r="BR134" s="139">
        <v>31.325622104208314</v>
      </c>
      <c r="BS134" s="139">
        <v>35.351979610577054</v>
      </c>
      <c r="BT134" s="139">
        <v>53.015902466811106</v>
      </c>
      <c r="BU134" s="139">
        <v>48.250874668679074</v>
      </c>
      <c r="BV134" s="139">
        <v>42.729234522359569</v>
      </c>
    </row>
    <row r="135" spans="1:74" x14ac:dyDescent="0.25">
      <c r="A135" s="137">
        <v>42837</v>
      </c>
      <c r="B135" s="138">
        <v>0.49444444444444446</v>
      </c>
      <c r="C135" s="139">
        <v>107.76</v>
      </c>
      <c r="E135" s="140" t="s">
        <v>169</v>
      </c>
      <c r="F135" s="140">
        <v>107.76</v>
      </c>
      <c r="I135" s="139">
        <v>98.1</v>
      </c>
      <c r="J135" s="139">
        <v>101.35</v>
      </c>
      <c r="K135" s="139">
        <v>98.1</v>
      </c>
      <c r="L135" s="139">
        <v>98.78</v>
      </c>
      <c r="M135" s="139">
        <v>100.12</v>
      </c>
      <c r="N135" s="139">
        <v>96.5</v>
      </c>
      <c r="O135" s="139">
        <v>95.62</v>
      </c>
      <c r="P135" s="139">
        <v>100.14</v>
      </c>
      <c r="Q135" s="139">
        <v>95.7</v>
      </c>
      <c r="S135" s="139">
        <v>22.41081085849623</v>
      </c>
      <c r="T135" s="139">
        <v>15.61345894817793</v>
      </c>
      <c r="U135" s="139">
        <v>22.41081085849623</v>
      </c>
      <c r="V135" s="139">
        <v>29.39892907005536</v>
      </c>
      <c r="W135" s="139">
        <v>27.131789462604864</v>
      </c>
      <c r="X135" s="139">
        <v>31.327355788460576</v>
      </c>
      <c r="Y135" s="139">
        <v>35.353395306574953</v>
      </c>
      <c r="Z135" s="139">
        <v>53.019910857128046</v>
      </c>
      <c r="AA135" s="139">
        <v>48.252316684430639</v>
      </c>
      <c r="AB135" s="139">
        <v>42.752406868346384</v>
      </c>
      <c r="BB135" s="136">
        <v>98.1</v>
      </c>
      <c r="BC135" s="136">
        <v>101.35</v>
      </c>
      <c r="BD135" s="136">
        <v>98.1</v>
      </c>
      <c r="BE135" s="136">
        <v>98.78</v>
      </c>
      <c r="BF135" s="136">
        <v>100.12</v>
      </c>
      <c r="BG135" s="136">
        <v>96.5</v>
      </c>
      <c r="BH135" s="136">
        <v>95.62</v>
      </c>
      <c r="BI135" s="136">
        <v>100.14</v>
      </c>
      <c r="BJ135" s="136">
        <v>95.7</v>
      </c>
      <c r="BK135" s="136">
        <v>107.76</v>
      </c>
      <c r="BM135" s="139">
        <v>22.41081085849623</v>
      </c>
      <c r="BN135" s="139">
        <v>15.61345894817793</v>
      </c>
      <c r="BO135" s="139">
        <v>22.41081085849623</v>
      </c>
      <c r="BP135" s="139">
        <v>29.39892907005536</v>
      </c>
      <c r="BQ135" s="139">
        <v>27.131789462604864</v>
      </c>
      <c r="BR135" s="139">
        <v>31.327355788460576</v>
      </c>
      <c r="BS135" s="139">
        <v>35.353395306574953</v>
      </c>
      <c r="BT135" s="139">
        <v>53.019910857128046</v>
      </c>
      <c r="BU135" s="139">
        <v>48.252316684430639</v>
      </c>
      <c r="BV135" s="139">
        <v>42.752406868346384</v>
      </c>
    </row>
    <row r="136" spans="1:74" x14ac:dyDescent="0.25">
      <c r="A136" s="137">
        <v>42837</v>
      </c>
      <c r="B136" s="138">
        <v>0.49479166666666669</v>
      </c>
      <c r="C136" s="139">
        <v>105.88</v>
      </c>
      <c r="E136" s="140" t="s">
        <v>169</v>
      </c>
      <c r="F136" s="140">
        <v>105.88</v>
      </c>
      <c r="I136" s="139">
        <v>96.12</v>
      </c>
      <c r="J136" s="139">
        <v>99.7</v>
      </c>
      <c r="K136" s="139">
        <v>96.12</v>
      </c>
      <c r="L136" s="139">
        <v>96.74</v>
      </c>
      <c r="M136" s="139">
        <v>96.94</v>
      </c>
      <c r="N136" s="139">
        <v>94.75</v>
      </c>
      <c r="O136" s="139">
        <v>94.06</v>
      </c>
      <c r="P136" s="139">
        <v>102.85</v>
      </c>
      <c r="Q136" s="139">
        <v>94.23</v>
      </c>
      <c r="S136" s="139">
        <v>22.412399295531554</v>
      </c>
      <c r="T136" s="139">
        <v>15.617081127978306</v>
      </c>
      <c r="U136" s="139">
        <v>22.412399295531554</v>
      </c>
      <c r="V136" s="139">
        <v>29.4007612579286</v>
      </c>
      <c r="W136" s="139">
        <v>27.133707998832325</v>
      </c>
      <c r="X136" s="139">
        <v>31.328514485785561</v>
      </c>
      <c r="Y136" s="139">
        <v>35.354383791395009</v>
      </c>
      <c r="Z136" s="139">
        <v>53.027392035408518</v>
      </c>
      <c r="AA136" s="139">
        <v>48.25334462972863</v>
      </c>
      <c r="AB136" s="139">
        <v>42.767437249859526</v>
      </c>
      <c r="BB136" s="136">
        <v>96.12</v>
      </c>
      <c r="BC136" s="136">
        <v>99.7</v>
      </c>
      <c r="BD136" s="136">
        <v>96.12</v>
      </c>
      <c r="BE136" s="136">
        <v>96.74</v>
      </c>
      <c r="BF136" s="136">
        <v>96.94</v>
      </c>
      <c r="BG136" s="136">
        <v>94.75</v>
      </c>
      <c r="BH136" s="136">
        <v>94.06</v>
      </c>
      <c r="BI136" s="136">
        <v>102.85</v>
      </c>
      <c r="BJ136" s="136">
        <v>94.23</v>
      </c>
      <c r="BK136" s="136">
        <v>105.88</v>
      </c>
      <c r="BM136" s="139">
        <v>22.412399295531554</v>
      </c>
      <c r="BN136" s="139">
        <v>15.617081127978306</v>
      </c>
      <c r="BO136" s="139">
        <v>22.412399295531554</v>
      </c>
      <c r="BP136" s="139">
        <v>29.4007612579286</v>
      </c>
      <c r="BQ136" s="139">
        <v>27.133707998832325</v>
      </c>
      <c r="BR136" s="139">
        <v>31.328514485785561</v>
      </c>
      <c r="BS136" s="139">
        <v>35.354383791395009</v>
      </c>
      <c r="BT136" s="139">
        <v>53.027392035408518</v>
      </c>
      <c r="BU136" s="139">
        <v>48.25334462972863</v>
      </c>
      <c r="BV136" s="139">
        <v>42.767437249859526</v>
      </c>
    </row>
    <row r="137" spans="1:74" x14ac:dyDescent="0.25">
      <c r="A137" s="137">
        <v>42837</v>
      </c>
      <c r="B137" s="138">
        <v>0.49513888888888885</v>
      </c>
      <c r="C137" s="139">
        <v>104.47</v>
      </c>
      <c r="E137" s="140" t="s">
        <v>169</v>
      </c>
      <c r="F137" s="140">
        <v>104.47</v>
      </c>
      <c r="I137" s="139">
        <v>94.93</v>
      </c>
      <c r="J137" s="139">
        <v>98.51</v>
      </c>
      <c r="K137" s="139">
        <v>94.93</v>
      </c>
      <c r="L137" s="139">
        <v>95.63</v>
      </c>
      <c r="M137" s="139">
        <v>95.28</v>
      </c>
      <c r="N137" s="139">
        <v>93.67</v>
      </c>
      <c r="O137" s="139">
        <v>93.04</v>
      </c>
      <c r="P137" s="139">
        <v>103.89</v>
      </c>
      <c r="Q137" s="139">
        <v>93.36</v>
      </c>
      <c r="S137" s="139">
        <v>22.413607025948775</v>
      </c>
      <c r="T137" s="139">
        <v>15.619835166460334</v>
      </c>
      <c r="U137" s="139">
        <v>22.413607025948775</v>
      </c>
      <c r="V137" s="139">
        <v>29.402180217442822</v>
      </c>
      <c r="W137" s="139">
        <v>27.135017090336433</v>
      </c>
      <c r="X137" s="139">
        <v>31.329418072848568</v>
      </c>
      <c r="Y137" s="139">
        <v>35.35516536521633</v>
      </c>
      <c r="Z137" s="139">
        <v>53.036897426808132</v>
      </c>
      <c r="AA137" s="139">
        <v>48.254185966759167</v>
      </c>
      <c r="AB137" s="139">
        <v>42.778300755753847</v>
      </c>
      <c r="BB137" s="136">
        <v>94.93</v>
      </c>
      <c r="BC137" s="136">
        <v>98.51</v>
      </c>
      <c r="BD137" s="136">
        <v>94.93</v>
      </c>
      <c r="BE137" s="136">
        <v>95.63</v>
      </c>
      <c r="BF137" s="136">
        <v>95.28</v>
      </c>
      <c r="BG137" s="136">
        <v>93.67</v>
      </c>
      <c r="BH137" s="136">
        <v>93.04</v>
      </c>
      <c r="BI137" s="136">
        <v>103.89</v>
      </c>
      <c r="BJ137" s="136">
        <v>93.36</v>
      </c>
      <c r="BK137" s="136">
        <v>104.47</v>
      </c>
      <c r="BM137" s="139">
        <v>22.413607025948775</v>
      </c>
      <c r="BN137" s="139">
        <v>15.619835166460334</v>
      </c>
      <c r="BO137" s="139">
        <v>22.413607025948775</v>
      </c>
      <c r="BP137" s="139">
        <v>29.402180217442822</v>
      </c>
      <c r="BQ137" s="139">
        <v>27.135017090336433</v>
      </c>
      <c r="BR137" s="139">
        <v>31.329418072848568</v>
      </c>
      <c r="BS137" s="139">
        <v>35.35516536521633</v>
      </c>
      <c r="BT137" s="139">
        <v>53.036897426808132</v>
      </c>
      <c r="BU137" s="139">
        <v>48.254185966759167</v>
      </c>
      <c r="BV137" s="139">
        <v>42.778300755753847</v>
      </c>
    </row>
    <row r="138" spans="1:74" x14ac:dyDescent="0.25">
      <c r="A138" s="137">
        <v>42837</v>
      </c>
      <c r="B138" s="138">
        <v>0.49548611111111113</v>
      </c>
      <c r="C138" s="139">
        <v>103.34</v>
      </c>
      <c r="E138" s="140" t="s">
        <v>169</v>
      </c>
      <c r="F138" s="140">
        <v>103.34</v>
      </c>
      <c r="I138" s="139">
        <v>94.38</v>
      </c>
      <c r="J138" s="139">
        <v>97.4</v>
      </c>
      <c r="K138" s="139">
        <v>94.38</v>
      </c>
      <c r="L138" s="139">
        <v>95.06</v>
      </c>
      <c r="M138" s="139">
        <v>94.37</v>
      </c>
      <c r="N138" s="139">
        <v>93.13</v>
      </c>
      <c r="O138" s="139">
        <v>92.67</v>
      </c>
      <c r="P138" s="139">
        <v>104.64</v>
      </c>
      <c r="Q138" s="139">
        <v>93.06</v>
      </c>
      <c r="S138" s="139">
        <v>22.414671095471768</v>
      </c>
      <c r="T138" s="139">
        <v>15.621968064054341</v>
      </c>
      <c r="U138" s="139">
        <v>22.414671095471768</v>
      </c>
      <c r="V138" s="139">
        <v>29.403424646101964</v>
      </c>
      <c r="W138" s="139">
        <v>27.136078712567432</v>
      </c>
      <c r="X138" s="139">
        <v>31.330216012422188</v>
      </c>
      <c r="Y138" s="139">
        <v>35.355883109933004</v>
      </c>
      <c r="Z138" s="139">
        <v>53.048194605659234</v>
      </c>
      <c r="AA138" s="139">
        <v>48.254971148161331</v>
      </c>
      <c r="AB138" s="139">
        <v>42.786675470133979</v>
      </c>
      <c r="BB138" s="136">
        <v>94.38</v>
      </c>
      <c r="BC138" s="136">
        <v>97.4</v>
      </c>
      <c r="BD138" s="136">
        <v>94.38</v>
      </c>
      <c r="BE138" s="136">
        <v>95.06</v>
      </c>
      <c r="BF138" s="136">
        <v>94.37</v>
      </c>
      <c r="BG138" s="136">
        <v>93.13</v>
      </c>
      <c r="BH138" s="136">
        <v>92.67</v>
      </c>
      <c r="BI138" s="136">
        <v>104.64</v>
      </c>
      <c r="BJ138" s="136">
        <v>93.06</v>
      </c>
      <c r="BK138" s="136">
        <v>103.34</v>
      </c>
      <c r="BM138" s="139">
        <v>22.414671095471768</v>
      </c>
      <c r="BN138" s="139">
        <v>15.621968064054341</v>
      </c>
      <c r="BO138" s="139">
        <v>22.414671095471768</v>
      </c>
      <c r="BP138" s="139">
        <v>29.403424646101964</v>
      </c>
      <c r="BQ138" s="139">
        <v>27.136078712567432</v>
      </c>
      <c r="BR138" s="139">
        <v>31.330216012422188</v>
      </c>
      <c r="BS138" s="139">
        <v>35.355883109933004</v>
      </c>
      <c r="BT138" s="139">
        <v>53.048194605659234</v>
      </c>
      <c r="BU138" s="139">
        <v>48.254971148161331</v>
      </c>
      <c r="BV138" s="139">
        <v>42.786675470133979</v>
      </c>
    </row>
    <row r="139" spans="1:74" x14ac:dyDescent="0.25">
      <c r="A139" s="137">
        <v>42837</v>
      </c>
      <c r="B139" s="138">
        <v>0.49583333333333335</v>
      </c>
      <c r="C139" s="139">
        <v>102.39</v>
      </c>
      <c r="E139" s="140" t="s">
        <v>169</v>
      </c>
      <c r="F139" s="140">
        <v>102.39</v>
      </c>
      <c r="I139" s="139">
        <v>94.11</v>
      </c>
      <c r="J139" s="139">
        <v>96.71</v>
      </c>
      <c r="K139" s="139">
        <v>94.11</v>
      </c>
      <c r="L139" s="139">
        <v>94.73</v>
      </c>
      <c r="M139" s="139">
        <v>93.98</v>
      </c>
      <c r="N139" s="139">
        <v>92.9</v>
      </c>
      <c r="O139" s="139">
        <v>92.5</v>
      </c>
      <c r="P139" s="139">
        <v>105.13</v>
      </c>
      <c r="Q139" s="139">
        <v>92.92</v>
      </c>
      <c r="S139" s="139">
        <v>22.415671026406585</v>
      </c>
      <c r="T139" s="139">
        <v>15.623787639234978</v>
      </c>
      <c r="U139" s="139">
        <v>22.415671026406585</v>
      </c>
      <c r="V139" s="139">
        <v>29.404578019696324</v>
      </c>
      <c r="W139" s="139">
        <v>27.137049155506229</v>
      </c>
      <c r="X139" s="139">
        <v>31.330972793046406</v>
      </c>
      <c r="Y139" s="139">
        <v>35.356573302065307</v>
      </c>
      <c r="Z139" s="139">
        <v>53.060841095641464</v>
      </c>
      <c r="AA139" s="139">
        <v>48.2557314219262</v>
      </c>
      <c r="AB139" s="139">
        <v>42.793404771904257</v>
      </c>
      <c r="BB139" s="136">
        <v>94.11</v>
      </c>
      <c r="BC139" s="136">
        <v>96.71</v>
      </c>
      <c r="BD139" s="136">
        <v>94.11</v>
      </c>
      <c r="BE139" s="136">
        <v>94.73</v>
      </c>
      <c r="BF139" s="136">
        <v>93.98</v>
      </c>
      <c r="BG139" s="136">
        <v>92.9</v>
      </c>
      <c r="BH139" s="136">
        <v>92.5</v>
      </c>
      <c r="BI139" s="136">
        <v>105.13</v>
      </c>
      <c r="BJ139" s="136">
        <v>92.92</v>
      </c>
      <c r="BK139" s="136">
        <v>102.39</v>
      </c>
      <c r="BM139" s="139">
        <v>22.415671026406585</v>
      </c>
      <c r="BN139" s="139">
        <v>15.623787639234978</v>
      </c>
      <c r="BO139" s="139">
        <v>22.415671026406585</v>
      </c>
      <c r="BP139" s="139">
        <v>29.404578019696324</v>
      </c>
      <c r="BQ139" s="139">
        <v>27.137049155506229</v>
      </c>
      <c r="BR139" s="139">
        <v>31.330972793046406</v>
      </c>
      <c r="BS139" s="139">
        <v>35.356573302065307</v>
      </c>
      <c r="BT139" s="139">
        <v>53.060841095641464</v>
      </c>
      <c r="BU139" s="139">
        <v>48.2557314219262</v>
      </c>
      <c r="BV139" s="139">
        <v>42.793404771904257</v>
      </c>
    </row>
    <row r="140" spans="1:74" x14ac:dyDescent="0.25">
      <c r="A140" s="137">
        <v>42837</v>
      </c>
      <c r="B140" s="138">
        <v>0.49618055555555557</v>
      </c>
      <c r="C140" s="139">
        <v>101.56</v>
      </c>
      <c r="E140" s="140" t="s">
        <v>169</v>
      </c>
      <c r="F140" s="140">
        <v>101.56</v>
      </c>
      <c r="I140" s="139">
        <v>93.93</v>
      </c>
      <c r="J140" s="139">
        <v>96.41</v>
      </c>
      <c r="K140" s="139">
        <v>93.93</v>
      </c>
      <c r="L140" s="139">
        <v>94.61</v>
      </c>
      <c r="M140" s="139">
        <v>93.72</v>
      </c>
      <c r="N140" s="139">
        <v>92.81</v>
      </c>
      <c r="O140" s="139">
        <v>92.42</v>
      </c>
      <c r="P140" s="139">
        <v>105.4</v>
      </c>
      <c r="Q140" s="139">
        <v>92.89</v>
      </c>
      <c r="S140" s="139">
        <v>22.416630360776921</v>
      </c>
      <c r="T140" s="139">
        <v>15.625485765597929</v>
      </c>
      <c r="U140" s="139">
        <v>22.416630360776921</v>
      </c>
      <c r="V140" s="139">
        <v>29.405699960658215</v>
      </c>
      <c r="W140" s="139">
        <v>27.137963205614302</v>
      </c>
      <c r="X140" s="139">
        <v>31.33171405208898</v>
      </c>
      <c r="Y140" s="139">
        <v>35.357250896771482</v>
      </c>
      <c r="Z140" s="139">
        <v>53.074298769661098</v>
      </c>
      <c r="AA140" s="139">
        <v>48.256486462003281</v>
      </c>
      <c r="AB140" s="139">
        <v>42.798963430540667</v>
      </c>
      <c r="BB140" s="136">
        <v>93.93</v>
      </c>
      <c r="BC140" s="136">
        <v>96.41</v>
      </c>
      <c r="BD140" s="136">
        <v>93.93</v>
      </c>
      <c r="BE140" s="136">
        <v>94.61</v>
      </c>
      <c r="BF140" s="136">
        <v>93.72</v>
      </c>
      <c r="BG140" s="136">
        <v>92.81</v>
      </c>
      <c r="BH140" s="136">
        <v>92.42</v>
      </c>
      <c r="BI140" s="136">
        <v>105.4</v>
      </c>
      <c r="BJ140" s="136">
        <v>92.89</v>
      </c>
      <c r="BK140" s="136">
        <v>101.56</v>
      </c>
      <c r="BM140" s="139">
        <v>22.416630360776921</v>
      </c>
      <c r="BN140" s="139">
        <v>15.625485765597929</v>
      </c>
      <c r="BO140" s="139">
        <v>22.416630360776921</v>
      </c>
      <c r="BP140" s="139">
        <v>29.405699960658215</v>
      </c>
      <c r="BQ140" s="139">
        <v>27.137963205614302</v>
      </c>
      <c r="BR140" s="139">
        <v>31.33171405208898</v>
      </c>
      <c r="BS140" s="139">
        <v>35.357250896771482</v>
      </c>
      <c r="BT140" s="139">
        <v>53.074298769661098</v>
      </c>
      <c r="BU140" s="139">
        <v>48.256486462003281</v>
      </c>
      <c r="BV140" s="139">
        <v>42.798963430540667</v>
      </c>
    </row>
    <row r="141" spans="1:74" x14ac:dyDescent="0.25">
      <c r="A141" s="137">
        <v>42837</v>
      </c>
      <c r="B141" s="138">
        <v>0.49652777777777773</v>
      </c>
      <c r="C141" s="139">
        <v>100.83</v>
      </c>
      <c r="E141" s="140" t="s">
        <v>169</v>
      </c>
      <c r="F141" s="140">
        <v>100.83</v>
      </c>
      <c r="I141" s="139">
        <v>93.81</v>
      </c>
      <c r="J141" s="139">
        <v>96.09</v>
      </c>
      <c r="K141" s="139">
        <v>93.81</v>
      </c>
      <c r="L141" s="139">
        <v>94.46</v>
      </c>
      <c r="M141" s="139">
        <v>93.63</v>
      </c>
      <c r="N141" s="139">
        <v>92.7</v>
      </c>
      <c r="O141" s="139">
        <v>92.35</v>
      </c>
      <c r="P141" s="139">
        <v>105.53</v>
      </c>
      <c r="Q141" s="139">
        <v>93.12</v>
      </c>
      <c r="S141" s="139">
        <v>22.417563550622337</v>
      </c>
      <c r="T141" s="139">
        <v>15.627063267909616</v>
      </c>
      <c r="U141" s="139">
        <v>22.417563550622337</v>
      </c>
      <c r="V141" s="139">
        <v>29.406783812710625</v>
      </c>
      <c r="W141" s="139">
        <v>27.138858508541318</v>
      </c>
      <c r="X141" s="139">
        <v>31.332436771974354</v>
      </c>
      <c r="Y141" s="139">
        <v>35.357917657487562</v>
      </c>
      <c r="Z141" s="139">
        <v>53.088165370184356</v>
      </c>
      <c r="AA141" s="139">
        <v>48.257282566366804</v>
      </c>
      <c r="AB141" s="139">
        <v>42.803662047093489</v>
      </c>
      <c r="BB141" s="136">
        <v>93.81</v>
      </c>
      <c r="BC141" s="136">
        <v>96.09</v>
      </c>
      <c r="BD141" s="136">
        <v>93.81</v>
      </c>
      <c r="BE141" s="136">
        <v>94.46</v>
      </c>
      <c r="BF141" s="136">
        <v>93.63</v>
      </c>
      <c r="BG141" s="136">
        <v>92.7</v>
      </c>
      <c r="BH141" s="136">
        <v>92.35</v>
      </c>
      <c r="BI141" s="136">
        <v>105.53</v>
      </c>
      <c r="BJ141" s="136">
        <v>93.12</v>
      </c>
      <c r="BK141" s="136">
        <v>100.83</v>
      </c>
      <c r="BM141" s="139">
        <v>22.417563550622337</v>
      </c>
      <c r="BN141" s="139">
        <v>15.627063267909616</v>
      </c>
      <c r="BO141" s="139">
        <v>22.417563550622337</v>
      </c>
      <c r="BP141" s="139">
        <v>29.406783812710625</v>
      </c>
      <c r="BQ141" s="139">
        <v>27.138858508541318</v>
      </c>
      <c r="BR141" s="139">
        <v>31.332436771974354</v>
      </c>
      <c r="BS141" s="139">
        <v>35.357917657487562</v>
      </c>
      <c r="BT141" s="139">
        <v>53.088165370184356</v>
      </c>
      <c r="BU141" s="139">
        <v>48.257282566366804</v>
      </c>
      <c r="BV141" s="139">
        <v>42.803662047093489</v>
      </c>
    </row>
    <row r="142" spans="1:74" x14ac:dyDescent="0.25">
      <c r="A142" s="137">
        <v>42837</v>
      </c>
      <c r="B142" s="138">
        <v>0.49687500000000001</v>
      </c>
      <c r="C142" s="139">
        <v>100.17</v>
      </c>
      <c r="E142" s="140" t="s">
        <v>169</v>
      </c>
      <c r="F142" s="140">
        <v>100.17</v>
      </c>
      <c r="I142" s="139">
        <v>93.69</v>
      </c>
      <c r="J142" s="139">
        <v>95.97</v>
      </c>
      <c r="K142" s="139">
        <v>93.69</v>
      </c>
      <c r="L142" s="139">
        <v>94.33</v>
      </c>
      <c r="M142" s="139">
        <v>93.51</v>
      </c>
      <c r="N142" s="139">
        <v>92.64</v>
      </c>
      <c r="O142" s="139">
        <v>92.27</v>
      </c>
      <c r="P142" s="139">
        <v>105.55</v>
      </c>
      <c r="Q142" s="139">
        <v>100.1</v>
      </c>
      <c r="S142" s="139">
        <v>22.418471308453721</v>
      </c>
      <c r="T142" s="139">
        <v>15.628597778903812</v>
      </c>
      <c r="U142" s="139">
        <v>22.418471308453721</v>
      </c>
      <c r="V142" s="139">
        <v>29.407835701930509</v>
      </c>
      <c r="W142" s="139">
        <v>27.139729411978013</v>
      </c>
      <c r="X142" s="139">
        <v>31.333149575771156</v>
      </c>
      <c r="Y142" s="139">
        <v>35.358572248449065</v>
      </c>
      <c r="Z142" s="139">
        <v>53.102095976027506</v>
      </c>
      <c r="AA142" s="139">
        <v>48.261254207540425</v>
      </c>
      <c r="AB142" s="139">
        <v>42.807698222244731</v>
      </c>
      <c r="BB142" s="136">
        <v>93.69</v>
      </c>
      <c r="BC142" s="136">
        <v>95.97</v>
      </c>
      <c r="BD142" s="136">
        <v>93.69</v>
      </c>
      <c r="BE142" s="136">
        <v>94.33</v>
      </c>
      <c r="BF142" s="136">
        <v>93.51</v>
      </c>
      <c r="BG142" s="136">
        <v>92.64</v>
      </c>
      <c r="BH142" s="136">
        <v>92.27</v>
      </c>
      <c r="BI142" s="136">
        <v>105.55</v>
      </c>
      <c r="BJ142" s="136">
        <v>100.1</v>
      </c>
      <c r="BK142" s="136">
        <v>100.17</v>
      </c>
      <c r="BM142" s="139">
        <v>22.418471308453721</v>
      </c>
      <c r="BN142" s="139">
        <v>15.628597778903812</v>
      </c>
      <c r="BO142" s="139">
        <v>22.418471308453721</v>
      </c>
      <c r="BP142" s="139">
        <v>29.407835701930509</v>
      </c>
      <c r="BQ142" s="139">
        <v>27.139729411978013</v>
      </c>
      <c r="BR142" s="139">
        <v>31.333149575771156</v>
      </c>
      <c r="BS142" s="139">
        <v>35.358572248449065</v>
      </c>
      <c r="BT142" s="139">
        <v>53.102095976027506</v>
      </c>
      <c r="BU142" s="139">
        <v>48.261254207540425</v>
      </c>
      <c r="BV142" s="139">
        <v>42.807698222244731</v>
      </c>
    </row>
    <row r="143" spans="1:74" x14ac:dyDescent="0.25">
      <c r="A143" s="137">
        <v>42837</v>
      </c>
      <c r="B143" s="138">
        <v>0.49722222222222223</v>
      </c>
      <c r="C143" s="139">
        <v>99.57</v>
      </c>
      <c r="E143" s="140" t="s">
        <v>169</v>
      </c>
      <c r="F143" s="140">
        <v>99.57</v>
      </c>
      <c r="I143" s="139">
        <v>93.58</v>
      </c>
      <c r="J143" s="139">
        <v>95.75</v>
      </c>
      <c r="K143" s="139">
        <v>93.58</v>
      </c>
      <c r="L143" s="139">
        <v>94.22</v>
      </c>
      <c r="M143" s="139">
        <v>93.43</v>
      </c>
      <c r="N143" s="139">
        <v>92.62</v>
      </c>
      <c r="O143" s="139">
        <v>92.33</v>
      </c>
      <c r="P143" s="139">
        <v>105.56</v>
      </c>
      <c r="Q143" s="139">
        <v>103.73</v>
      </c>
      <c r="S143" s="139">
        <v>22.419356362932881</v>
      </c>
      <c r="T143" s="139">
        <v>15.630056492410812</v>
      </c>
      <c r="U143" s="139">
        <v>22.419356362932881</v>
      </c>
      <c r="V143" s="139">
        <v>29.40886128301992</v>
      </c>
      <c r="W143" s="139">
        <v>27.140584419635559</v>
      </c>
      <c r="X143" s="139">
        <v>31.333859104531999</v>
      </c>
      <c r="Y143" s="139">
        <v>35.359235945677931</v>
      </c>
      <c r="Z143" s="139">
        <v>53.11605869523369</v>
      </c>
      <c r="AA143" s="139">
        <v>48.270415779652282</v>
      </c>
      <c r="AB143" s="139">
        <v>42.81121358384415</v>
      </c>
      <c r="BB143" s="136">
        <v>93.58</v>
      </c>
      <c r="BC143" s="136">
        <v>95.75</v>
      </c>
      <c r="BD143" s="136">
        <v>93.58</v>
      </c>
      <c r="BE143" s="136">
        <v>94.22</v>
      </c>
      <c r="BF143" s="136">
        <v>93.43</v>
      </c>
      <c r="BG143" s="136">
        <v>92.62</v>
      </c>
      <c r="BH143" s="136">
        <v>92.33</v>
      </c>
      <c r="BI143" s="136">
        <v>105.56</v>
      </c>
      <c r="BJ143" s="136">
        <v>103.73</v>
      </c>
      <c r="BK143" s="136">
        <v>99.57</v>
      </c>
      <c r="BM143" s="139">
        <v>22.419356362932881</v>
      </c>
      <c r="BN143" s="139">
        <v>15.630056492410812</v>
      </c>
      <c r="BO143" s="139">
        <v>22.419356362932881</v>
      </c>
      <c r="BP143" s="139">
        <v>29.40886128301992</v>
      </c>
      <c r="BQ143" s="139">
        <v>27.140584419635559</v>
      </c>
      <c r="BR143" s="139">
        <v>31.333859104531999</v>
      </c>
      <c r="BS143" s="139">
        <v>35.359235945677931</v>
      </c>
      <c r="BT143" s="139">
        <v>53.11605869523369</v>
      </c>
      <c r="BU143" s="139">
        <v>48.270415779652282</v>
      </c>
      <c r="BV143" s="139">
        <v>42.81121358384415</v>
      </c>
    </row>
    <row r="144" spans="1:74" x14ac:dyDescent="0.25">
      <c r="A144" s="137">
        <v>42837</v>
      </c>
      <c r="B144" s="138">
        <v>0.49756944444444445</v>
      </c>
      <c r="C144" s="139">
        <v>99.01</v>
      </c>
      <c r="E144" s="140" t="s">
        <v>169</v>
      </c>
      <c r="F144" s="140">
        <v>99.01</v>
      </c>
      <c r="I144" s="139">
        <v>93.5</v>
      </c>
      <c r="J144" s="139">
        <v>95.59</v>
      </c>
      <c r="K144" s="139">
        <v>93.5</v>
      </c>
      <c r="L144" s="139">
        <v>94.15</v>
      </c>
      <c r="M144" s="139">
        <v>93.36</v>
      </c>
      <c r="N144" s="139">
        <v>92.61</v>
      </c>
      <c r="O144" s="139">
        <v>92.3</v>
      </c>
      <c r="P144" s="139">
        <v>105.49</v>
      </c>
      <c r="Q144" s="139">
        <v>104.82</v>
      </c>
      <c r="S144" s="139">
        <v>22.420225263347255</v>
      </c>
      <c r="T144" s="139">
        <v>15.631462442826011</v>
      </c>
      <c r="U144" s="139">
        <v>22.420225263347255</v>
      </c>
      <c r="V144" s="139">
        <v>29.40987046620176</v>
      </c>
      <c r="W144" s="139">
        <v>27.141425756666095</v>
      </c>
      <c r="X144" s="139">
        <v>31.334567001421977</v>
      </c>
      <c r="Y144" s="139">
        <v>35.359895074047209</v>
      </c>
      <c r="Z144" s="139">
        <v>53.129798165999205</v>
      </c>
      <c r="AA144" s="139">
        <v>48.282191026071764</v>
      </c>
      <c r="AB144" s="139">
        <v>42.814303665844839</v>
      </c>
      <c r="BB144" s="136">
        <v>93.5</v>
      </c>
      <c r="BC144" s="136">
        <v>95.59</v>
      </c>
      <c r="BD144" s="136">
        <v>93.5</v>
      </c>
      <c r="BE144" s="136">
        <v>94.15</v>
      </c>
      <c r="BF144" s="136">
        <v>93.36</v>
      </c>
      <c r="BG144" s="136">
        <v>92.61</v>
      </c>
      <c r="BH144" s="136">
        <v>92.3</v>
      </c>
      <c r="BI144" s="136">
        <v>105.49</v>
      </c>
      <c r="BJ144" s="136">
        <v>104.82</v>
      </c>
      <c r="BK144" s="136">
        <v>99.01</v>
      </c>
      <c r="BM144" s="139">
        <v>22.420225263347255</v>
      </c>
      <c r="BN144" s="139">
        <v>15.631462442826011</v>
      </c>
      <c r="BO144" s="139">
        <v>22.420225263347255</v>
      </c>
      <c r="BP144" s="139">
        <v>29.40987046620176</v>
      </c>
      <c r="BQ144" s="139">
        <v>27.141425756666095</v>
      </c>
      <c r="BR144" s="139">
        <v>31.334567001421977</v>
      </c>
      <c r="BS144" s="139">
        <v>35.359895074047209</v>
      </c>
      <c r="BT144" s="139">
        <v>53.129798165999205</v>
      </c>
      <c r="BU144" s="139">
        <v>48.282191026071764</v>
      </c>
      <c r="BV144" s="139">
        <v>42.814303665844839</v>
      </c>
    </row>
    <row r="145" spans="1:74" x14ac:dyDescent="0.25">
      <c r="A145" s="137">
        <v>42837</v>
      </c>
      <c r="B145" s="138">
        <v>0.49791666666666662</v>
      </c>
      <c r="C145" s="139">
        <v>98.52</v>
      </c>
      <c r="E145" s="140" t="s">
        <v>169</v>
      </c>
      <c r="F145" s="140">
        <v>98.52</v>
      </c>
      <c r="I145" s="139">
        <v>93.45</v>
      </c>
      <c r="J145" s="139">
        <v>95.48</v>
      </c>
      <c r="K145" s="139">
        <v>93.45</v>
      </c>
      <c r="L145" s="139">
        <v>94.08</v>
      </c>
      <c r="M145" s="139">
        <v>93.32</v>
      </c>
      <c r="N145" s="139">
        <v>92.61</v>
      </c>
      <c r="O145" s="139">
        <v>92.25</v>
      </c>
      <c r="P145" s="139">
        <v>105.38</v>
      </c>
      <c r="Q145" s="139">
        <v>105.15</v>
      </c>
      <c r="S145" s="139">
        <v>22.421084217540834</v>
      </c>
      <c r="T145" s="139">
        <v>15.632833229911975</v>
      </c>
      <c r="U145" s="139">
        <v>22.421084217540834</v>
      </c>
      <c r="V145" s="139">
        <v>29.410863513660438</v>
      </c>
      <c r="W145" s="139">
        <v>27.142259380272371</v>
      </c>
      <c r="X145" s="139">
        <v>31.335274898311955</v>
      </c>
      <c r="Y145" s="139">
        <v>35.360546657436437</v>
      </c>
      <c r="Z145" s="139">
        <v>53.1431940076233</v>
      </c>
      <c r="AA145" s="139">
        <v>48.294895889599509</v>
      </c>
      <c r="AB145" s="139">
        <v>42.817064053041243</v>
      </c>
      <c r="BB145" s="136">
        <v>93.45</v>
      </c>
      <c r="BC145" s="136">
        <v>95.48</v>
      </c>
      <c r="BD145" s="136">
        <v>93.45</v>
      </c>
      <c r="BE145" s="136">
        <v>94.08</v>
      </c>
      <c r="BF145" s="136">
        <v>93.32</v>
      </c>
      <c r="BG145" s="136">
        <v>92.61</v>
      </c>
      <c r="BH145" s="136">
        <v>92.25</v>
      </c>
      <c r="BI145" s="136">
        <v>105.38</v>
      </c>
      <c r="BJ145" s="136">
        <v>105.15</v>
      </c>
      <c r="BK145" s="136">
        <v>98.52</v>
      </c>
      <c r="BM145" s="139">
        <v>22.421084217540834</v>
      </c>
      <c r="BN145" s="139">
        <v>15.632833229911975</v>
      </c>
      <c r="BO145" s="139">
        <v>22.421084217540834</v>
      </c>
      <c r="BP145" s="139">
        <v>29.410863513660438</v>
      </c>
      <c r="BQ145" s="139">
        <v>27.142259380272371</v>
      </c>
      <c r="BR145" s="139">
        <v>31.335274898311955</v>
      </c>
      <c r="BS145" s="139">
        <v>35.360546657436437</v>
      </c>
      <c r="BT145" s="139">
        <v>53.1431940076233</v>
      </c>
      <c r="BU145" s="139">
        <v>48.294895889599509</v>
      </c>
      <c r="BV145" s="139">
        <v>42.817064053041243</v>
      </c>
    </row>
    <row r="146" spans="1:74" x14ac:dyDescent="0.25">
      <c r="A146" s="137">
        <v>42837</v>
      </c>
      <c r="B146" s="138">
        <v>0.4982638888888889</v>
      </c>
      <c r="C146" s="139">
        <v>98.06</v>
      </c>
      <c r="E146" s="140" t="s">
        <v>169</v>
      </c>
      <c r="F146" s="140">
        <v>98.06</v>
      </c>
      <c r="I146" s="139">
        <v>93.37</v>
      </c>
      <c r="J146" s="139">
        <v>95.4</v>
      </c>
      <c r="K146" s="139">
        <v>93.37</v>
      </c>
      <c r="L146" s="139">
        <v>94.05</v>
      </c>
      <c r="M146" s="139">
        <v>93.27</v>
      </c>
      <c r="N146" s="139">
        <v>92.56</v>
      </c>
      <c r="O146" s="139">
        <v>92.21</v>
      </c>
      <c r="P146" s="139">
        <v>105.27</v>
      </c>
      <c r="Q146" s="139">
        <v>105.29</v>
      </c>
      <c r="S146" s="139">
        <v>22.421927494053527</v>
      </c>
      <c r="T146" s="139">
        <v>15.634178997313938</v>
      </c>
      <c r="U146" s="139">
        <v>22.421927494053527</v>
      </c>
      <c r="V146" s="139">
        <v>29.411849725028496</v>
      </c>
      <c r="W146" s="139">
        <v>27.143083461468134</v>
      </c>
      <c r="X146" s="139">
        <v>31.335974691973242</v>
      </c>
      <c r="Y146" s="139">
        <v>35.361192267073243</v>
      </c>
      <c r="Z146" s="139">
        <v>53.156254814395297</v>
      </c>
      <c r="AA146" s="139">
        <v>48.308016982316431</v>
      </c>
      <c r="AB146" s="139">
        <v>42.819547014648492</v>
      </c>
      <c r="BB146" s="136">
        <v>93.37</v>
      </c>
      <c r="BC146" s="136">
        <v>95.4</v>
      </c>
      <c r="BD146" s="136">
        <v>93.37</v>
      </c>
      <c r="BE146" s="136">
        <v>94.05</v>
      </c>
      <c r="BF146" s="136">
        <v>93.27</v>
      </c>
      <c r="BG146" s="136">
        <v>92.56</v>
      </c>
      <c r="BH146" s="136">
        <v>92.21</v>
      </c>
      <c r="BI146" s="136">
        <v>105.27</v>
      </c>
      <c r="BJ146" s="136">
        <v>105.29</v>
      </c>
      <c r="BK146" s="136">
        <v>98.06</v>
      </c>
      <c r="BM146" s="139">
        <v>22.421927494053527</v>
      </c>
      <c r="BN146" s="139">
        <v>15.634178997313938</v>
      </c>
      <c r="BO146" s="139">
        <v>22.421927494053527</v>
      </c>
      <c r="BP146" s="139">
        <v>29.411849725028496</v>
      </c>
      <c r="BQ146" s="139">
        <v>27.143083461468134</v>
      </c>
      <c r="BR146" s="139">
        <v>31.335974691973242</v>
      </c>
      <c r="BS146" s="139">
        <v>35.361192267073243</v>
      </c>
      <c r="BT146" s="139">
        <v>53.156254814395297</v>
      </c>
      <c r="BU146" s="139">
        <v>48.308016982316431</v>
      </c>
      <c r="BV146" s="139">
        <v>42.819547014648492</v>
      </c>
    </row>
    <row r="147" spans="1:74" x14ac:dyDescent="0.25">
      <c r="A147" s="137">
        <v>42837</v>
      </c>
      <c r="B147" s="138">
        <v>0.49861111111111112</v>
      </c>
      <c r="C147" s="139">
        <v>97.64</v>
      </c>
      <c r="E147" s="140" t="s">
        <v>169</v>
      </c>
      <c r="F147" s="140">
        <v>97.64</v>
      </c>
      <c r="I147" s="139">
        <v>93.3</v>
      </c>
      <c r="J147" s="139">
        <v>95.31</v>
      </c>
      <c r="K147" s="139">
        <v>93.3</v>
      </c>
      <c r="L147" s="139">
        <v>93.98</v>
      </c>
      <c r="M147" s="139">
        <v>93.23</v>
      </c>
      <c r="N147" s="139">
        <v>92.43</v>
      </c>
      <c r="O147" s="139">
        <v>91.97</v>
      </c>
      <c r="P147" s="139">
        <v>90.62</v>
      </c>
      <c r="Q147" s="139">
        <v>81.59</v>
      </c>
      <c r="S147" s="139">
        <v>22.422757287507245</v>
      </c>
      <c r="T147" s="139">
        <v>15.635497163006852</v>
      </c>
      <c r="U147" s="139">
        <v>22.422757287507245</v>
      </c>
      <c r="V147" s="139">
        <v>29.412820167967293</v>
      </c>
      <c r="W147" s="139">
        <v>27.143899987442079</v>
      </c>
      <c r="X147" s="139">
        <v>31.336653848696535</v>
      </c>
      <c r="Y147" s="139">
        <v>35.361803166903321</v>
      </c>
      <c r="Z147" s="139">
        <v>53.156702496778074</v>
      </c>
      <c r="AA147" s="139">
        <v>48.308072954210601</v>
      </c>
      <c r="AB147" s="139">
        <v>42.8218010981712</v>
      </c>
      <c r="BB147" s="136">
        <v>93.3</v>
      </c>
      <c r="BC147" s="136">
        <v>95.31</v>
      </c>
      <c r="BD147" s="136">
        <v>93.3</v>
      </c>
      <c r="BE147" s="136">
        <v>93.98</v>
      </c>
      <c r="BF147" s="136">
        <v>93.23</v>
      </c>
      <c r="BG147" s="136">
        <v>92.43</v>
      </c>
      <c r="BH147" s="136">
        <v>91.97</v>
      </c>
      <c r="BI147" s="136">
        <v>90.62</v>
      </c>
      <c r="BJ147" s="136">
        <v>81.59</v>
      </c>
      <c r="BK147" s="136">
        <v>97.64</v>
      </c>
      <c r="BM147" s="139">
        <v>22.422757287507245</v>
      </c>
      <c r="BN147" s="139">
        <v>15.635497163006852</v>
      </c>
      <c r="BO147" s="139">
        <v>22.422757287507245</v>
      </c>
      <c r="BP147" s="139">
        <v>29.412820167967293</v>
      </c>
      <c r="BQ147" s="139">
        <v>27.143899987442079</v>
      </c>
      <c r="BR147" s="139">
        <v>31.336653848696535</v>
      </c>
      <c r="BS147" s="139">
        <v>35.361803166903321</v>
      </c>
      <c r="BT147" s="139">
        <v>53.156702496778074</v>
      </c>
      <c r="BU147" s="139">
        <v>48.308072954210601</v>
      </c>
      <c r="BV147" s="139">
        <v>42.8218010981712</v>
      </c>
    </row>
    <row r="148" spans="1:74" x14ac:dyDescent="0.25">
      <c r="A148" s="137">
        <v>42837</v>
      </c>
      <c r="B148" s="138">
        <v>0.49895833333333334</v>
      </c>
      <c r="C148" s="139">
        <v>96.41</v>
      </c>
      <c r="E148" s="140" t="s">
        <v>169</v>
      </c>
      <c r="F148" s="140">
        <v>96.41</v>
      </c>
      <c r="I148" s="139">
        <v>93.04</v>
      </c>
      <c r="J148" s="139">
        <v>95.19</v>
      </c>
      <c r="K148" s="139">
        <v>93.04</v>
      </c>
      <c r="L148" s="139">
        <v>93.82</v>
      </c>
      <c r="M148" s="139">
        <v>93.09</v>
      </c>
      <c r="N148" s="139">
        <v>92.23</v>
      </c>
      <c r="O148" s="139">
        <v>91.94</v>
      </c>
      <c r="P148" s="139">
        <v>44.35</v>
      </c>
      <c r="Q148" s="139">
        <v>36.99</v>
      </c>
      <c r="S148" s="139">
        <v>22.423538861328566</v>
      </c>
      <c r="T148" s="139">
        <v>15.636779405025111</v>
      </c>
      <c r="U148" s="139">
        <v>22.423538861328566</v>
      </c>
      <c r="V148" s="139">
        <v>29.413755509037475</v>
      </c>
      <c r="W148" s="139">
        <v>27.144690611461716</v>
      </c>
      <c r="X148" s="139">
        <v>31.337302438332028</v>
      </c>
      <c r="Y148" s="139">
        <v>35.362409861328551</v>
      </c>
      <c r="Z148" s="139">
        <v>53.156702507345521</v>
      </c>
      <c r="AA148" s="139">
        <v>48.308072956151356</v>
      </c>
      <c r="AB148" s="139">
        <v>42.823499224534153</v>
      </c>
      <c r="BB148" s="136">
        <v>93.04</v>
      </c>
      <c r="BC148" s="136">
        <v>95.19</v>
      </c>
      <c r="BD148" s="136">
        <v>93.04</v>
      </c>
      <c r="BE148" s="136">
        <v>93.82</v>
      </c>
      <c r="BF148" s="136">
        <v>93.09</v>
      </c>
      <c r="BG148" s="136">
        <v>92.23</v>
      </c>
      <c r="BH148" s="136">
        <v>91.94</v>
      </c>
      <c r="BI148" s="136">
        <v>44.35</v>
      </c>
      <c r="BJ148" s="136">
        <v>36.99</v>
      </c>
      <c r="BK148" s="136">
        <v>96.41</v>
      </c>
      <c r="BM148" s="139">
        <v>22.423538861328566</v>
      </c>
      <c r="BN148" s="139">
        <v>15.636779405025111</v>
      </c>
      <c r="BO148" s="139">
        <v>22.423538861328566</v>
      </c>
      <c r="BP148" s="139">
        <v>29.413755509037475</v>
      </c>
      <c r="BQ148" s="139">
        <v>27.144690611461716</v>
      </c>
      <c r="BR148" s="139">
        <v>31.337302438332028</v>
      </c>
      <c r="BS148" s="139">
        <v>35.362409861328551</v>
      </c>
      <c r="BT148" s="139">
        <v>53.156702507345521</v>
      </c>
      <c r="BU148" s="139">
        <v>48.308072956151356</v>
      </c>
      <c r="BV148" s="139">
        <v>42.823499224534153</v>
      </c>
    </row>
    <row r="149" spans="1:74" x14ac:dyDescent="0.25">
      <c r="A149" s="137">
        <v>42837</v>
      </c>
      <c r="B149" s="138">
        <v>0.4993055555555555</v>
      </c>
      <c r="C149" s="139">
        <v>94.01</v>
      </c>
      <c r="E149" s="140" t="s">
        <v>169</v>
      </c>
      <c r="F149" s="140">
        <v>94.01</v>
      </c>
      <c r="I149" s="139">
        <v>92.66</v>
      </c>
      <c r="J149" s="139">
        <v>94.91</v>
      </c>
      <c r="K149" s="139">
        <v>92.66</v>
      </c>
      <c r="L149" s="139">
        <v>93.41</v>
      </c>
      <c r="M149" s="139">
        <v>92.69</v>
      </c>
      <c r="N149" s="139">
        <v>92.02</v>
      </c>
      <c r="O149" s="139">
        <v>91.62</v>
      </c>
      <c r="P149" s="139">
        <v>32.729999999999997</v>
      </c>
      <c r="Q149" s="139">
        <v>32.450000000000003</v>
      </c>
      <c r="S149" s="139">
        <v>22.424254955278204</v>
      </c>
      <c r="T149" s="139">
        <v>15.637981586425115</v>
      </c>
      <c r="U149" s="139">
        <v>22.424254955278204</v>
      </c>
      <c r="V149" s="139">
        <v>29.414606588291672</v>
      </c>
      <c r="W149" s="139">
        <v>27.145411669137477</v>
      </c>
      <c r="X149" s="139">
        <v>31.337920412048749</v>
      </c>
      <c r="Y149" s="139">
        <v>35.362973460056637</v>
      </c>
      <c r="Z149" s="139">
        <v>53.156702508073252</v>
      </c>
      <c r="AA149" s="139">
        <v>48.308072956833648</v>
      </c>
      <c r="AB149" s="139">
        <v>42.824476394262042</v>
      </c>
      <c r="BB149" s="136">
        <v>92.66</v>
      </c>
      <c r="BC149" s="136">
        <v>94.91</v>
      </c>
      <c r="BD149" s="136">
        <v>92.66</v>
      </c>
      <c r="BE149" s="136">
        <v>93.41</v>
      </c>
      <c r="BF149" s="136">
        <v>92.69</v>
      </c>
      <c r="BG149" s="136">
        <v>92.02</v>
      </c>
      <c r="BH149" s="136">
        <v>91.62</v>
      </c>
      <c r="BI149" s="136">
        <v>32.729999999999997</v>
      </c>
      <c r="BJ149" s="136">
        <v>32.450000000000003</v>
      </c>
      <c r="BK149" s="136">
        <v>94.01</v>
      </c>
      <c r="BM149" s="139">
        <v>22.424254955278204</v>
      </c>
      <c r="BN149" s="139">
        <v>15.637981586425115</v>
      </c>
      <c r="BO149" s="139">
        <v>22.424254955278204</v>
      </c>
      <c r="BP149" s="139">
        <v>29.414606588291672</v>
      </c>
      <c r="BQ149" s="139">
        <v>27.145411669137477</v>
      </c>
      <c r="BR149" s="139">
        <v>31.337920412048749</v>
      </c>
      <c r="BS149" s="139">
        <v>35.362973460056637</v>
      </c>
      <c r="BT149" s="139">
        <v>53.156702508073252</v>
      </c>
      <c r="BU149" s="139">
        <v>48.308072956833648</v>
      </c>
      <c r="BV149" s="139">
        <v>42.824476394262042</v>
      </c>
    </row>
    <row r="150" spans="1:74" x14ac:dyDescent="0.25">
      <c r="A150" s="137">
        <v>42837</v>
      </c>
      <c r="B150" s="138">
        <v>0.49965277777777778</v>
      </c>
      <c r="C150" s="139">
        <v>90.96</v>
      </c>
      <c r="E150" s="140" t="s">
        <v>169</v>
      </c>
      <c r="F150" s="140">
        <v>90.96</v>
      </c>
      <c r="I150" s="139">
        <v>92.28</v>
      </c>
      <c r="J150" s="139">
        <v>92.63</v>
      </c>
      <c r="K150" s="139">
        <v>92.28</v>
      </c>
      <c r="L150" s="139">
        <v>92.95</v>
      </c>
      <c r="M150" s="139">
        <v>92.31</v>
      </c>
      <c r="N150" s="139">
        <v>90.59</v>
      </c>
      <c r="O150" s="139">
        <v>90.88</v>
      </c>
      <c r="P150" s="139">
        <v>32.89</v>
      </c>
      <c r="Q150" s="139">
        <v>32.03</v>
      </c>
      <c r="S150" s="139">
        <v>22.424911055227714</v>
      </c>
      <c r="T150" s="139">
        <v>15.638692750818675</v>
      </c>
      <c r="U150" s="139">
        <v>22.424911055227714</v>
      </c>
      <c r="V150" s="139">
        <v>29.415372132022512</v>
      </c>
      <c r="W150" s="139">
        <v>27.146072316954569</v>
      </c>
      <c r="X150" s="139">
        <v>31.338365012607678</v>
      </c>
      <c r="Y150" s="139">
        <v>35.363448762453466</v>
      </c>
      <c r="Z150" s="139">
        <v>53.156702508828289</v>
      </c>
      <c r="AA150" s="139">
        <v>48.308072957453049</v>
      </c>
      <c r="AB150" s="139">
        <v>42.824960533190172</v>
      </c>
      <c r="BB150" s="136">
        <v>92.28</v>
      </c>
      <c r="BC150" s="136">
        <v>92.63</v>
      </c>
      <c r="BD150" s="136">
        <v>92.28</v>
      </c>
      <c r="BE150" s="136">
        <v>92.95</v>
      </c>
      <c r="BF150" s="136">
        <v>92.31</v>
      </c>
      <c r="BG150" s="136">
        <v>90.59</v>
      </c>
      <c r="BH150" s="136">
        <v>90.88</v>
      </c>
      <c r="BI150" s="136">
        <v>32.89</v>
      </c>
      <c r="BJ150" s="136">
        <v>32.03</v>
      </c>
      <c r="BK150" s="136">
        <v>90.96</v>
      </c>
      <c r="BM150" s="139">
        <v>22.424911055227714</v>
      </c>
      <c r="BN150" s="139">
        <v>15.638692750818675</v>
      </c>
      <c r="BO150" s="139">
        <v>22.424911055227714</v>
      </c>
      <c r="BP150" s="139">
        <v>29.415372132022512</v>
      </c>
      <c r="BQ150" s="139">
        <v>27.146072316954569</v>
      </c>
      <c r="BR150" s="139">
        <v>31.338365012607678</v>
      </c>
      <c r="BS150" s="139">
        <v>35.363448762453466</v>
      </c>
      <c r="BT150" s="139">
        <v>53.156702508828289</v>
      </c>
      <c r="BU150" s="139">
        <v>48.308072957453049</v>
      </c>
      <c r="BV150" s="139">
        <v>42.824960533190172</v>
      </c>
    </row>
    <row r="151" spans="1:74" x14ac:dyDescent="0.25">
      <c r="A151" s="137">
        <v>42837</v>
      </c>
      <c r="B151" s="138">
        <v>0.5</v>
      </c>
      <c r="C151" s="139">
        <v>88.01</v>
      </c>
      <c r="E151" s="140" t="s">
        <v>169</v>
      </c>
      <c r="F151" s="140">
        <v>88.01</v>
      </c>
      <c r="I151" s="139">
        <v>91.91</v>
      </c>
      <c r="J151" s="139">
        <v>92.17</v>
      </c>
      <c r="K151" s="139">
        <v>91.91</v>
      </c>
      <c r="L151" s="139">
        <v>92.26</v>
      </c>
      <c r="M151" s="139">
        <v>91.99</v>
      </c>
      <c r="N151" s="139">
        <v>52.27</v>
      </c>
      <c r="O151" s="139">
        <v>90.38</v>
      </c>
      <c r="P151" s="139">
        <v>32.71</v>
      </c>
      <c r="Q151" s="139">
        <v>31.79</v>
      </c>
      <c r="S151" s="139">
        <v>22.4255135731979</v>
      </c>
      <c r="T151" s="139">
        <v>15.639332441470755</v>
      </c>
      <c r="U151" s="139">
        <v>22.4255135731979</v>
      </c>
      <c r="V151" s="139">
        <v>29.416025217466579</v>
      </c>
      <c r="W151" s="139">
        <v>27.146686036570149</v>
      </c>
      <c r="X151" s="139">
        <v>31.338365078066776</v>
      </c>
      <c r="Y151" s="139">
        <v>35.363872376160536</v>
      </c>
      <c r="Z151" s="139">
        <v>53.156702509552673</v>
      </c>
      <c r="AA151" s="139">
        <v>48.308072958039148</v>
      </c>
      <c r="AB151" s="139">
        <v>42.82520598712825</v>
      </c>
      <c r="BB151" s="136">
        <v>91.91</v>
      </c>
      <c r="BC151" s="136">
        <v>92.17</v>
      </c>
      <c r="BD151" s="136">
        <v>91.91</v>
      </c>
      <c r="BE151" s="136">
        <v>92.26</v>
      </c>
      <c r="BF151" s="136">
        <v>91.99</v>
      </c>
      <c r="BG151" s="136">
        <v>52.27</v>
      </c>
      <c r="BH151" s="136">
        <v>90.38</v>
      </c>
      <c r="BI151" s="136">
        <v>32.71</v>
      </c>
      <c r="BJ151" s="136">
        <v>31.79</v>
      </c>
      <c r="BK151" s="136">
        <v>88.01</v>
      </c>
      <c r="BM151" s="139">
        <v>22.4255135731979</v>
      </c>
      <c r="BN151" s="139">
        <v>15.639332441470755</v>
      </c>
      <c r="BO151" s="139">
        <v>22.4255135731979</v>
      </c>
      <c r="BP151" s="139">
        <v>29.416025217466579</v>
      </c>
      <c r="BQ151" s="139">
        <v>27.146686036570149</v>
      </c>
      <c r="BR151" s="139">
        <v>31.338365078066776</v>
      </c>
      <c r="BS151" s="139">
        <v>35.363872376160536</v>
      </c>
      <c r="BT151" s="139">
        <v>53.156702509552673</v>
      </c>
      <c r="BU151" s="139">
        <v>48.308072958039148</v>
      </c>
      <c r="BV151" s="139">
        <v>42.82520598712825</v>
      </c>
    </row>
    <row r="152" spans="1:74" x14ac:dyDescent="0.25">
      <c r="A152" s="137">
        <v>42837</v>
      </c>
      <c r="B152" s="138">
        <v>0.50034722222222217</v>
      </c>
      <c r="C152" s="139">
        <v>85.1</v>
      </c>
      <c r="E152" s="140" t="s">
        <v>169</v>
      </c>
      <c r="F152" s="140">
        <v>85.1</v>
      </c>
      <c r="I152" s="139">
        <v>91.57</v>
      </c>
      <c r="J152" s="139">
        <v>91.8</v>
      </c>
      <c r="K152" s="139">
        <v>91.57</v>
      </c>
      <c r="L152" s="139">
        <v>81.92</v>
      </c>
      <c r="M152" s="139">
        <v>91.26</v>
      </c>
      <c r="N152" s="139">
        <v>42.05</v>
      </c>
      <c r="O152" s="139">
        <v>89.93</v>
      </c>
      <c r="P152" s="139">
        <v>33.4</v>
      </c>
      <c r="Q152" s="139">
        <v>31.81</v>
      </c>
      <c r="S152" s="139">
        <v>22.426070720464697</v>
      </c>
      <c r="T152" s="139">
        <v>15.639919890248224</v>
      </c>
      <c r="U152" s="139">
        <v>22.426070720464697</v>
      </c>
      <c r="V152" s="139">
        <v>29.416085608158333</v>
      </c>
      <c r="W152" s="139">
        <v>27.147204800778059</v>
      </c>
      <c r="X152" s="139">
        <v>31.33836508428935</v>
      </c>
      <c r="Y152" s="139">
        <v>35.364254294052323</v>
      </c>
      <c r="Z152" s="139">
        <v>53.156702510401793</v>
      </c>
      <c r="AA152" s="139">
        <v>48.308072958627953</v>
      </c>
      <c r="AB152" s="139">
        <v>42.825331581449824</v>
      </c>
      <c r="BB152" s="136">
        <v>91.57</v>
      </c>
      <c r="BC152" s="136">
        <v>91.8</v>
      </c>
      <c r="BD152" s="136">
        <v>91.57</v>
      </c>
      <c r="BE152" s="136">
        <v>81.92</v>
      </c>
      <c r="BF152" s="136">
        <v>91.26</v>
      </c>
      <c r="BG152" s="136">
        <v>42.05</v>
      </c>
      <c r="BH152" s="136">
        <v>89.93</v>
      </c>
      <c r="BI152" s="136">
        <v>33.4</v>
      </c>
      <c r="BJ152" s="136">
        <v>31.81</v>
      </c>
      <c r="BK152" s="136">
        <v>85.1</v>
      </c>
      <c r="BM152" s="139">
        <v>22.426070720464697</v>
      </c>
      <c r="BN152" s="139">
        <v>15.639919890248224</v>
      </c>
      <c r="BO152" s="139">
        <v>22.426070720464697</v>
      </c>
      <c r="BP152" s="139">
        <v>29.416085608158333</v>
      </c>
      <c r="BQ152" s="139">
        <v>27.147204800778059</v>
      </c>
      <c r="BR152" s="139">
        <v>31.33836508428935</v>
      </c>
      <c r="BS152" s="139">
        <v>35.364254294052323</v>
      </c>
      <c r="BT152" s="139">
        <v>53.156702510401793</v>
      </c>
      <c r="BU152" s="139">
        <v>48.308072958627953</v>
      </c>
      <c r="BV152" s="139">
        <v>42.825331581449824</v>
      </c>
    </row>
    <row r="153" spans="1:74" x14ac:dyDescent="0.25">
      <c r="A153" s="137">
        <v>42837</v>
      </c>
      <c r="B153" s="138">
        <v>0.50069444444444444</v>
      </c>
      <c r="C153" s="139">
        <v>82.36</v>
      </c>
      <c r="E153" s="140" t="s">
        <v>169</v>
      </c>
      <c r="F153" s="140">
        <v>82.36</v>
      </c>
      <c r="I153" s="139">
        <v>91.18</v>
      </c>
      <c r="J153" s="139">
        <v>91.45</v>
      </c>
      <c r="K153" s="139">
        <v>91.18</v>
      </c>
      <c r="L153" s="139">
        <v>59.17</v>
      </c>
      <c r="M153" s="139">
        <v>80.760000000000005</v>
      </c>
      <c r="N153" s="139">
        <v>37.04</v>
      </c>
      <c r="O153" s="139">
        <v>89.55</v>
      </c>
      <c r="P153" s="139">
        <v>32.71</v>
      </c>
      <c r="Q153" s="139">
        <v>31.97</v>
      </c>
      <c r="S153" s="139">
        <v>22.426580016158724</v>
      </c>
      <c r="T153" s="139">
        <v>15.640461853705235</v>
      </c>
      <c r="U153" s="139">
        <v>22.426580016158724</v>
      </c>
      <c r="V153" s="139">
        <v>29.41608592876312</v>
      </c>
      <c r="W153" s="139">
        <v>27.147251035686757</v>
      </c>
      <c r="X153" s="139">
        <v>31.338365086252576</v>
      </c>
      <c r="Y153" s="139">
        <v>35.364604215050321</v>
      </c>
      <c r="Z153" s="139">
        <v>53.156702511126177</v>
      </c>
      <c r="AA153" s="139">
        <v>48.308072959238856</v>
      </c>
      <c r="AB153" s="139">
        <v>42.825398411225649</v>
      </c>
      <c r="BB153" s="136">
        <v>91.18</v>
      </c>
      <c r="BC153" s="136">
        <v>91.45</v>
      </c>
      <c r="BD153" s="136">
        <v>91.18</v>
      </c>
      <c r="BE153" s="136">
        <v>59.17</v>
      </c>
      <c r="BF153" s="136">
        <v>80.760000000000005</v>
      </c>
      <c r="BG153" s="136">
        <v>37.04</v>
      </c>
      <c r="BH153" s="136">
        <v>89.55</v>
      </c>
      <c r="BI153" s="136">
        <v>32.71</v>
      </c>
      <c r="BJ153" s="136">
        <v>31.97</v>
      </c>
      <c r="BK153" s="136">
        <v>82.36</v>
      </c>
      <c r="BM153" s="139">
        <v>22.426580016158724</v>
      </c>
      <c r="BN153" s="139">
        <v>15.640461853705235</v>
      </c>
      <c r="BO153" s="139">
        <v>22.426580016158724</v>
      </c>
      <c r="BP153" s="139">
        <v>29.41608592876312</v>
      </c>
      <c r="BQ153" s="139">
        <v>27.147251035686757</v>
      </c>
      <c r="BR153" s="139">
        <v>31.338365086252576</v>
      </c>
      <c r="BS153" s="139">
        <v>35.364604215050321</v>
      </c>
      <c r="BT153" s="139">
        <v>53.156702511126177</v>
      </c>
      <c r="BU153" s="139">
        <v>48.308072959238856</v>
      </c>
      <c r="BV153" s="139">
        <v>42.825398411225649</v>
      </c>
    </row>
    <row r="154" spans="1:74" x14ac:dyDescent="0.25">
      <c r="A154" s="137">
        <v>42837</v>
      </c>
      <c r="B154" s="138">
        <v>0.50104166666666672</v>
      </c>
      <c r="C154" s="139">
        <v>79.75</v>
      </c>
      <c r="E154" s="140" t="s">
        <v>169</v>
      </c>
      <c r="F154" s="140">
        <v>79.75</v>
      </c>
      <c r="I154" s="139">
        <v>90.37</v>
      </c>
      <c r="J154" s="139">
        <v>91.11</v>
      </c>
      <c r="K154" s="139">
        <v>90.37</v>
      </c>
      <c r="L154" s="139">
        <v>44.52</v>
      </c>
      <c r="M154" s="139">
        <v>78.209999999999994</v>
      </c>
      <c r="N154" s="139">
        <v>38.950000000000003</v>
      </c>
      <c r="O154" s="139">
        <v>88.93</v>
      </c>
      <c r="P154" s="139">
        <v>31.78</v>
      </c>
      <c r="Q154" s="139">
        <v>35.1</v>
      </c>
      <c r="S154" s="139">
        <v>22.427002655581305</v>
      </c>
      <c r="T154" s="139">
        <v>15.640963006324274</v>
      </c>
      <c r="U154" s="139">
        <v>22.427002655581305</v>
      </c>
      <c r="V154" s="139">
        <v>29.416085939752421</v>
      </c>
      <c r="W154" s="139">
        <v>27.147276737869337</v>
      </c>
      <c r="X154" s="139">
        <v>31.338365089300261</v>
      </c>
      <c r="Y154" s="139">
        <v>35.364907583215114</v>
      </c>
      <c r="Z154" s="139">
        <v>53.156702511710925</v>
      </c>
      <c r="AA154" s="139">
        <v>48.308072960494798</v>
      </c>
      <c r="AB154" s="139">
        <v>42.825435052452306</v>
      </c>
      <c r="BB154" s="136">
        <v>90.37</v>
      </c>
      <c r="BC154" s="136">
        <v>91.11</v>
      </c>
      <c r="BD154" s="136">
        <v>90.37</v>
      </c>
      <c r="BE154" s="136">
        <v>44.52</v>
      </c>
      <c r="BF154" s="136">
        <v>78.209999999999994</v>
      </c>
      <c r="BG154" s="136">
        <v>38.950000000000003</v>
      </c>
      <c r="BH154" s="136">
        <v>88.93</v>
      </c>
      <c r="BI154" s="136">
        <v>31.78</v>
      </c>
      <c r="BJ154" s="136">
        <v>35.1</v>
      </c>
      <c r="BK154" s="136">
        <v>79.75</v>
      </c>
      <c r="BM154" s="139">
        <v>22.427002655581305</v>
      </c>
      <c r="BN154" s="139">
        <v>15.640963006324274</v>
      </c>
      <c r="BO154" s="139">
        <v>22.427002655581305</v>
      </c>
      <c r="BP154" s="139">
        <v>29.416085939752421</v>
      </c>
      <c r="BQ154" s="139">
        <v>27.147276737869337</v>
      </c>
      <c r="BR154" s="139">
        <v>31.338365089300261</v>
      </c>
      <c r="BS154" s="139">
        <v>35.364907583215114</v>
      </c>
      <c r="BT154" s="139">
        <v>53.156702511710925</v>
      </c>
      <c r="BU154" s="139">
        <v>48.308072960494798</v>
      </c>
      <c r="BV154" s="139">
        <v>42.825435052452306</v>
      </c>
    </row>
    <row r="155" spans="1:74" x14ac:dyDescent="0.25">
      <c r="A155" s="137">
        <v>42837</v>
      </c>
      <c r="B155" s="138">
        <v>0.50138888888888888</v>
      </c>
      <c r="C155" s="139">
        <v>77.33</v>
      </c>
      <c r="E155" s="140" t="s">
        <v>169</v>
      </c>
      <c r="F155" s="140">
        <v>77.33</v>
      </c>
      <c r="I155" s="139">
        <v>72.28</v>
      </c>
      <c r="J155" s="139">
        <v>90.77</v>
      </c>
      <c r="K155" s="139">
        <v>72.28</v>
      </c>
      <c r="L155" s="139">
        <v>41.27</v>
      </c>
      <c r="M155" s="139">
        <v>76.84</v>
      </c>
      <c r="N155" s="139">
        <v>41.26</v>
      </c>
      <c r="O155" s="139">
        <v>86.62</v>
      </c>
      <c r="P155" s="139">
        <v>31.37</v>
      </c>
      <c r="Q155" s="139">
        <v>36.08</v>
      </c>
      <c r="S155" s="139">
        <v>22.427009216580799</v>
      </c>
      <c r="T155" s="139">
        <v>15.641426421235963</v>
      </c>
      <c r="U155" s="139">
        <v>22.427009216580799</v>
      </c>
      <c r="V155" s="139">
        <v>29.416085944952023</v>
      </c>
      <c r="W155" s="139">
        <v>27.14729548651945</v>
      </c>
      <c r="X155" s="139">
        <v>31.338365094487902</v>
      </c>
      <c r="Y155" s="139">
        <v>35.365085808781828</v>
      </c>
      <c r="Z155" s="139">
        <v>53.156702512242994</v>
      </c>
      <c r="AA155" s="139">
        <v>48.308072962068671</v>
      </c>
      <c r="AB155" s="139">
        <v>42.825456040401505</v>
      </c>
      <c r="BB155" s="136">
        <v>72.28</v>
      </c>
      <c r="BC155" s="136">
        <v>90.77</v>
      </c>
      <c r="BD155" s="136">
        <v>72.28</v>
      </c>
      <c r="BE155" s="136">
        <v>41.27</v>
      </c>
      <c r="BF155" s="136">
        <v>76.84</v>
      </c>
      <c r="BG155" s="136">
        <v>41.26</v>
      </c>
      <c r="BH155" s="136">
        <v>86.62</v>
      </c>
      <c r="BI155" s="136">
        <v>31.37</v>
      </c>
      <c r="BJ155" s="136">
        <v>36.08</v>
      </c>
      <c r="BK155" s="136">
        <v>77.33</v>
      </c>
      <c r="BM155" s="139">
        <v>22.427009216580799</v>
      </c>
      <c r="BN155" s="139">
        <v>15.641426421235963</v>
      </c>
      <c r="BO155" s="139">
        <v>22.427009216580799</v>
      </c>
      <c r="BP155" s="139">
        <v>29.416085944952023</v>
      </c>
      <c r="BQ155" s="139">
        <v>27.14729548651945</v>
      </c>
      <c r="BR155" s="139">
        <v>31.338365094487902</v>
      </c>
      <c r="BS155" s="139">
        <v>35.365085808781828</v>
      </c>
      <c r="BT155" s="139">
        <v>53.156702512242994</v>
      </c>
      <c r="BU155" s="139">
        <v>48.308072962068671</v>
      </c>
      <c r="BV155" s="139">
        <v>42.825456040401505</v>
      </c>
    </row>
    <row r="156" spans="1:74" x14ac:dyDescent="0.25">
      <c r="A156" s="137">
        <v>42837</v>
      </c>
      <c r="B156" s="138">
        <v>0.50173611111111105</v>
      </c>
      <c r="C156" s="139">
        <v>75.12</v>
      </c>
      <c r="E156" s="140" t="s">
        <v>169</v>
      </c>
      <c r="F156" s="140">
        <v>75.12</v>
      </c>
      <c r="I156" s="139">
        <v>60.43</v>
      </c>
      <c r="J156" s="139">
        <v>90.41</v>
      </c>
      <c r="K156" s="139">
        <v>60.43</v>
      </c>
      <c r="L156" s="139">
        <v>38.31</v>
      </c>
      <c r="M156" s="139">
        <v>75.66</v>
      </c>
      <c r="N156" s="139">
        <v>42.06</v>
      </c>
      <c r="O156" s="139">
        <v>36.020000000000003</v>
      </c>
      <c r="P156" s="139">
        <v>32.01</v>
      </c>
      <c r="Q156" s="139">
        <v>35</v>
      </c>
      <c r="S156" s="139">
        <v>22.427009645099723</v>
      </c>
      <c r="T156" s="139">
        <v>15.641852971292971</v>
      </c>
      <c r="U156" s="139">
        <v>22.427009645099723</v>
      </c>
      <c r="V156" s="139">
        <v>29.416085947582108</v>
      </c>
      <c r="W156" s="139">
        <v>27.147309774472166</v>
      </c>
      <c r="X156" s="139">
        <v>31.338365100724818</v>
      </c>
      <c r="Y156" s="139">
        <v>35.365085810334108</v>
      </c>
      <c r="Z156" s="139">
        <v>53.156702512859546</v>
      </c>
      <c r="AA156" s="139">
        <v>48.308072963296027</v>
      </c>
      <c r="AB156" s="139">
        <v>42.825468657805366</v>
      </c>
      <c r="BB156" s="136">
        <v>60.43</v>
      </c>
      <c r="BC156" s="136">
        <v>90.41</v>
      </c>
      <c r="BD156" s="136">
        <v>60.43</v>
      </c>
      <c r="BE156" s="136">
        <v>38.31</v>
      </c>
      <c r="BF156" s="136">
        <v>75.66</v>
      </c>
      <c r="BG156" s="136">
        <v>42.06</v>
      </c>
      <c r="BH156" s="136">
        <v>36.020000000000003</v>
      </c>
      <c r="BI156" s="136">
        <v>32.01</v>
      </c>
      <c r="BJ156" s="136">
        <v>35</v>
      </c>
      <c r="BK156" s="136">
        <v>75.12</v>
      </c>
      <c r="BM156" s="139">
        <v>22.427009645099723</v>
      </c>
      <c r="BN156" s="139">
        <v>15.641852971292971</v>
      </c>
      <c r="BO156" s="139">
        <v>22.427009645099723</v>
      </c>
      <c r="BP156" s="139">
        <v>29.416085947582108</v>
      </c>
      <c r="BQ156" s="139">
        <v>27.147309774472166</v>
      </c>
      <c r="BR156" s="139">
        <v>31.338365100724818</v>
      </c>
      <c r="BS156" s="139">
        <v>35.365085810334108</v>
      </c>
      <c r="BT156" s="139">
        <v>53.156702512859546</v>
      </c>
      <c r="BU156" s="139">
        <v>48.308072963296027</v>
      </c>
      <c r="BV156" s="139">
        <v>42.825468657805366</v>
      </c>
    </row>
    <row r="157" spans="1:74" x14ac:dyDescent="0.25">
      <c r="A157" s="137">
        <v>42837</v>
      </c>
      <c r="B157" s="138">
        <v>0.50208333333333333</v>
      </c>
      <c r="C157" s="139">
        <v>73.11</v>
      </c>
      <c r="E157" s="140" t="s">
        <v>169</v>
      </c>
      <c r="F157" s="140">
        <v>73.11</v>
      </c>
      <c r="I157" s="139">
        <v>52.31</v>
      </c>
      <c r="J157" s="139">
        <v>90.31</v>
      </c>
      <c r="K157" s="139">
        <v>52.31</v>
      </c>
      <c r="L157" s="139">
        <v>35.97</v>
      </c>
      <c r="M157" s="139">
        <v>72.98</v>
      </c>
      <c r="N157" s="139">
        <v>42.09</v>
      </c>
      <c r="O157" s="139">
        <v>32.61</v>
      </c>
      <c r="P157" s="139">
        <v>31.1</v>
      </c>
      <c r="Q157" s="139">
        <v>33.36</v>
      </c>
      <c r="S157" s="139">
        <v>22.427009711164505</v>
      </c>
      <c r="T157" s="139">
        <v>15.642269811885281</v>
      </c>
      <c r="U157" s="139">
        <v>22.427009711164505</v>
      </c>
      <c r="V157" s="139">
        <v>29.416085949116617</v>
      </c>
      <c r="W157" s="139">
        <v>27.147317482974429</v>
      </c>
      <c r="X157" s="139">
        <v>31.338365107004968</v>
      </c>
      <c r="Y157" s="139">
        <v>35.365085811042007</v>
      </c>
      <c r="Z157" s="139">
        <v>53.156702513359548</v>
      </c>
      <c r="AA157" s="139">
        <v>48.308072964137367</v>
      </c>
      <c r="AB157" s="139">
        <v>42.825476600539112</v>
      </c>
      <c r="BB157" s="136">
        <v>52.31</v>
      </c>
      <c r="BC157" s="136">
        <v>90.31</v>
      </c>
      <c r="BD157" s="136">
        <v>52.31</v>
      </c>
      <c r="BE157" s="136">
        <v>35.97</v>
      </c>
      <c r="BF157" s="136">
        <v>72.98</v>
      </c>
      <c r="BG157" s="136">
        <v>42.09</v>
      </c>
      <c r="BH157" s="136">
        <v>32.61</v>
      </c>
      <c r="BI157" s="136">
        <v>31.1</v>
      </c>
      <c r="BJ157" s="136">
        <v>33.36</v>
      </c>
      <c r="BK157" s="136">
        <v>73.11</v>
      </c>
      <c r="BM157" s="139">
        <v>22.427009711164505</v>
      </c>
      <c r="BN157" s="139">
        <v>15.642269811885281</v>
      </c>
      <c r="BO157" s="139">
        <v>22.427009711164505</v>
      </c>
      <c r="BP157" s="139">
        <v>29.416085949116617</v>
      </c>
      <c r="BQ157" s="139">
        <v>27.147317482974429</v>
      </c>
      <c r="BR157" s="139">
        <v>31.338365107004968</v>
      </c>
      <c r="BS157" s="139">
        <v>35.365085811042007</v>
      </c>
      <c r="BT157" s="139">
        <v>53.156702513359548</v>
      </c>
      <c r="BU157" s="139">
        <v>48.308072964137367</v>
      </c>
      <c r="BV157" s="139">
        <v>42.825476600539112</v>
      </c>
    </row>
    <row r="158" spans="1:74" x14ac:dyDescent="0.25">
      <c r="A158" s="137">
        <v>42837</v>
      </c>
      <c r="B158" s="138">
        <v>0.5024305555555556</v>
      </c>
      <c r="C158" s="139">
        <v>71.28</v>
      </c>
      <c r="E158" s="140" t="s">
        <v>169</v>
      </c>
      <c r="F158" s="140">
        <v>71.28</v>
      </c>
      <c r="I158" s="139">
        <v>45.52</v>
      </c>
      <c r="J158" s="139">
        <v>90.15</v>
      </c>
      <c r="K158" s="139">
        <v>45.52</v>
      </c>
      <c r="L158" s="139">
        <v>34.03</v>
      </c>
      <c r="M158" s="139">
        <v>44.61</v>
      </c>
      <c r="N158" s="139">
        <v>38.520000000000003</v>
      </c>
      <c r="O158" s="139">
        <v>30.62</v>
      </c>
      <c r="P158" s="139">
        <v>30.8</v>
      </c>
      <c r="Q158" s="139">
        <v>34.22</v>
      </c>
      <c r="S158" s="139">
        <v>22.427009724999213</v>
      </c>
      <c r="T158" s="139">
        <v>15.642671574946375</v>
      </c>
      <c r="U158" s="139">
        <v>22.427009724999213</v>
      </c>
      <c r="V158" s="139">
        <v>29.416085950098296</v>
      </c>
      <c r="W158" s="139">
        <v>27.147317494193839</v>
      </c>
      <c r="X158" s="139">
        <v>31.338365109765355</v>
      </c>
      <c r="Y158" s="139">
        <v>35.365085811489692</v>
      </c>
      <c r="Z158" s="139">
        <v>53.156702513826176</v>
      </c>
      <c r="AA158" s="139">
        <v>48.30807296516295</v>
      </c>
      <c r="AB158" s="139">
        <v>42.825481812126256</v>
      </c>
      <c r="BB158" s="136">
        <v>45.52</v>
      </c>
      <c r="BC158" s="136">
        <v>90.15</v>
      </c>
      <c r="BD158" s="136">
        <v>45.52</v>
      </c>
      <c r="BE158" s="136">
        <v>34.03</v>
      </c>
      <c r="BF158" s="136">
        <v>44.61</v>
      </c>
      <c r="BG158" s="136">
        <v>38.520000000000003</v>
      </c>
      <c r="BH158" s="136">
        <v>30.62</v>
      </c>
      <c r="BI158" s="136">
        <v>30.8</v>
      </c>
      <c r="BJ158" s="136">
        <v>34.22</v>
      </c>
      <c r="BK158" s="136">
        <v>71.28</v>
      </c>
      <c r="BM158" s="139">
        <v>22.427009724999213</v>
      </c>
      <c r="BN158" s="139">
        <v>15.642671574946375</v>
      </c>
      <c r="BO158" s="139">
        <v>22.427009724999213</v>
      </c>
      <c r="BP158" s="139">
        <v>29.416085950098296</v>
      </c>
      <c r="BQ158" s="139">
        <v>27.147317494193839</v>
      </c>
      <c r="BR158" s="139">
        <v>31.338365109765355</v>
      </c>
      <c r="BS158" s="139">
        <v>35.365085811489692</v>
      </c>
      <c r="BT158" s="139">
        <v>53.156702513826176</v>
      </c>
      <c r="BU158" s="139">
        <v>48.30807296516295</v>
      </c>
      <c r="BV158" s="139">
        <v>42.825481812126256</v>
      </c>
    </row>
    <row r="159" spans="1:74" x14ac:dyDescent="0.25">
      <c r="A159" s="146">
        <v>42837</v>
      </c>
      <c r="B159" s="147">
        <v>0.50277777777777777</v>
      </c>
      <c r="C159" s="148">
        <v>69.64</v>
      </c>
      <c r="E159" s="149" t="s">
        <v>169</v>
      </c>
      <c r="F159" s="149">
        <v>69.64</v>
      </c>
      <c r="I159" s="148">
        <v>39.770000000000003</v>
      </c>
      <c r="J159" s="148">
        <v>89.95</v>
      </c>
      <c r="K159" s="148">
        <v>39.770000000000003</v>
      </c>
      <c r="L159" s="148">
        <v>31.44</v>
      </c>
      <c r="M159" s="148">
        <v>36.590000000000003</v>
      </c>
      <c r="N159" s="148">
        <v>38.43</v>
      </c>
      <c r="O159" s="148">
        <v>29.85</v>
      </c>
      <c r="P159" s="148">
        <v>29.75</v>
      </c>
      <c r="Q159" s="148">
        <v>30.47</v>
      </c>
      <c r="S159" s="148">
        <v>22.427009728680247</v>
      </c>
      <c r="T159" s="148">
        <v>15.643055255691056</v>
      </c>
      <c r="U159" s="148">
        <v>22.427009728680247</v>
      </c>
      <c r="V159" s="148">
        <v>29.416085950639012</v>
      </c>
      <c r="W159" s="148">
        <v>27.147317495963826</v>
      </c>
      <c r="X159" s="148">
        <v>31.338365112469127</v>
      </c>
      <c r="Y159" s="148">
        <v>35.365085811864638</v>
      </c>
      <c r="Z159" s="148">
        <v>53.156702514192588</v>
      </c>
      <c r="AA159" s="148">
        <v>48.308072965595436</v>
      </c>
      <c r="AB159" s="148">
        <v>42.825485384607887</v>
      </c>
      <c r="BB159" s="136">
        <v>39.770000000000003</v>
      </c>
      <c r="BC159" s="136">
        <v>89.95</v>
      </c>
      <c r="BD159" s="136">
        <v>39.770000000000003</v>
      </c>
      <c r="BE159" s="136">
        <v>31.44</v>
      </c>
      <c r="BF159" s="136">
        <v>36.590000000000003</v>
      </c>
      <c r="BG159" s="136">
        <v>38.43</v>
      </c>
      <c r="BH159" s="136">
        <v>29.85</v>
      </c>
      <c r="BI159" s="136">
        <v>29.75</v>
      </c>
      <c r="BJ159" s="136">
        <v>30.47</v>
      </c>
      <c r="BK159" s="136">
        <v>69.64</v>
      </c>
      <c r="BM159" s="148">
        <v>22.427009728680247</v>
      </c>
      <c r="BN159" s="148">
        <v>15.643055255691056</v>
      </c>
      <c r="BO159" s="148">
        <v>22.427009728680247</v>
      </c>
      <c r="BP159" s="148">
        <v>29.416085950639012</v>
      </c>
      <c r="BQ159" s="148">
        <v>27.147317495963826</v>
      </c>
      <c r="BR159" s="148">
        <v>31.338365112469127</v>
      </c>
      <c r="BS159" s="148">
        <v>35.365085811864638</v>
      </c>
      <c r="BT159" s="148">
        <v>53.156702514192588</v>
      </c>
      <c r="BU159" s="148">
        <v>48.308072965595436</v>
      </c>
      <c r="BV159" s="148">
        <v>42.825485384607887</v>
      </c>
    </row>
  </sheetData>
  <mergeCells count="4">
    <mergeCell ref="C1:Q1"/>
    <mergeCell ref="C2:Q2"/>
    <mergeCell ref="C3:Q3"/>
    <mergeCell ref="S28:AB2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2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4D6E52-B8C4-4989-9B49-3C2AEE30D80C}">
  <sheetPr codeName="Hoja7"/>
  <dimension ref="A1:CV158"/>
  <sheetViews>
    <sheetView topLeftCell="AW12" workbookViewId="0">
      <selection activeCell="BB29" sqref="BB29"/>
    </sheetView>
  </sheetViews>
  <sheetFormatPr baseColWidth="10" defaultRowHeight="15.75" x14ac:dyDescent="0.25"/>
  <cols>
    <col min="1" max="1" width="25.7109375" style="123" customWidth="1"/>
    <col min="2" max="2" width="15.7109375" style="123" customWidth="1"/>
    <col min="3" max="4" width="11.42578125" style="123"/>
    <col min="5" max="5" width="18.7109375" style="123" customWidth="1"/>
    <col min="6" max="6" width="11.42578125" style="123"/>
    <col min="7" max="7" width="27.7109375" style="123" customWidth="1"/>
    <col min="8" max="18" width="11.42578125" style="123"/>
    <col min="19" max="19" width="15.7109375" style="123" customWidth="1"/>
    <col min="20" max="16384" width="11.42578125" style="123"/>
  </cols>
  <sheetData>
    <row r="1" spans="1:100" x14ac:dyDescent="0.25">
      <c r="C1" s="167" t="s">
        <v>153</v>
      </c>
      <c r="D1" s="168"/>
      <c r="E1" s="168"/>
      <c r="F1" s="168"/>
      <c r="G1" s="168"/>
      <c r="H1" s="168"/>
      <c r="I1" s="168"/>
      <c r="J1" s="168"/>
      <c r="K1" s="168"/>
      <c r="L1" s="168"/>
      <c r="M1" s="168"/>
      <c r="N1" s="168"/>
      <c r="O1" s="168"/>
      <c r="P1" s="168"/>
      <c r="Q1" s="169"/>
      <c r="S1" s="156" t="s">
        <v>151</v>
      </c>
      <c r="T1" s="157">
        <v>1</v>
      </c>
      <c r="U1" s="125">
        <v>42837</v>
      </c>
      <c r="V1" s="126">
        <v>0.47187499999999999</v>
      </c>
      <c r="W1" s="125">
        <v>42837</v>
      </c>
      <c r="X1" s="127">
        <v>0.49236111111111108</v>
      </c>
      <c r="CV1" s="123">
        <v>1</v>
      </c>
    </row>
    <row r="2" spans="1:100" x14ac:dyDescent="0.25">
      <c r="A2" s="123">
        <v>10</v>
      </c>
      <c r="C2" s="170" t="s">
        <v>142</v>
      </c>
      <c r="D2" s="171"/>
      <c r="E2" s="171"/>
      <c r="F2" s="171"/>
      <c r="G2" s="171"/>
      <c r="H2" s="171"/>
      <c r="I2" s="171"/>
      <c r="J2" s="171"/>
      <c r="K2" s="171"/>
      <c r="L2" s="171"/>
      <c r="M2" s="171"/>
      <c r="N2" s="171"/>
      <c r="O2" s="171"/>
      <c r="P2" s="171"/>
      <c r="Q2" s="172"/>
      <c r="S2" s="124"/>
      <c r="CV2" s="123">
        <v>0</v>
      </c>
    </row>
    <row r="3" spans="1:100" x14ac:dyDescent="0.25">
      <c r="C3" s="173" t="s">
        <v>143</v>
      </c>
      <c r="D3" s="174"/>
      <c r="E3" s="174"/>
      <c r="F3" s="174"/>
      <c r="G3" s="174"/>
      <c r="H3" s="174"/>
      <c r="I3" s="174"/>
      <c r="J3" s="174"/>
      <c r="K3" s="174"/>
      <c r="L3" s="174"/>
      <c r="M3" s="174"/>
      <c r="N3" s="174"/>
      <c r="O3" s="174"/>
      <c r="P3" s="174"/>
      <c r="Q3" s="175"/>
      <c r="S3" s="124"/>
      <c r="CV3" s="123">
        <v>9</v>
      </c>
    </row>
    <row r="4" spans="1:100" x14ac:dyDescent="0.25">
      <c r="S4" s="124" t="s">
        <v>147</v>
      </c>
      <c r="T4" s="124">
        <v>3</v>
      </c>
      <c r="CV4" s="123">
        <v>0</v>
      </c>
    </row>
    <row r="8" spans="1:100" x14ac:dyDescent="0.25">
      <c r="C8" s="128" t="s">
        <v>71</v>
      </c>
      <c r="E8" s="124"/>
      <c r="I8" s="124" t="s">
        <v>63</v>
      </c>
      <c r="J8" s="124" t="s">
        <v>64</v>
      </c>
      <c r="K8" s="124" t="s">
        <v>65</v>
      </c>
      <c r="L8" s="124" t="s">
        <v>66</v>
      </c>
      <c r="M8" s="124" t="s">
        <v>67</v>
      </c>
      <c r="N8" s="124" t="s">
        <v>70</v>
      </c>
      <c r="O8" s="124" t="s">
        <v>68</v>
      </c>
      <c r="P8" s="124" t="s">
        <v>72</v>
      </c>
      <c r="Q8" s="124" t="s">
        <v>69</v>
      </c>
    </row>
    <row r="9" spans="1:100" x14ac:dyDescent="0.25">
      <c r="B9" s="124" t="s">
        <v>148</v>
      </c>
      <c r="C9" s="128" t="s">
        <v>114</v>
      </c>
      <c r="E9" s="124" t="s">
        <v>158</v>
      </c>
      <c r="I9" s="124" t="s">
        <v>108</v>
      </c>
      <c r="J9" s="124" t="s">
        <v>109</v>
      </c>
      <c r="K9" s="124" t="s">
        <v>110</v>
      </c>
      <c r="L9" s="124" t="s">
        <v>111</v>
      </c>
      <c r="M9" s="124" t="s">
        <v>112</v>
      </c>
      <c r="N9" s="124" t="s">
        <v>113</v>
      </c>
      <c r="O9" s="124" t="s">
        <v>105</v>
      </c>
      <c r="P9" s="124" t="s">
        <v>106</v>
      </c>
      <c r="Q9" s="124" t="s">
        <v>107</v>
      </c>
      <c r="S9" s="124" t="s">
        <v>164</v>
      </c>
    </row>
    <row r="10" spans="1:100" x14ac:dyDescent="0.25">
      <c r="B10" s="124" t="s">
        <v>103</v>
      </c>
      <c r="C10" s="129">
        <v>122.3</v>
      </c>
      <c r="E10" s="124">
        <v>122.3</v>
      </c>
      <c r="G10" s="128" t="s">
        <v>162</v>
      </c>
      <c r="H10" s="124">
        <v>-13.4</v>
      </c>
      <c r="I10" s="152">
        <v>117.3</v>
      </c>
      <c r="J10" s="150">
        <v>110.8</v>
      </c>
      <c r="K10" s="150">
        <v>117.3</v>
      </c>
      <c r="L10" s="150">
        <v>118.5</v>
      </c>
      <c r="M10" s="150">
        <v>119</v>
      </c>
      <c r="N10" s="150">
        <v>120.7</v>
      </c>
      <c r="O10" s="150">
        <v>121.5</v>
      </c>
      <c r="P10" s="150">
        <v>122.7</v>
      </c>
      <c r="Q10" s="151">
        <v>122.5</v>
      </c>
      <c r="S10" s="124">
        <v>118.9</v>
      </c>
      <c r="BB10" s="123">
        <v>117.3</v>
      </c>
      <c r="BC10" s="123">
        <v>110.8</v>
      </c>
      <c r="BD10" s="123">
        <v>117.3</v>
      </c>
      <c r="BE10" s="123">
        <v>118.5</v>
      </c>
      <c r="BF10" s="123">
        <v>119</v>
      </c>
      <c r="BG10" s="123">
        <v>120.7</v>
      </c>
      <c r="BH10" s="123">
        <v>121.5</v>
      </c>
      <c r="BI10" s="123">
        <v>122.7</v>
      </c>
      <c r="BJ10" s="123">
        <v>122.5</v>
      </c>
      <c r="BK10" s="123">
        <v>122.3</v>
      </c>
      <c r="CV10" s="123">
        <v>5</v>
      </c>
    </row>
    <row r="11" spans="1:100" x14ac:dyDescent="0.25">
      <c r="B11" s="124" t="s">
        <v>149</v>
      </c>
      <c r="C11" s="129">
        <v>122.6</v>
      </c>
      <c r="E11" s="124">
        <v>122.6</v>
      </c>
      <c r="I11" s="152">
        <v>122</v>
      </c>
      <c r="J11" s="150">
        <v>122.7</v>
      </c>
      <c r="K11" s="150">
        <v>122</v>
      </c>
      <c r="L11" s="150">
        <v>123.3</v>
      </c>
      <c r="M11" s="150">
        <v>122.2</v>
      </c>
      <c r="N11" s="150">
        <v>122.2</v>
      </c>
      <c r="O11" s="150">
        <v>122.9</v>
      </c>
      <c r="P11" s="150">
        <v>123.9</v>
      </c>
      <c r="Q11" s="151">
        <v>123.2</v>
      </c>
      <c r="S11" s="124">
        <v>123.9</v>
      </c>
      <c r="BB11" s="123">
        <v>122.04</v>
      </c>
      <c r="BC11" s="123">
        <v>122.74</v>
      </c>
      <c r="BD11" s="123">
        <v>122.04</v>
      </c>
      <c r="BE11" s="123">
        <v>123.25</v>
      </c>
      <c r="BF11" s="123">
        <v>122.18</v>
      </c>
      <c r="BG11" s="123">
        <v>122.2</v>
      </c>
      <c r="BH11" s="123">
        <v>122.89</v>
      </c>
      <c r="BI11" s="123">
        <v>123.85</v>
      </c>
      <c r="BJ11" s="123">
        <v>123.17</v>
      </c>
      <c r="BK11" s="123">
        <v>122.56</v>
      </c>
    </row>
    <row r="12" spans="1:100" x14ac:dyDescent="0.25">
      <c r="B12" s="124" t="s">
        <v>150</v>
      </c>
      <c r="C12" s="129">
        <v>120.7</v>
      </c>
      <c r="E12" s="124">
        <v>120.68</v>
      </c>
      <c r="I12" s="152">
        <v>117.3</v>
      </c>
      <c r="J12" s="150">
        <v>110.8</v>
      </c>
      <c r="K12" s="150">
        <v>117.3</v>
      </c>
      <c r="L12" s="150">
        <v>118.5</v>
      </c>
      <c r="M12" s="150">
        <v>119</v>
      </c>
      <c r="N12" s="150">
        <v>120.7</v>
      </c>
      <c r="O12" s="150">
        <v>121.5</v>
      </c>
      <c r="P12" s="150">
        <v>122.7</v>
      </c>
      <c r="Q12" s="151">
        <v>122.5</v>
      </c>
      <c r="S12" s="124">
        <v>110.8</v>
      </c>
      <c r="BB12" s="123">
        <v>95.53</v>
      </c>
      <c r="BC12" s="123">
        <v>76.400000000000006</v>
      </c>
      <c r="BD12" s="123">
        <v>95.53</v>
      </c>
      <c r="BE12" s="123">
        <v>96.89</v>
      </c>
      <c r="BF12" s="123">
        <v>100.66</v>
      </c>
      <c r="BG12" s="123">
        <v>111.19</v>
      </c>
      <c r="BH12" s="123">
        <v>116.91</v>
      </c>
      <c r="BI12" s="123">
        <v>121.76</v>
      </c>
      <c r="BJ12" s="123">
        <v>121.65</v>
      </c>
      <c r="BK12" s="123">
        <v>120.68</v>
      </c>
    </row>
    <row r="14" spans="1:100" x14ac:dyDescent="0.25">
      <c r="BB14" s="123">
        <v>22.427009724999213</v>
      </c>
      <c r="BC14" s="123">
        <v>15.642671574946375</v>
      </c>
      <c r="BD14" s="123">
        <v>22.427009724999213</v>
      </c>
      <c r="BE14" s="123">
        <v>29.416085950098296</v>
      </c>
      <c r="BF14" s="123">
        <v>27.147317494193839</v>
      </c>
      <c r="BG14" s="123">
        <v>31.338365109765355</v>
      </c>
      <c r="BH14" s="123">
        <v>35.365085811489692</v>
      </c>
      <c r="BI14" s="123">
        <v>53.156702513826176</v>
      </c>
      <c r="BJ14" s="123">
        <v>48.30807296516295</v>
      </c>
      <c r="BK14" s="123">
        <v>42.825481812126256</v>
      </c>
    </row>
    <row r="15" spans="1:100" x14ac:dyDescent="0.25">
      <c r="E15" s="153" t="s">
        <v>166</v>
      </c>
      <c r="F15" s="154">
        <v>30</v>
      </c>
    </row>
    <row r="16" spans="1:100" x14ac:dyDescent="0.25">
      <c r="C16" s="124" t="s">
        <v>158</v>
      </c>
      <c r="D16" s="124" t="s">
        <v>164</v>
      </c>
      <c r="E16" s="153" t="s">
        <v>167</v>
      </c>
      <c r="F16" s="155">
        <v>6.5</v>
      </c>
    </row>
    <row r="17" spans="1:74" x14ac:dyDescent="0.25">
      <c r="B17" s="124" t="s">
        <v>103</v>
      </c>
      <c r="C17" s="124">
        <v>122.3</v>
      </c>
      <c r="D17" s="124">
        <v>118.9</v>
      </c>
      <c r="E17" s="124" t="s">
        <v>168</v>
      </c>
      <c r="F17" s="124">
        <v>11.999999999999998</v>
      </c>
    </row>
    <row r="18" spans="1:74" x14ac:dyDescent="0.25">
      <c r="B18" s="124" t="s">
        <v>149</v>
      </c>
      <c r="C18" s="124">
        <v>122.6</v>
      </c>
      <c r="D18" s="124">
        <v>123.9</v>
      </c>
    </row>
    <row r="19" spans="1:74" x14ac:dyDescent="0.25">
      <c r="B19" s="124" t="s">
        <v>150</v>
      </c>
      <c r="C19" s="124">
        <v>120.68</v>
      </c>
      <c r="D19" s="124">
        <v>110.8</v>
      </c>
      <c r="AZ19" s="123" t="s">
        <v>163</v>
      </c>
      <c r="BA19" s="123">
        <v>5</v>
      </c>
    </row>
    <row r="20" spans="1:74" x14ac:dyDescent="0.25">
      <c r="B20" s="124" t="s">
        <v>160</v>
      </c>
      <c r="C20" s="124">
        <v>12.6</v>
      </c>
      <c r="BA20" s="123">
        <v>19</v>
      </c>
    </row>
    <row r="21" spans="1:74" x14ac:dyDescent="0.25">
      <c r="AZ21" s="123" t="s">
        <v>161</v>
      </c>
      <c r="BA21" s="123">
        <v>1</v>
      </c>
    </row>
    <row r="22" spans="1:74" x14ac:dyDescent="0.25">
      <c r="AZ22" s="123">
        <v>0</v>
      </c>
      <c r="BA22" s="123">
        <v>10</v>
      </c>
    </row>
    <row r="24" spans="1:74" x14ac:dyDescent="0.25">
      <c r="E24" s="124" t="s">
        <v>160</v>
      </c>
    </row>
    <row r="25" spans="1:74" x14ac:dyDescent="0.25">
      <c r="E25" s="124">
        <v>12.6</v>
      </c>
    </row>
    <row r="27" spans="1:74" x14ac:dyDescent="0.25">
      <c r="A27" s="123" t="s">
        <v>145</v>
      </c>
    </row>
    <row r="28" spans="1:74" x14ac:dyDescent="0.25">
      <c r="A28" s="123" t="s">
        <v>144</v>
      </c>
      <c r="C28" s="123" t="s">
        <v>157</v>
      </c>
      <c r="I28" s="123" t="s">
        <v>154</v>
      </c>
      <c r="J28" s="123" t="s">
        <v>154</v>
      </c>
      <c r="K28" s="123" t="s">
        <v>154</v>
      </c>
      <c r="L28" s="123" t="s">
        <v>154</v>
      </c>
      <c r="M28" s="123" t="s">
        <v>154</v>
      </c>
      <c r="N28" s="123" t="s">
        <v>154</v>
      </c>
      <c r="O28" s="123" t="s">
        <v>154</v>
      </c>
      <c r="P28" s="123" t="s">
        <v>154</v>
      </c>
      <c r="Q28" s="123" t="s">
        <v>154</v>
      </c>
      <c r="S28" s="176" t="s">
        <v>165</v>
      </c>
      <c r="T28" s="168"/>
      <c r="U28" s="168"/>
      <c r="V28" s="168"/>
      <c r="W28" s="168"/>
      <c r="X28" s="168"/>
      <c r="Y28" s="168"/>
      <c r="Z28" s="168"/>
      <c r="AA28" s="168"/>
      <c r="AB28" s="169"/>
      <c r="BB28" s="123" t="s">
        <v>154</v>
      </c>
      <c r="BC28" s="123" t="s">
        <v>154</v>
      </c>
      <c r="BD28" s="123" t="s">
        <v>154</v>
      </c>
      <c r="BE28" s="123" t="s">
        <v>154</v>
      </c>
      <c r="BF28" s="123" t="s">
        <v>154</v>
      </c>
      <c r="BG28" s="123" t="s">
        <v>154</v>
      </c>
      <c r="BH28" s="123" t="s">
        <v>154</v>
      </c>
      <c r="BI28" s="123" t="s">
        <v>154</v>
      </c>
      <c r="BJ28" s="123" t="s">
        <v>154</v>
      </c>
      <c r="BK28" s="123" t="s">
        <v>157</v>
      </c>
    </row>
    <row r="29" spans="1:74" x14ac:dyDescent="0.25">
      <c r="A29" s="123" t="s">
        <v>146</v>
      </c>
      <c r="C29" s="123">
        <v>10</v>
      </c>
      <c r="I29" s="123">
        <v>1</v>
      </c>
      <c r="J29" s="123">
        <v>2</v>
      </c>
      <c r="K29" s="123">
        <v>3</v>
      </c>
      <c r="L29" s="123">
        <v>4</v>
      </c>
      <c r="M29" s="123">
        <v>5</v>
      </c>
      <c r="N29" s="123">
        <v>6</v>
      </c>
      <c r="O29" s="123">
        <v>7</v>
      </c>
      <c r="P29" s="123">
        <v>8</v>
      </c>
      <c r="Q29" s="123">
        <v>9</v>
      </c>
      <c r="S29" s="124">
        <v>22.427009724999213</v>
      </c>
      <c r="T29" s="124">
        <v>15.642671574946375</v>
      </c>
      <c r="U29" s="124">
        <v>22.427009724999213</v>
      </c>
      <c r="V29" s="124">
        <v>29.416085950098296</v>
      </c>
      <c r="W29" s="124">
        <v>27.147317494193839</v>
      </c>
      <c r="X29" s="124">
        <v>31.338365109765355</v>
      </c>
      <c r="Y29" s="124">
        <v>35.365085811489692</v>
      </c>
      <c r="Z29" s="124">
        <v>53.156702513826176</v>
      </c>
      <c r="AA29" s="124">
        <v>48.30807296516295</v>
      </c>
      <c r="AB29" s="124">
        <v>42.825481812126256</v>
      </c>
      <c r="BB29" s="123">
        <v>1</v>
      </c>
      <c r="BC29" s="123">
        <v>2</v>
      </c>
      <c r="BD29" s="123">
        <v>3</v>
      </c>
      <c r="BE29" s="123">
        <v>4</v>
      </c>
      <c r="BF29" s="123">
        <v>5</v>
      </c>
      <c r="BG29" s="123">
        <v>6</v>
      </c>
      <c r="BH29" s="123">
        <v>7</v>
      </c>
      <c r="BI29" s="123">
        <v>8</v>
      </c>
      <c r="BJ29" s="123">
        <v>9</v>
      </c>
      <c r="BK29" s="123">
        <v>10</v>
      </c>
      <c r="BM29" s="124">
        <v>22.427009724999213</v>
      </c>
      <c r="BN29" s="124">
        <v>15.642671574946375</v>
      </c>
      <c r="BO29" s="124">
        <v>22.427009724999213</v>
      </c>
      <c r="BP29" s="124">
        <v>29.416085950098296</v>
      </c>
      <c r="BQ29" s="124">
        <v>27.147317494193839</v>
      </c>
      <c r="BR29" s="124">
        <v>31.338365109765355</v>
      </c>
      <c r="BS29" s="124">
        <v>35.365085811489692</v>
      </c>
      <c r="BT29" s="124">
        <v>53.156702513826176</v>
      </c>
      <c r="BU29" s="124">
        <v>48.30807296516295</v>
      </c>
      <c r="BV29" s="124">
        <v>42.825481812126256</v>
      </c>
    </row>
    <row r="30" spans="1:74" x14ac:dyDescent="0.25">
      <c r="A30" s="124" t="s">
        <v>156</v>
      </c>
      <c r="B30" s="124" t="s">
        <v>155</v>
      </c>
      <c r="C30" s="130" t="s">
        <v>71</v>
      </c>
      <c r="E30" s="124" t="s">
        <v>159</v>
      </c>
      <c r="F30" s="124" t="s">
        <v>71</v>
      </c>
      <c r="I30" s="130" t="s">
        <v>63</v>
      </c>
      <c r="J30" s="130" t="s">
        <v>64</v>
      </c>
      <c r="K30" s="130" t="s">
        <v>65</v>
      </c>
      <c r="L30" s="130" t="s">
        <v>66</v>
      </c>
      <c r="M30" s="130" t="s">
        <v>67</v>
      </c>
      <c r="N30" s="130" t="s">
        <v>70</v>
      </c>
      <c r="O30" s="130" t="s">
        <v>68</v>
      </c>
      <c r="P30" s="130" t="s">
        <v>72</v>
      </c>
      <c r="Q30" s="130" t="s">
        <v>69</v>
      </c>
      <c r="S30" s="124" t="s">
        <v>63</v>
      </c>
      <c r="T30" s="124" t="s">
        <v>64</v>
      </c>
      <c r="U30" s="124" t="s">
        <v>65</v>
      </c>
      <c r="V30" s="124" t="s">
        <v>66</v>
      </c>
      <c r="W30" s="124" t="s">
        <v>67</v>
      </c>
      <c r="X30" s="124" t="s">
        <v>70</v>
      </c>
      <c r="Y30" s="124" t="s">
        <v>68</v>
      </c>
      <c r="Z30" s="124" t="s">
        <v>72</v>
      </c>
      <c r="AA30" s="124" t="s">
        <v>69</v>
      </c>
      <c r="AB30" s="124" t="s">
        <v>71</v>
      </c>
      <c r="BB30" s="131" t="s">
        <v>63</v>
      </c>
      <c r="BC30" s="131" t="s">
        <v>64</v>
      </c>
      <c r="BD30" s="131" t="s">
        <v>65</v>
      </c>
      <c r="BE30" s="131" t="s">
        <v>66</v>
      </c>
      <c r="BF30" s="131" t="s">
        <v>67</v>
      </c>
      <c r="BG30" s="131" t="s">
        <v>70</v>
      </c>
      <c r="BH30" s="131" t="s">
        <v>68</v>
      </c>
      <c r="BI30" s="131" t="s">
        <v>72</v>
      </c>
      <c r="BJ30" s="131" t="s">
        <v>69</v>
      </c>
      <c r="BK30" s="131" t="s">
        <v>71</v>
      </c>
      <c r="BM30" s="124" t="s">
        <v>63</v>
      </c>
      <c r="BN30" s="124" t="s">
        <v>64</v>
      </c>
      <c r="BO30" s="124" t="s">
        <v>65</v>
      </c>
      <c r="BP30" s="124" t="s">
        <v>66</v>
      </c>
      <c r="BQ30" s="124" t="s">
        <v>67</v>
      </c>
      <c r="BR30" s="124" t="s">
        <v>70</v>
      </c>
      <c r="BS30" s="124" t="s">
        <v>68</v>
      </c>
      <c r="BT30" s="124" t="s">
        <v>72</v>
      </c>
      <c r="BU30" s="124" t="s">
        <v>69</v>
      </c>
      <c r="BV30" s="124" t="s">
        <v>71</v>
      </c>
    </row>
    <row r="31" spans="1:74" x14ac:dyDescent="0.25">
      <c r="A31" s="132">
        <v>42837</v>
      </c>
      <c r="B31" s="133">
        <v>0.45833333333333331</v>
      </c>
      <c r="C31" s="134">
        <v>31.58</v>
      </c>
      <c r="E31" s="135">
        <v>27.6</v>
      </c>
      <c r="F31" s="134">
        <v>4</v>
      </c>
      <c r="I31" s="139">
        <v>23.61</v>
      </c>
      <c r="J31" s="139">
        <v>23.08</v>
      </c>
      <c r="K31" s="139">
        <v>23.61</v>
      </c>
      <c r="L31" s="139">
        <v>23.43</v>
      </c>
      <c r="M31" s="139">
        <v>25.22</v>
      </c>
      <c r="N31" s="139">
        <v>27.07</v>
      </c>
      <c r="O31" s="139">
        <v>23.48</v>
      </c>
      <c r="P31" s="139">
        <v>23.81</v>
      </c>
      <c r="Q31" s="139">
        <v>23.51</v>
      </c>
      <c r="S31" s="139">
        <v>0</v>
      </c>
      <c r="T31" s="139">
        <v>0</v>
      </c>
      <c r="U31" s="139">
        <v>0</v>
      </c>
      <c r="V31" s="139">
        <v>0</v>
      </c>
      <c r="W31" s="139">
        <v>0</v>
      </c>
      <c r="X31" s="139">
        <v>0</v>
      </c>
      <c r="Y31" s="139">
        <v>0</v>
      </c>
      <c r="Z31" s="139">
        <v>0</v>
      </c>
      <c r="AA31" s="139">
        <v>0</v>
      </c>
      <c r="AB31" s="139">
        <v>0</v>
      </c>
      <c r="BB31" s="136">
        <v>23.61</v>
      </c>
      <c r="BC31" s="136">
        <v>23.08</v>
      </c>
      <c r="BD31" s="136">
        <v>23.61</v>
      </c>
      <c r="BE31" s="136">
        <v>23.43</v>
      </c>
      <c r="BF31" s="136">
        <v>25.22</v>
      </c>
      <c r="BG31" s="136">
        <v>27.07</v>
      </c>
      <c r="BH31" s="136">
        <v>23.48</v>
      </c>
      <c r="BI31" s="136">
        <v>23.81</v>
      </c>
      <c r="BJ31" s="136">
        <v>23.51</v>
      </c>
      <c r="BK31" s="136">
        <v>31.58</v>
      </c>
      <c r="BM31" s="139">
        <v>0</v>
      </c>
      <c r="BN31" s="139">
        <v>0</v>
      </c>
      <c r="BO31" s="139">
        <v>0</v>
      </c>
      <c r="BP31" s="139">
        <v>0</v>
      </c>
      <c r="BQ31" s="139">
        <v>0</v>
      </c>
      <c r="BR31" s="139">
        <v>0</v>
      </c>
      <c r="BS31" s="139">
        <v>0</v>
      </c>
      <c r="BT31" s="139">
        <v>0</v>
      </c>
      <c r="BU31" s="139">
        <v>0</v>
      </c>
      <c r="BV31" s="139">
        <v>0</v>
      </c>
    </row>
    <row r="32" spans="1:74" x14ac:dyDescent="0.25">
      <c r="A32" s="137">
        <v>42837</v>
      </c>
      <c r="B32" s="138">
        <v>0.45868055555555554</v>
      </c>
      <c r="C32" s="139">
        <v>31.33</v>
      </c>
      <c r="E32" s="140">
        <v>27.4</v>
      </c>
      <c r="F32" s="139">
        <v>3.9</v>
      </c>
      <c r="I32" s="139">
        <v>23.53</v>
      </c>
      <c r="J32" s="139">
        <v>22.95</v>
      </c>
      <c r="K32" s="139">
        <v>23.53</v>
      </c>
      <c r="L32" s="139">
        <v>23.32</v>
      </c>
      <c r="M32" s="139">
        <v>25.95</v>
      </c>
      <c r="N32" s="139">
        <v>26.74</v>
      </c>
      <c r="O32" s="139">
        <v>23.75</v>
      </c>
      <c r="P32" s="139">
        <v>24</v>
      </c>
      <c r="Q32" s="139">
        <v>23.58</v>
      </c>
      <c r="S32" s="139">
        <v>8.7492334431232792E-11</v>
      </c>
      <c r="T32" s="139">
        <v>7.6554373084101334E-11</v>
      </c>
      <c r="U32" s="139">
        <v>8.7492334431232792E-11</v>
      </c>
      <c r="V32" s="139">
        <v>8.3362360627552749E-11</v>
      </c>
      <c r="W32" s="139">
        <v>1.5274605566077598E-10</v>
      </c>
      <c r="X32" s="139">
        <v>1.8321878732391611E-10</v>
      </c>
      <c r="Y32" s="139">
        <v>9.2038600073447841E-11</v>
      </c>
      <c r="Z32" s="139">
        <v>9.7492229987902301E-11</v>
      </c>
      <c r="AA32" s="139">
        <v>8.8505447915870997E-11</v>
      </c>
      <c r="AB32" s="139">
        <v>5.2719344819562893E-10</v>
      </c>
      <c r="BB32" s="136">
        <v>23.53</v>
      </c>
      <c r="BC32" s="136">
        <v>22.95</v>
      </c>
      <c r="BD32" s="136">
        <v>23.53</v>
      </c>
      <c r="BE32" s="136">
        <v>23.32</v>
      </c>
      <c r="BF32" s="136">
        <v>25.95</v>
      </c>
      <c r="BG32" s="136">
        <v>26.74</v>
      </c>
      <c r="BH32" s="136">
        <v>23.75</v>
      </c>
      <c r="BI32" s="136">
        <v>24</v>
      </c>
      <c r="BJ32" s="136">
        <v>23.58</v>
      </c>
      <c r="BK32" s="136">
        <v>31.33</v>
      </c>
      <c r="BM32" s="139">
        <v>8.7492334431232792E-11</v>
      </c>
      <c r="BN32" s="139">
        <v>7.6554373084101334E-11</v>
      </c>
      <c r="BO32" s="139">
        <v>8.7492334431232792E-11</v>
      </c>
      <c r="BP32" s="139">
        <v>8.3362360627552749E-11</v>
      </c>
      <c r="BQ32" s="139">
        <v>1.5274605566077598E-10</v>
      </c>
      <c r="BR32" s="139">
        <v>1.8321878732391611E-10</v>
      </c>
      <c r="BS32" s="139">
        <v>9.2038600073447841E-11</v>
      </c>
      <c r="BT32" s="139">
        <v>9.7492229987902301E-11</v>
      </c>
      <c r="BU32" s="139">
        <v>8.8505447915870997E-11</v>
      </c>
      <c r="BV32" s="139">
        <v>5.2719344819562893E-10</v>
      </c>
    </row>
    <row r="33" spans="1:74" x14ac:dyDescent="0.25">
      <c r="A33" s="137">
        <v>42837</v>
      </c>
      <c r="B33" s="138">
        <v>0.45902777777777781</v>
      </c>
      <c r="C33" s="139">
        <v>31.11</v>
      </c>
      <c r="E33" s="140">
        <v>27.7</v>
      </c>
      <c r="F33" s="139">
        <v>3.4</v>
      </c>
      <c r="I33" s="139">
        <v>24.33</v>
      </c>
      <c r="J33" s="139">
        <v>22.85</v>
      </c>
      <c r="K33" s="139">
        <v>24.33</v>
      </c>
      <c r="L33" s="139">
        <v>24.6</v>
      </c>
      <c r="M33" s="139">
        <v>25.82</v>
      </c>
      <c r="N33" s="139">
        <v>26.79</v>
      </c>
      <c r="O33" s="139">
        <v>25.57</v>
      </c>
      <c r="P33" s="139">
        <v>24.19</v>
      </c>
      <c r="Q33" s="139">
        <v>23.95</v>
      </c>
      <c r="S33" s="139">
        <v>1.926812564195564E-10</v>
      </c>
      <c r="T33" s="139">
        <v>1.5136615588882284E-10</v>
      </c>
      <c r="U33" s="139">
        <v>1.926812564195564E-10</v>
      </c>
      <c r="V33" s="139">
        <v>1.9529841755596928E-10</v>
      </c>
      <c r="W33" s="139">
        <v>3.0098762513699257E-10</v>
      </c>
      <c r="X33" s="139">
        <v>3.6855914821520356E-10</v>
      </c>
      <c r="Y33" s="139">
        <v>2.3198766605516553E-10</v>
      </c>
      <c r="Z33" s="139">
        <v>1.9934433387318816E-10</v>
      </c>
      <c r="AA33" s="139">
        <v>1.8488169357541749E-10</v>
      </c>
      <c r="AB33" s="139">
        <v>1.0283460672345794E-9</v>
      </c>
      <c r="BB33" s="136">
        <v>24.33</v>
      </c>
      <c r="BC33" s="136">
        <v>22.85</v>
      </c>
      <c r="BD33" s="136">
        <v>24.33</v>
      </c>
      <c r="BE33" s="136">
        <v>24.6</v>
      </c>
      <c r="BF33" s="136">
        <v>25.82</v>
      </c>
      <c r="BG33" s="136">
        <v>26.79</v>
      </c>
      <c r="BH33" s="136">
        <v>25.57</v>
      </c>
      <c r="BI33" s="136">
        <v>24.19</v>
      </c>
      <c r="BJ33" s="136">
        <v>23.95</v>
      </c>
      <c r="BK33" s="136">
        <v>31.11</v>
      </c>
      <c r="BM33" s="139">
        <v>1.926812564195564E-10</v>
      </c>
      <c r="BN33" s="139">
        <v>1.5136615588882284E-10</v>
      </c>
      <c r="BO33" s="139">
        <v>1.926812564195564E-10</v>
      </c>
      <c r="BP33" s="139">
        <v>1.9529841755596928E-10</v>
      </c>
      <c r="BQ33" s="139">
        <v>3.0098762513699257E-10</v>
      </c>
      <c r="BR33" s="139">
        <v>3.6855914821520356E-10</v>
      </c>
      <c r="BS33" s="139">
        <v>2.3198766605516553E-10</v>
      </c>
      <c r="BT33" s="139">
        <v>1.9934433387318816E-10</v>
      </c>
      <c r="BU33" s="139">
        <v>1.8488169357541749E-10</v>
      </c>
      <c r="BV33" s="139">
        <v>1.0283460672345794E-9</v>
      </c>
    </row>
    <row r="34" spans="1:74" x14ac:dyDescent="0.25">
      <c r="A34" s="137">
        <v>42837</v>
      </c>
      <c r="B34" s="138">
        <v>0.45937500000000003</v>
      </c>
      <c r="C34" s="139">
        <v>30.88</v>
      </c>
      <c r="E34" s="140">
        <v>27.4</v>
      </c>
      <c r="F34" s="139">
        <v>3.5</v>
      </c>
      <c r="I34" s="139">
        <v>23.96</v>
      </c>
      <c r="J34" s="139">
        <v>25.03</v>
      </c>
      <c r="K34" s="139">
        <v>23.96</v>
      </c>
      <c r="L34" s="139">
        <v>25.63</v>
      </c>
      <c r="M34" s="139">
        <v>25.38</v>
      </c>
      <c r="N34" s="139">
        <v>26.7</v>
      </c>
      <c r="O34" s="139">
        <v>24.08</v>
      </c>
      <c r="P34" s="139">
        <v>24.11</v>
      </c>
      <c r="Q34" s="139">
        <v>23.84</v>
      </c>
      <c r="S34" s="139">
        <v>2.8927967227040273E-10</v>
      </c>
      <c r="T34" s="139">
        <v>2.7495236313962909E-10</v>
      </c>
      <c r="U34" s="139">
        <v>2.8927967227040273E-10</v>
      </c>
      <c r="V34" s="139">
        <v>3.3719436897804676E-10</v>
      </c>
      <c r="W34" s="139">
        <v>4.3494604137794432E-10</v>
      </c>
      <c r="X34" s="139">
        <v>5.5009817560025388E-10</v>
      </c>
      <c r="Y34" s="139">
        <v>3.3129241192303397E-10</v>
      </c>
      <c r="Z34" s="139">
        <v>2.9933742735482514E-10</v>
      </c>
      <c r="AA34" s="139">
        <v>2.7884753441558087E-10</v>
      </c>
      <c r="AB34" s="139">
        <v>1.5036484640627183E-9</v>
      </c>
      <c r="BB34" s="136">
        <v>23.96</v>
      </c>
      <c r="BC34" s="136">
        <v>25.03</v>
      </c>
      <c r="BD34" s="136">
        <v>23.96</v>
      </c>
      <c r="BE34" s="136">
        <v>25.63</v>
      </c>
      <c r="BF34" s="136">
        <v>25.38</v>
      </c>
      <c r="BG34" s="136">
        <v>26.7</v>
      </c>
      <c r="BH34" s="136">
        <v>24.08</v>
      </c>
      <c r="BI34" s="136">
        <v>24.11</v>
      </c>
      <c r="BJ34" s="136">
        <v>23.84</v>
      </c>
      <c r="BK34" s="136">
        <v>30.88</v>
      </c>
      <c r="BM34" s="139">
        <v>2.8927967227040273E-10</v>
      </c>
      <c r="BN34" s="139">
        <v>2.7495236313962909E-10</v>
      </c>
      <c r="BO34" s="139">
        <v>2.8927967227040273E-10</v>
      </c>
      <c r="BP34" s="139">
        <v>3.3719436897804676E-10</v>
      </c>
      <c r="BQ34" s="139">
        <v>4.3494604137794432E-10</v>
      </c>
      <c r="BR34" s="139">
        <v>5.5009817560025388E-10</v>
      </c>
      <c r="BS34" s="139">
        <v>3.3129241192303397E-10</v>
      </c>
      <c r="BT34" s="139">
        <v>2.9933742735482514E-10</v>
      </c>
      <c r="BU34" s="139">
        <v>2.7884753441558087E-10</v>
      </c>
      <c r="BV34" s="139">
        <v>1.5036484640627183E-9</v>
      </c>
    </row>
    <row r="35" spans="1:74" x14ac:dyDescent="0.25">
      <c r="A35" s="137">
        <v>42837</v>
      </c>
      <c r="B35" s="138">
        <v>0.4597222222222222</v>
      </c>
      <c r="C35" s="139">
        <v>30.66</v>
      </c>
      <c r="E35" s="140">
        <v>27.8</v>
      </c>
      <c r="F35" s="139">
        <v>2.9</v>
      </c>
      <c r="I35" s="139">
        <v>24.98</v>
      </c>
      <c r="J35" s="139">
        <v>25.46</v>
      </c>
      <c r="K35" s="139">
        <v>24.98</v>
      </c>
      <c r="L35" s="139">
        <v>25.7</v>
      </c>
      <c r="M35" s="139">
        <v>25.01</v>
      </c>
      <c r="N35" s="139">
        <v>27.87</v>
      </c>
      <c r="O35" s="139">
        <v>24.33</v>
      </c>
      <c r="P35" s="139">
        <v>28.81</v>
      </c>
      <c r="Q35" s="139">
        <v>24.07</v>
      </c>
      <c r="S35" s="139">
        <v>4.1145119990510153E-10</v>
      </c>
      <c r="T35" s="139">
        <v>4.1140125228003157E-10</v>
      </c>
      <c r="U35" s="139">
        <v>4.1145119990510153E-10</v>
      </c>
      <c r="V35" s="139">
        <v>4.8139594413437683E-10</v>
      </c>
      <c r="W35" s="139">
        <v>5.5796442158532612E-10</v>
      </c>
      <c r="X35" s="139">
        <v>7.877657885716569E-10</v>
      </c>
      <c r="Y35" s="139">
        <v>4.364813339113576E-10</v>
      </c>
      <c r="Z35" s="139">
        <v>5.9443796744074736E-10</v>
      </c>
      <c r="AA35" s="139">
        <v>3.7792388570583561E-10</v>
      </c>
      <c r="AB35" s="139">
        <v>1.9554732009238684E-9</v>
      </c>
      <c r="BB35" s="136">
        <v>24.98</v>
      </c>
      <c r="BC35" s="136">
        <v>25.46</v>
      </c>
      <c r="BD35" s="136">
        <v>24.98</v>
      </c>
      <c r="BE35" s="136">
        <v>25.7</v>
      </c>
      <c r="BF35" s="136">
        <v>25.01</v>
      </c>
      <c r="BG35" s="136">
        <v>27.87</v>
      </c>
      <c r="BH35" s="136">
        <v>24.33</v>
      </c>
      <c r="BI35" s="136">
        <v>28.81</v>
      </c>
      <c r="BJ35" s="136">
        <v>24.07</v>
      </c>
      <c r="BK35" s="136">
        <v>30.66</v>
      </c>
      <c r="BM35" s="139">
        <v>4.1145119990510153E-10</v>
      </c>
      <c r="BN35" s="139">
        <v>4.1140125228003157E-10</v>
      </c>
      <c r="BO35" s="139">
        <v>4.1145119990510153E-10</v>
      </c>
      <c r="BP35" s="139">
        <v>4.8139594413437683E-10</v>
      </c>
      <c r="BQ35" s="139">
        <v>5.5796442158532612E-10</v>
      </c>
      <c r="BR35" s="139">
        <v>7.877657885716569E-10</v>
      </c>
      <c r="BS35" s="139">
        <v>4.364813339113576E-10</v>
      </c>
      <c r="BT35" s="139">
        <v>5.9443796744074736E-10</v>
      </c>
      <c r="BU35" s="139">
        <v>3.7792388570583561E-10</v>
      </c>
      <c r="BV35" s="139">
        <v>1.9554732009238684E-9</v>
      </c>
    </row>
    <row r="36" spans="1:74" x14ac:dyDescent="0.25">
      <c r="A36" s="137">
        <v>42837</v>
      </c>
      <c r="B36" s="138">
        <v>0.46006944444444442</v>
      </c>
      <c r="C36" s="139">
        <v>30.47</v>
      </c>
      <c r="E36" s="140">
        <v>27.8</v>
      </c>
      <c r="F36" s="139">
        <v>2.7</v>
      </c>
      <c r="I36" s="139">
        <v>25.04</v>
      </c>
      <c r="J36" s="139">
        <v>26.09</v>
      </c>
      <c r="K36" s="139">
        <v>25.04</v>
      </c>
      <c r="L36" s="139">
        <v>26.27</v>
      </c>
      <c r="M36" s="139">
        <v>24.78</v>
      </c>
      <c r="N36" s="139">
        <v>27.51</v>
      </c>
      <c r="O36" s="139">
        <v>24.4</v>
      </c>
      <c r="P36" s="139">
        <v>25.25</v>
      </c>
      <c r="Q36" s="139">
        <v>24.18</v>
      </c>
      <c r="S36" s="139">
        <v>5.3532230278676567E-10</v>
      </c>
      <c r="T36" s="139">
        <v>5.6915148344876249E-10</v>
      </c>
      <c r="U36" s="139">
        <v>5.3532230278676567E-10</v>
      </c>
      <c r="V36" s="139">
        <v>6.4582175957236772E-10</v>
      </c>
      <c r="W36" s="139">
        <v>6.7463732469937603E-10</v>
      </c>
      <c r="X36" s="139">
        <v>1.0065268411507832E-9</v>
      </c>
      <c r="Y36" s="139">
        <v>5.4337943838646957E-10</v>
      </c>
      <c r="Z36" s="139">
        <v>7.2444594559901085E-10</v>
      </c>
      <c r="AA36" s="139">
        <v>4.7954173625264691E-10</v>
      </c>
      <c r="AB36" s="139">
        <v>2.3879571603117146E-9</v>
      </c>
      <c r="BB36" s="136">
        <v>25.04</v>
      </c>
      <c r="BC36" s="136">
        <v>26.09</v>
      </c>
      <c r="BD36" s="136">
        <v>25.04</v>
      </c>
      <c r="BE36" s="136">
        <v>26.27</v>
      </c>
      <c r="BF36" s="136">
        <v>24.78</v>
      </c>
      <c r="BG36" s="136">
        <v>27.51</v>
      </c>
      <c r="BH36" s="136">
        <v>24.4</v>
      </c>
      <c r="BI36" s="136">
        <v>25.25</v>
      </c>
      <c r="BJ36" s="136">
        <v>24.18</v>
      </c>
      <c r="BK36" s="136">
        <v>30.47</v>
      </c>
      <c r="BM36" s="139">
        <v>5.3532230278676567E-10</v>
      </c>
      <c r="BN36" s="139">
        <v>5.6915148344876249E-10</v>
      </c>
      <c r="BO36" s="139">
        <v>5.3532230278676567E-10</v>
      </c>
      <c r="BP36" s="139">
        <v>6.4582175957236772E-10</v>
      </c>
      <c r="BQ36" s="139">
        <v>6.7463732469937603E-10</v>
      </c>
      <c r="BR36" s="139">
        <v>1.0065268411507832E-9</v>
      </c>
      <c r="BS36" s="139">
        <v>5.4337943838646957E-10</v>
      </c>
      <c r="BT36" s="139">
        <v>7.2444594559901085E-10</v>
      </c>
      <c r="BU36" s="139">
        <v>4.7954173625264691E-10</v>
      </c>
      <c r="BV36" s="139">
        <v>2.3879571603117146E-9</v>
      </c>
    </row>
    <row r="37" spans="1:74" x14ac:dyDescent="0.25">
      <c r="A37" s="137">
        <v>42837</v>
      </c>
      <c r="B37" s="138">
        <v>0.4604166666666667</v>
      </c>
      <c r="C37" s="139">
        <v>30.28</v>
      </c>
      <c r="E37" s="140">
        <v>27.4</v>
      </c>
      <c r="F37" s="139">
        <v>2.9</v>
      </c>
      <c r="I37" s="139">
        <v>24.59</v>
      </c>
      <c r="J37" s="139">
        <v>25.54</v>
      </c>
      <c r="K37" s="139">
        <v>24.59</v>
      </c>
      <c r="L37" s="139">
        <v>25.47</v>
      </c>
      <c r="M37" s="139">
        <v>24.72</v>
      </c>
      <c r="N37" s="139">
        <v>29.8</v>
      </c>
      <c r="O37" s="139">
        <v>24.24</v>
      </c>
      <c r="P37" s="139">
        <v>24.94</v>
      </c>
      <c r="Q37" s="139">
        <v>25.04</v>
      </c>
      <c r="S37" s="139">
        <v>6.4700091392829216E-10</v>
      </c>
      <c r="T37" s="139">
        <v>7.0813714683672622E-10</v>
      </c>
      <c r="U37" s="139">
        <v>6.4700091392829216E-10</v>
      </c>
      <c r="V37" s="139">
        <v>7.8258519588770343E-10</v>
      </c>
      <c r="W37" s="139">
        <v>7.8970941556980113E-10</v>
      </c>
      <c r="X37" s="139">
        <v>1.3771819618012427E-9</v>
      </c>
      <c r="Y37" s="139">
        <v>6.4641093404996949E-10</v>
      </c>
      <c r="Z37" s="139">
        <v>8.4549739793581961E-10</v>
      </c>
      <c r="AA37" s="139">
        <v>6.0341283913431105E-10</v>
      </c>
      <c r="AB37" s="139">
        <v>2.8019282421678816E-9</v>
      </c>
      <c r="BB37" s="136">
        <v>24.59</v>
      </c>
      <c r="BC37" s="136">
        <v>25.54</v>
      </c>
      <c r="BD37" s="136">
        <v>24.59</v>
      </c>
      <c r="BE37" s="136">
        <v>25.47</v>
      </c>
      <c r="BF37" s="136">
        <v>24.72</v>
      </c>
      <c r="BG37" s="136">
        <v>29.8</v>
      </c>
      <c r="BH37" s="136">
        <v>24.24</v>
      </c>
      <c r="BI37" s="136">
        <v>24.94</v>
      </c>
      <c r="BJ37" s="136">
        <v>25.04</v>
      </c>
      <c r="BK37" s="136">
        <v>30.28</v>
      </c>
      <c r="BM37" s="139">
        <v>6.4700091392829216E-10</v>
      </c>
      <c r="BN37" s="139">
        <v>7.0813714683672622E-10</v>
      </c>
      <c r="BO37" s="139">
        <v>6.4700091392829216E-10</v>
      </c>
      <c r="BP37" s="139">
        <v>7.8258519588770343E-10</v>
      </c>
      <c r="BQ37" s="139">
        <v>7.8970941556980113E-10</v>
      </c>
      <c r="BR37" s="139">
        <v>1.3771819618012427E-9</v>
      </c>
      <c r="BS37" s="139">
        <v>6.4641093404996949E-10</v>
      </c>
      <c r="BT37" s="139">
        <v>8.4549739793581961E-10</v>
      </c>
      <c r="BU37" s="139">
        <v>6.0341283913431105E-10</v>
      </c>
      <c r="BV37" s="139">
        <v>2.8019282421678816E-9</v>
      </c>
    </row>
    <row r="38" spans="1:74" x14ac:dyDescent="0.25">
      <c r="A38" s="137">
        <v>42837</v>
      </c>
      <c r="B38" s="138">
        <v>0.46076388888888892</v>
      </c>
      <c r="C38" s="139">
        <v>30.09</v>
      </c>
      <c r="E38" s="140">
        <v>27.2</v>
      </c>
      <c r="F38" s="139">
        <v>2.9</v>
      </c>
      <c r="I38" s="139">
        <v>24.27</v>
      </c>
      <c r="J38" s="139">
        <v>25.06</v>
      </c>
      <c r="K38" s="139">
        <v>24.27</v>
      </c>
      <c r="L38" s="139">
        <v>24.85</v>
      </c>
      <c r="M38" s="139">
        <v>24.59</v>
      </c>
      <c r="N38" s="139">
        <v>28.55</v>
      </c>
      <c r="O38" s="139">
        <v>24.89</v>
      </c>
      <c r="P38" s="139">
        <v>24.99</v>
      </c>
      <c r="Q38" s="139">
        <v>27.71</v>
      </c>
      <c r="S38" s="139">
        <v>7.5074658980103745E-10</v>
      </c>
      <c r="T38" s="139">
        <v>8.3258001275084576E-10</v>
      </c>
      <c r="U38" s="139">
        <v>7.5074658980103745E-10</v>
      </c>
      <c r="V38" s="139">
        <v>9.0115388117078612E-10</v>
      </c>
      <c r="W38" s="139">
        <v>9.0138802671132762E-10</v>
      </c>
      <c r="X38" s="139">
        <v>1.6551340904364443E-9</v>
      </c>
      <c r="Y38" s="139">
        <v>7.6607672187023921E-10</v>
      </c>
      <c r="Z38" s="139">
        <v>9.6795056002805628E-10</v>
      </c>
      <c r="AA38" s="139">
        <v>8.3248378249157801E-10</v>
      </c>
      <c r="AB38" s="139">
        <v>3.1981789074081178E-9</v>
      </c>
      <c r="BB38" s="136">
        <v>24.27</v>
      </c>
      <c r="BC38" s="136">
        <v>25.06</v>
      </c>
      <c r="BD38" s="136">
        <v>24.27</v>
      </c>
      <c r="BE38" s="136">
        <v>24.85</v>
      </c>
      <c r="BF38" s="136">
        <v>24.59</v>
      </c>
      <c r="BG38" s="136">
        <v>28.55</v>
      </c>
      <c r="BH38" s="136">
        <v>24.89</v>
      </c>
      <c r="BI38" s="136">
        <v>24.99</v>
      </c>
      <c r="BJ38" s="136">
        <v>27.71</v>
      </c>
      <c r="BK38" s="136">
        <v>30.09</v>
      </c>
      <c r="BM38" s="139">
        <v>7.5074658980103745E-10</v>
      </c>
      <c r="BN38" s="139">
        <v>8.3258001275084576E-10</v>
      </c>
      <c r="BO38" s="139">
        <v>7.5074658980103745E-10</v>
      </c>
      <c r="BP38" s="139">
        <v>9.0115388117078612E-10</v>
      </c>
      <c r="BQ38" s="139">
        <v>9.0138802671132762E-10</v>
      </c>
      <c r="BR38" s="139">
        <v>1.6551340904364443E-9</v>
      </c>
      <c r="BS38" s="139">
        <v>7.6607672187023921E-10</v>
      </c>
      <c r="BT38" s="139">
        <v>9.6795056002805628E-10</v>
      </c>
      <c r="BU38" s="139">
        <v>8.3248378249157801E-10</v>
      </c>
      <c r="BV38" s="139">
        <v>3.1981789074081178E-9</v>
      </c>
    </row>
    <row r="39" spans="1:74" x14ac:dyDescent="0.25">
      <c r="A39" s="137">
        <v>42837</v>
      </c>
      <c r="B39" s="138">
        <v>0.46111111111111108</v>
      </c>
      <c r="C39" s="139">
        <v>30.03</v>
      </c>
      <c r="E39" s="140">
        <v>27.1</v>
      </c>
      <c r="F39" s="139">
        <v>2.9</v>
      </c>
      <c r="I39" s="139">
        <v>24.13</v>
      </c>
      <c r="J39" s="139">
        <v>25.33</v>
      </c>
      <c r="K39" s="139">
        <v>24.13</v>
      </c>
      <c r="L39" s="139">
        <v>24.4</v>
      </c>
      <c r="M39" s="139">
        <v>24.45</v>
      </c>
      <c r="N39" s="139">
        <v>27.29</v>
      </c>
      <c r="O39" s="139">
        <v>23.99</v>
      </c>
      <c r="P39" s="139">
        <v>26.2</v>
      </c>
      <c r="Q39" s="139">
        <v>26.99</v>
      </c>
      <c r="S39" s="139">
        <v>8.5120123043147376E-10</v>
      </c>
      <c r="T39" s="139">
        <v>9.6500501968118051E-10</v>
      </c>
      <c r="U39" s="139">
        <v>8.5120123043147376E-10</v>
      </c>
      <c r="V39" s="139">
        <v>1.0080519856458981E-9</v>
      </c>
      <c r="W39" s="139">
        <v>1.0095239528976787E-9</v>
      </c>
      <c r="X39" s="139">
        <v>1.8630893956834546E-9</v>
      </c>
      <c r="Y39" s="139">
        <v>8.6334472595137195E-10</v>
      </c>
      <c r="Z39" s="139">
        <v>1.1297473884928706E-9</v>
      </c>
      <c r="AA39" s="139">
        <v>1.0265589654869021E-9</v>
      </c>
      <c r="AB39" s="139">
        <v>3.5889928097022827E-9</v>
      </c>
      <c r="BB39" s="136">
        <v>24.13</v>
      </c>
      <c r="BC39" s="136">
        <v>25.33</v>
      </c>
      <c r="BD39" s="136">
        <v>24.13</v>
      </c>
      <c r="BE39" s="136">
        <v>24.4</v>
      </c>
      <c r="BF39" s="136">
        <v>24.45</v>
      </c>
      <c r="BG39" s="136">
        <v>27.29</v>
      </c>
      <c r="BH39" s="136">
        <v>23.99</v>
      </c>
      <c r="BI39" s="136">
        <v>26.2</v>
      </c>
      <c r="BJ39" s="136">
        <v>26.99</v>
      </c>
      <c r="BK39" s="136">
        <v>30.03</v>
      </c>
      <c r="BM39" s="139">
        <v>8.5120123043147376E-10</v>
      </c>
      <c r="BN39" s="139">
        <v>9.6500501968118051E-10</v>
      </c>
      <c r="BO39" s="139">
        <v>8.5120123043147376E-10</v>
      </c>
      <c r="BP39" s="139">
        <v>1.0080519856458981E-9</v>
      </c>
      <c r="BQ39" s="139">
        <v>1.0095239528976787E-9</v>
      </c>
      <c r="BR39" s="139">
        <v>1.8630893956834546E-9</v>
      </c>
      <c r="BS39" s="139">
        <v>8.6334472595137195E-10</v>
      </c>
      <c r="BT39" s="139">
        <v>1.1297473884928706E-9</v>
      </c>
      <c r="BU39" s="139">
        <v>1.0265589654869021E-9</v>
      </c>
      <c r="BV39" s="139">
        <v>3.5889928097022827E-9</v>
      </c>
    </row>
    <row r="40" spans="1:74" x14ac:dyDescent="0.25">
      <c r="A40" s="137">
        <v>42837</v>
      </c>
      <c r="B40" s="138">
        <v>0.4614583333333333</v>
      </c>
      <c r="C40" s="139">
        <v>29.96</v>
      </c>
      <c r="E40" s="140">
        <v>26.9</v>
      </c>
      <c r="F40" s="139">
        <v>3.1</v>
      </c>
      <c r="I40" s="139">
        <v>23.77</v>
      </c>
      <c r="J40" s="139">
        <v>18.62</v>
      </c>
      <c r="K40" s="139">
        <v>23.77</v>
      </c>
      <c r="L40" s="139">
        <v>24.05</v>
      </c>
      <c r="M40" s="139">
        <v>24.13</v>
      </c>
      <c r="N40" s="139">
        <v>26.15</v>
      </c>
      <c r="O40" s="139">
        <v>23.23</v>
      </c>
      <c r="P40" s="139">
        <v>23.53</v>
      </c>
      <c r="Q40" s="139">
        <v>23.53</v>
      </c>
      <c r="S40" s="139">
        <v>9.4366466138037719E-10</v>
      </c>
      <c r="T40" s="139">
        <v>9.9325186842179555E-10</v>
      </c>
      <c r="U40" s="139">
        <v>9.4366466138037719E-10</v>
      </c>
      <c r="V40" s="139">
        <v>1.1066731224516404E-9</v>
      </c>
      <c r="W40" s="139">
        <v>1.109978593528115E-9</v>
      </c>
      <c r="X40" s="139">
        <v>2.0230341511680244E-9</v>
      </c>
      <c r="Y40" s="139">
        <v>9.4499732334608868E-10</v>
      </c>
      <c r="Z40" s="139">
        <v>1.2172397229241033E-9</v>
      </c>
      <c r="AA40" s="139">
        <v>1.1140512999181349E-9</v>
      </c>
      <c r="AB40" s="139">
        <v>3.9735580298455875E-9</v>
      </c>
      <c r="BB40" s="136">
        <v>23.77</v>
      </c>
      <c r="BC40" s="136">
        <v>18.62</v>
      </c>
      <c r="BD40" s="136">
        <v>23.77</v>
      </c>
      <c r="BE40" s="136">
        <v>24.05</v>
      </c>
      <c r="BF40" s="136">
        <v>24.13</v>
      </c>
      <c r="BG40" s="136">
        <v>26.15</v>
      </c>
      <c r="BH40" s="136">
        <v>23.23</v>
      </c>
      <c r="BI40" s="136">
        <v>23.53</v>
      </c>
      <c r="BJ40" s="136">
        <v>23.53</v>
      </c>
      <c r="BK40" s="136">
        <v>29.96</v>
      </c>
      <c r="BM40" s="139">
        <v>9.4366466138037719E-10</v>
      </c>
      <c r="BN40" s="139">
        <v>9.9325186842179555E-10</v>
      </c>
      <c r="BO40" s="139">
        <v>9.4366466138037719E-10</v>
      </c>
      <c r="BP40" s="139">
        <v>1.1066731224516404E-9</v>
      </c>
      <c r="BQ40" s="139">
        <v>1.109978593528115E-9</v>
      </c>
      <c r="BR40" s="139">
        <v>2.0230341511680244E-9</v>
      </c>
      <c r="BS40" s="139">
        <v>9.4499732334608868E-10</v>
      </c>
      <c r="BT40" s="139">
        <v>1.2172397229241033E-9</v>
      </c>
      <c r="BU40" s="139">
        <v>1.1140512999181349E-9</v>
      </c>
      <c r="BV40" s="139">
        <v>3.9735580298455875E-9</v>
      </c>
    </row>
    <row r="41" spans="1:74" x14ac:dyDescent="0.25">
      <c r="A41" s="137">
        <v>42837</v>
      </c>
      <c r="B41" s="138">
        <v>0.46180555555555558</v>
      </c>
      <c r="C41" s="139">
        <v>29.8</v>
      </c>
      <c r="E41" s="140">
        <v>26.6</v>
      </c>
      <c r="F41" s="139">
        <v>3.2</v>
      </c>
      <c r="I41" s="139">
        <v>23.44</v>
      </c>
      <c r="J41" s="139">
        <v>18.399999999999999</v>
      </c>
      <c r="K41" s="139">
        <v>23.44</v>
      </c>
      <c r="L41" s="139">
        <v>23.81</v>
      </c>
      <c r="M41" s="139">
        <v>23.79</v>
      </c>
      <c r="N41" s="139">
        <v>25.63</v>
      </c>
      <c r="O41" s="139">
        <v>23.05</v>
      </c>
      <c r="P41" s="139">
        <v>23.14</v>
      </c>
      <c r="Q41" s="139">
        <v>23.02</v>
      </c>
      <c r="S41" s="139">
        <v>1.0293625267557982E-9</v>
      </c>
      <c r="T41" s="139">
        <v>1.0201034582403082E-9</v>
      </c>
      <c r="U41" s="139">
        <v>1.0293625267557982E-9</v>
      </c>
      <c r="V41" s="139">
        <v>1.199992106993374E-9</v>
      </c>
      <c r="W41" s="139">
        <v>1.2028688162826999E-9</v>
      </c>
      <c r="X41" s="139">
        <v>2.1649301025901018E-9</v>
      </c>
      <c r="Y41" s="139">
        <v>1.0233348768514959E-9</v>
      </c>
      <c r="Z41" s="139">
        <v>1.2972176243548368E-9</v>
      </c>
      <c r="AA41" s="139">
        <v>1.1918495814983884E-9</v>
      </c>
      <c r="AB41" s="139">
        <v>4.344213150496047E-9</v>
      </c>
      <c r="BB41" s="136">
        <v>23.44</v>
      </c>
      <c r="BC41" s="136">
        <v>18.399999999999999</v>
      </c>
      <c r="BD41" s="136">
        <v>23.44</v>
      </c>
      <c r="BE41" s="136">
        <v>23.81</v>
      </c>
      <c r="BF41" s="136">
        <v>23.79</v>
      </c>
      <c r="BG41" s="136">
        <v>25.63</v>
      </c>
      <c r="BH41" s="136">
        <v>23.05</v>
      </c>
      <c r="BI41" s="136">
        <v>23.14</v>
      </c>
      <c r="BJ41" s="136">
        <v>23.02</v>
      </c>
      <c r="BK41" s="136">
        <v>29.8</v>
      </c>
      <c r="BM41" s="139">
        <v>1.0293625267557982E-9</v>
      </c>
      <c r="BN41" s="139">
        <v>1.0201034582403082E-9</v>
      </c>
      <c r="BO41" s="139">
        <v>1.0293625267557982E-9</v>
      </c>
      <c r="BP41" s="139">
        <v>1.199992106993374E-9</v>
      </c>
      <c r="BQ41" s="139">
        <v>1.2028688162826999E-9</v>
      </c>
      <c r="BR41" s="139">
        <v>2.1649301025901018E-9</v>
      </c>
      <c r="BS41" s="139">
        <v>1.0233348768514959E-9</v>
      </c>
      <c r="BT41" s="139">
        <v>1.2972176243548368E-9</v>
      </c>
      <c r="BU41" s="139">
        <v>1.1918495814983884E-9</v>
      </c>
      <c r="BV41" s="139">
        <v>4.344213150496047E-9</v>
      </c>
    </row>
    <row r="42" spans="1:74" x14ac:dyDescent="0.25">
      <c r="A42" s="137">
        <v>42837</v>
      </c>
      <c r="B42" s="138">
        <v>0.4621527777777778</v>
      </c>
      <c r="C42" s="139">
        <v>29.62</v>
      </c>
      <c r="E42" s="140">
        <v>26.4</v>
      </c>
      <c r="F42" s="139">
        <v>3.2</v>
      </c>
      <c r="I42" s="139">
        <v>23.19</v>
      </c>
      <c r="J42" s="139">
        <v>18.38</v>
      </c>
      <c r="K42" s="139">
        <v>23.19</v>
      </c>
      <c r="L42" s="139">
        <v>23.69</v>
      </c>
      <c r="M42" s="139">
        <v>23.54</v>
      </c>
      <c r="N42" s="139">
        <v>25.05</v>
      </c>
      <c r="O42" s="139">
        <v>22.75</v>
      </c>
      <c r="P42" s="139">
        <v>22.86</v>
      </c>
      <c r="Q42" s="139">
        <v>22.66</v>
      </c>
      <c r="S42" s="139">
        <v>1.1102665286379512E-9</v>
      </c>
      <c r="T42" s="139">
        <v>1.0468316762101567E-9</v>
      </c>
      <c r="U42" s="139">
        <v>1.1102665286379512E-9</v>
      </c>
      <c r="V42" s="139">
        <v>1.2907678901320308E-9</v>
      </c>
      <c r="W42" s="139">
        <v>1.2905628413747876E-9</v>
      </c>
      <c r="X42" s="139">
        <v>2.2890867578548796E-9</v>
      </c>
      <c r="Y42" s="139">
        <v>1.096443735574332E-9</v>
      </c>
      <c r="Z42" s="139">
        <v>1.3722018661299554E-9</v>
      </c>
      <c r="AA42" s="139">
        <v>1.2634589764620655E-9</v>
      </c>
      <c r="AB42" s="139">
        <v>4.6998199073227119E-9</v>
      </c>
      <c r="BB42" s="136">
        <v>23.19</v>
      </c>
      <c r="BC42" s="136">
        <v>18.38</v>
      </c>
      <c r="BD42" s="136">
        <v>23.19</v>
      </c>
      <c r="BE42" s="136">
        <v>23.69</v>
      </c>
      <c r="BF42" s="136">
        <v>23.54</v>
      </c>
      <c r="BG42" s="136">
        <v>25.05</v>
      </c>
      <c r="BH42" s="136">
        <v>22.75</v>
      </c>
      <c r="BI42" s="136">
        <v>22.86</v>
      </c>
      <c r="BJ42" s="136">
        <v>22.66</v>
      </c>
      <c r="BK42" s="136">
        <v>29.62</v>
      </c>
      <c r="BM42" s="139">
        <v>1.1102665286379512E-9</v>
      </c>
      <c r="BN42" s="139">
        <v>1.0468316762101567E-9</v>
      </c>
      <c r="BO42" s="139">
        <v>1.1102665286379512E-9</v>
      </c>
      <c r="BP42" s="139">
        <v>1.2907678901320308E-9</v>
      </c>
      <c r="BQ42" s="139">
        <v>1.2905628413747876E-9</v>
      </c>
      <c r="BR42" s="139">
        <v>2.2890867578548796E-9</v>
      </c>
      <c r="BS42" s="139">
        <v>1.096443735574332E-9</v>
      </c>
      <c r="BT42" s="139">
        <v>1.3722018661299554E-9</v>
      </c>
      <c r="BU42" s="139">
        <v>1.2634589764620655E-9</v>
      </c>
      <c r="BV42" s="139">
        <v>4.6998199073227119E-9</v>
      </c>
    </row>
    <row r="43" spans="1:74" x14ac:dyDescent="0.25">
      <c r="A43" s="137">
        <v>42837</v>
      </c>
      <c r="B43" s="138">
        <v>0.46249999999999997</v>
      </c>
      <c r="C43" s="139">
        <v>29.42</v>
      </c>
      <c r="E43" s="140">
        <v>25.9</v>
      </c>
      <c r="F43" s="139">
        <v>3.5</v>
      </c>
      <c r="I43" s="139">
        <v>22.41</v>
      </c>
      <c r="J43" s="139">
        <v>18.41</v>
      </c>
      <c r="K43" s="139">
        <v>22.41</v>
      </c>
      <c r="L43" s="139">
        <v>21.13</v>
      </c>
      <c r="M43" s="139">
        <v>23.36</v>
      </c>
      <c r="N43" s="139">
        <v>24.85</v>
      </c>
      <c r="O43" s="139">
        <v>22.94</v>
      </c>
      <c r="P43" s="139">
        <v>23.03</v>
      </c>
      <c r="Q43" s="139">
        <v>22.83</v>
      </c>
      <c r="S43" s="139">
        <v>1.177870156797665E-9</v>
      </c>
      <c r="T43" s="139">
        <v>1.073745165335971E-9</v>
      </c>
      <c r="U43" s="139">
        <v>1.177870156797665E-9</v>
      </c>
      <c r="V43" s="139">
        <v>1.3411144735746209E-9</v>
      </c>
      <c r="W43" s="139">
        <v>1.3746965444283107E-9</v>
      </c>
      <c r="X43" s="139">
        <v>2.4076554431379625E-9</v>
      </c>
      <c r="Y43" s="139">
        <v>1.1728220384862356E-9</v>
      </c>
      <c r="Z43" s="139">
        <v>1.450179491271303E-9</v>
      </c>
      <c r="AA43" s="139">
        <v>1.337927030347611E-9</v>
      </c>
      <c r="AB43" s="139">
        <v>5.0394217236313044E-9</v>
      </c>
      <c r="BB43" s="136">
        <v>22.41</v>
      </c>
      <c r="BC43" s="136">
        <v>18.41</v>
      </c>
      <c r="BD43" s="136">
        <v>22.41</v>
      </c>
      <c r="BE43" s="136">
        <v>21.13</v>
      </c>
      <c r="BF43" s="136">
        <v>23.36</v>
      </c>
      <c r="BG43" s="136">
        <v>24.85</v>
      </c>
      <c r="BH43" s="136">
        <v>22.94</v>
      </c>
      <c r="BI43" s="136">
        <v>23.03</v>
      </c>
      <c r="BJ43" s="136">
        <v>22.83</v>
      </c>
      <c r="BK43" s="136">
        <v>29.42</v>
      </c>
      <c r="BM43" s="139">
        <v>1.177870156797665E-9</v>
      </c>
      <c r="BN43" s="139">
        <v>1.073745165335971E-9</v>
      </c>
      <c r="BO43" s="139">
        <v>1.177870156797665E-9</v>
      </c>
      <c r="BP43" s="139">
        <v>1.3411144735746209E-9</v>
      </c>
      <c r="BQ43" s="139">
        <v>1.3746965444283107E-9</v>
      </c>
      <c r="BR43" s="139">
        <v>2.4076554431379625E-9</v>
      </c>
      <c r="BS43" s="139">
        <v>1.1728220384862356E-9</v>
      </c>
      <c r="BT43" s="139">
        <v>1.450179491271303E-9</v>
      </c>
      <c r="BU43" s="139">
        <v>1.337927030347611E-9</v>
      </c>
      <c r="BV43" s="139">
        <v>5.0394217236313044E-9</v>
      </c>
    </row>
    <row r="44" spans="1:74" x14ac:dyDescent="0.25">
      <c r="A44" s="137">
        <v>42837</v>
      </c>
      <c r="B44" s="138">
        <v>0.46284722222222219</v>
      </c>
      <c r="C44" s="139">
        <v>29.23</v>
      </c>
      <c r="E44" s="140">
        <v>24.1</v>
      </c>
      <c r="F44" s="139">
        <v>5.0999999999999996</v>
      </c>
      <c r="I44" s="139">
        <v>19</v>
      </c>
      <c r="J44" s="139">
        <v>18.41</v>
      </c>
      <c r="K44" s="139">
        <v>19</v>
      </c>
      <c r="L44" s="139">
        <v>18.920000000000002</v>
      </c>
      <c r="M44" s="139">
        <v>22.21</v>
      </c>
      <c r="N44" s="139">
        <v>25.1</v>
      </c>
      <c r="O44" s="139">
        <v>23.09</v>
      </c>
      <c r="P44" s="139">
        <v>23.12</v>
      </c>
      <c r="Q44" s="139">
        <v>22.93</v>
      </c>
      <c r="S44" s="139">
        <v>1.2086999068907391E-9</v>
      </c>
      <c r="T44" s="139">
        <v>1.1006586544617853E-9</v>
      </c>
      <c r="U44" s="139">
        <v>1.2086999068907391E-9</v>
      </c>
      <c r="V44" s="139">
        <v>1.3713815173123165E-9</v>
      </c>
      <c r="W44" s="139">
        <v>1.4392575081089873E-9</v>
      </c>
      <c r="X44" s="139">
        <v>2.5332497647134413E-9</v>
      </c>
      <c r="Y44" s="139">
        <v>1.2518844404497548E-9</v>
      </c>
      <c r="Z44" s="139">
        <v>1.5297899276238617E-9</v>
      </c>
      <c r="AA44" s="139">
        <v>1.4141296680374757E-9</v>
      </c>
      <c r="AB44" s="139">
        <v>5.3644865688028498E-9</v>
      </c>
      <c r="BB44" s="136">
        <v>19</v>
      </c>
      <c r="BC44" s="136">
        <v>18.41</v>
      </c>
      <c r="BD44" s="136">
        <v>19</v>
      </c>
      <c r="BE44" s="136">
        <v>18.920000000000002</v>
      </c>
      <c r="BF44" s="136">
        <v>22.21</v>
      </c>
      <c r="BG44" s="136">
        <v>25.1</v>
      </c>
      <c r="BH44" s="136">
        <v>23.09</v>
      </c>
      <c r="BI44" s="136">
        <v>23.12</v>
      </c>
      <c r="BJ44" s="136">
        <v>22.93</v>
      </c>
      <c r="BK44" s="136">
        <v>29.23</v>
      </c>
      <c r="BM44" s="139">
        <v>1.2086999068907391E-9</v>
      </c>
      <c r="BN44" s="139">
        <v>1.1006586544617853E-9</v>
      </c>
      <c r="BO44" s="139">
        <v>1.2086999068907391E-9</v>
      </c>
      <c r="BP44" s="139">
        <v>1.3713815173123165E-9</v>
      </c>
      <c r="BQ44" s="139">
        <v>1.4392575081089873E-9</v>
      </c>
      <c r="BR44" s="139">
        <v>2.5332497647134413E-9</v>
      </c>
      <c r="BS44" s="139">
        <v>1.2518844404497548E-9</v>
      </c>
      <c r="BT44" s="139">
        <v>1.5297899276238617E-9</v>
      </c>
      <c r="BU44" s="139">
        <v>1.4141296680374757E-9</v>
      </c>
      <c r="BV44" s="139">
        <v>5.3644865688028498E-9</v>
      </c>
    </row>
    <row r="45" spans="1:74" x14ac:dyDescent="0.25">
      <c r="A45" s="137">
        <v>42837</v>
      </c>
      <c r="B45" s="138">
        <v>0.46319444444444446</v>
      </c>
      <c r="C45" s="139">
        <v>29.04</v>
      </c>
      <c r="E45" s="140">
        <v>23.9</v>
      </c>
      <c r="F45" s="139">
        <v>5.0999999999999996</v>
      </c>
      <c r="I45" s="139">
        <v>18.739999999999998</v>
      </c>
      <c r="J45" s="139">
        <v>18.43</v>
      </c>
      <c r="K45" s="139">
        <v>18.739999999999998</v>
      </c>
      <c r="L45" s="139">
        <v>18.84</v>
      </c>
      <c r="M45" s="139">
        <v>20.43</v>
      </c>
      <c r="N45" s="139">
        <v>20.12</v>
      </c>
      <c r="O45" s="139">
        <v>20.66</v>
      </c>
      <c r="P45" s="139">
        <v>23.04</v>
      </c>
      <c r="Q45" s="139">
        <v>22.87</v>
      </c>
      <c r="S45" s="139">
        <v>1.2377381277668047E-9</v>
      </c>
      <c r="T45" s="139">
        <v>1.1276963706090644E-9</v>
      </c>
      <c r="U45" s="139">
        <v>1.2377381277668047E-9</v>
      </c>
      <c r="V45" s="139">
        <v>1.4010961252430952E-9</v>
      </c>
      <c r="W45" s="139">
        <v>1.482109400370506E-9</v>
      </c>
      <c r="X45" s="139">
        <v>2.5731494990768402E-9</v>
      </c>
      <c r="Y45" s="139">
        <v>1.2970669141358698E-9</v>
      </c>
      <c r="Z45" s="139">
        <v>1.6079473097559092E-9</v>
      </c>
      <c r="AA45" s="139">
        <v>1.4892867663419768E-9</v>
      </c>
      <c r="AB45" s="139">
        <v>5.6756367113874289E-9</v>
      </c>
      <c r="BB45" s="136">
        <v>18.739999999999998</v>
      </c>
      <c r="BC45" s="136">
        <v>18.43</v>
      </c>
      <c r="BD45" s="136">
        <v>18.739999999999998</v>
      </c>
      <c r="BE45" s="136">
        <v>18.84</v>
      </c>
      <c r="BF45" s="136">
        <v>20.43</v>
      </c>
      <c r="BG45" s="136">
        <v>20.12</v>
      </c>
      <c r="BH45" s="136">
        <v>20.66</v>
      </c>
      <c r="BI45" s="136">
        <v>23.04</v>
      </c>
      <c r="BJ45" s="136">
        <v>22.87</v>
      </c>
      <c r="BK45" s="136">
        <v>29.04</v>
      </c>
      <c r="BM45" s="139">
        <v>1.2377381277668047E-9</v>
      </c>
      <c r="BN45" s="139">
        <v>1.1276963706090644E-9</v>
      </c>
      <c r="BO45" s="139">
        <v>1.2377381277668047E-9</v>
      </c>
      <c r="BP45" s="139">
        <v>1.4010961252430952E-9</v>
      </c>
      <c r="BQ45" s="139">
        <v>1.482109400370506E-9</v>
      </c>
      <c r="BR45" s="139">
        <v>2.5731494990768402E-9</v>
      </c>
      <c r="BS45" s="139">
        <v>1.2970669141358698E-9</v>
      </c>
      <c r="BT45" s="139">
        <v>1.6079473097559092E-9</v>
      </c>
      <c r="BU45" s="139">
        <v>1.4892867663419768E-9</v>
      </c>
      <c r="BV45" s="139">
        <v>5.6756367113874289E-9</v>
      </c>
    </row>
    <row r="46" spans="1:74" x14ac:dyDescent="0.25">
      <c r="A46" s="137">
        <v>42837</v>
      </c>
      <c r="B46" s="138">
        <v>0.46354166666666669</v>
      </c>
      <c r="C46" s="139">
        <v>28.87</v>
      </c>
      <c r="E46" s="140">
        <v>23.9</v>
      </c>
      <c r="F46" s="139">
        <v>5</v>
      </c>
      <c r="I46" s="139">
        <v>18.850000000000001</v>
      </c>
      <c r="J46" s="139">
        <v>18.47</v>
      </c>
      <c r="K46" s="139">
        <v>18.850000000000001</v>
      </c>
      <c r="L46" s="139">
        <v>19.02</v>
      </c>
      <c r="M46" s="139">
        <v>20.239999999999998</v>
      </c>
      <c r="N46" s="139">
        <v>20</v>
      </c>
      <c r="O46" s="139">
        <v>20.2</v>
      </c>
      <c r="P46" s="139">
        <v>24.23</v>
      </c>
      <c r="Q46" s="139">
        <v>23.99</v>
      </c>
      <c r="S46" s="139">
        <v>1.2675212349432552E-9</v>
      </c>
      <c r="T46" s="139">
        <v>1.1549842636636278E-9</v>
      </c>
      <c r="U46" s="139">
        <v>1.2675212349432552E-9</v>
      </c>
      <c r="V46" s="139">
        <v>1.4320681789969341E-9</v>
      </c>
      <c r="W46" s="139">
        <v>1.5231269775869968E-9</v>
      </c>
      <c r="X46" s="139">
        <v>2.6119618549082746E-9</v>
      </c>
      <c r="Y46" s="139">
        <v>1.3377084399440747E-9</v>
      </c>
      <c r="Z46" s="139">
        <v>1.7107418395551162E-9</v>
      </c>
      <c r="AA46" s="139">
        <v>1.5865547704231095E-9</v>
      </c>
      <c r="AB46" s="139">
        <v>5.9748425089175893E-9</v>
      </c>
      <c r="BB46" s="136">
        <v>18.850000000000001</v>
      </c>
      <c r="BC46" s="136">
        <v>18.47</v>
      </c>
      <c r="BD46" s="136">
        <v>18.850000000000001</v>
      </c>
      <c r="BE46" s="136">
        <v>19.02</v>
      </c>
      <c r="BF46" s="136">
        <v>20.239999999999998</v>
      </c>
      <c r="BG46" s="136">
        <v>20</v>
      </c>
      <c r="BH46" s="136">
        <v>20.2</v>
      </c>
      <c r="BI46" s="136">
        <v>24.23</v>
      </c>
      <c r="BJ46" s="136">
        <v>23.99</v>
      </c>
      <c r="BK46" s="136">
        <v>28.87</v>
      </c>
      <c r="BM46" s="139">
        <v>1.2675212349432552E-9</v>
      </c>
      <c r="BN46" s="139">
        <v>1.1549842636636278E-9</v>
      </c>
      <c r="BO46" s="139">
        <v>1.2675212349432552E-9</v>
      </c>
      <c r="BP46" s="139">
        <v>1.4320681789969341E-9</v>
      </c>
      <c r="BQ46" s="139">
        <v>1.5231269775869968E-9</v>
      </c>
      <c r="BR46" s="139">
        <v>2.6119618549082746E-9</v>
      </c>
      <c r="BS46" s="139">
        <v>1.3377084399440747E-9</v>
      </c>
      <c r="BT46" s="139">
        <v>1.7107418395551162E-9</v>
      </c>
      <c r="BU46" s="139">
        <v>1.5865547704231095E-9</v>
      </c>
      <c r="BV46" s="139">
        <v>5.9748425089175893E-9</v>
      </c>
    </row>
    <row r="47" spans="1:74" x14ac:dyDescent="0.25">
      <c r="A47" s="137">
        <v>42837</v>
      </c>
      <c r="B47" s="138">
        <v>0.46388888888888885</v>
      </c>
      <c r="C47" s="139">
        <v>28.7</v>
      </c>
      <c r="E47" s="140">
        <v>23.8</v>
      </c>
      <c r="F47" s="139">
        <v>4.9000000000000004</v>
      </c>
      <c r="I47" s="139">
        <v>18.899999999999999</v>
      </c>
      <c r="J47" s="139">
        <v>18.52</v>
      </c>
      <c r="K47" s="139">
        <v>18.899999999999999</v>
      </c>
      <c r="L47" s="139">
        <v>19.18</v>
      </c>
      <c r="M47" s="139">
        <v>20.23</v>
      </c>
      <c r="N47" s="139">
        <v>20</v>
      </c>
      <c r="O47" s="139">
        <v>20.62</v>
      </c>
      <c r="P47" s="139">
        <v>24.13</v>
      </c>
      <c r="Q47" s="139">
        <v>23.9</v>
      </c>
      <c r="S47" s="139">
        <v>1.2976492142469731E-9</v>
      </c>
      <c r="T47" s="139">
        <v>1.1825881356276657E-9</v>
      </c>
      <c r="U47" s="139">
        <v>1.2976492142469731E-9</v>
      </c>
      <c r="V47" s="139">
        <v>1.4642025648627851E-9</v>
      </c>
      <c r="W47" s="139">
        <v>1.5640502169937363E-9</v>
      </c>
      <c r="X47" s="139">
        <v>2.650774210739709E-9</v>
      </c>
      <c r="Y47" s="139">
        <v>1.3824766782215545E-9</v>
      </c>
      <c r="Z47" s="139">
        <v>1.8111964801855525E-9</v>
      </c>
      <c r="AA47" s="139">
        <v>1.6818278063212719E-9</v>
      </c>
      <c r="AB47" s="139">
        <v>6.2625624775861689E-9</v>
      </c>
      <c r="BB47" s="136">
        <v>18.899999999999999</v>
      </c>
      <c r="BC47" s="136">
        <v>18.52</v>
      </c>
      <c r="BD47" s="136">
        <v>18.899999999999999</v>
      </c>
      <c r="BE47" s="136">
        <v>19.18</v>
      </c>
      <c r="BF47" s="136">
        <v>20.23</v>
      </c>
      <c r="BG47" s="136">
        <v>20</v>
      </c>
      <c r="BH47" s="136">
        <v>20.62</v>
      </c>
      <c r="BI47" s="136">
        <v>24.13</v>
      </c>
      <c r="BJ47" s="136">
        <v>23.9</v>
      </c>
      <c r="BK47" s="136">
        <v>28.7</v>
      </c>
      <c r="BM47" s="139">
        <v>1.2976492142469731E-9</v>
      </c>
      <c r="BN47" s="139">
        <v>1.1825881356276657E-9</v>
      </c>
      <c r="BO47" s="139">
        <v>1.2976492142469731E-9</v>
      </c>
      <c r="BP47" s="139">
        <v>1.4642025648627851E-9</v>
      </c>
      <c r="BQ47" s="139">
        <v>1.5640502169937363E-9</v>
      </c>
      <c r="BR47" s="139">
        <v>2.650774210739709E-9</v>
      </c>
      <c r="BS47" s="139">
        <v>1.3824766782215545E-9</v>
      </c>
      <c r="BT47" s="139">
        <v>1.8111964801855525E-9</v>
      </c>
      <c r="BU47" s="139">
        <v>1.6818278063212719E-9</v>
      </c>
      <c r="BV47" s="139">
        <v>6.2625624775861689E-9</v>
      </c>
    </row>
    <row r="48" spans="1:74" x14ac:dyDescent="0.25">
      <c r="A48" s="137">
        <v>42837</v>
      </c>
      <c r="B48" s="138">
        <v>0.46423611111111113</v>
      </c>
      <c r="C48" s="139">
        <v>28.68</v>
      </c>
      <c r="E48" s="140">
        <v>24</v>
      </c>
      <c r="F48" s="139">
        <v>4.7</v>
      </c>
      <c r="I48" s="139">
        <v>19.27</v>
      </c>
      <c r="J48" s="139">
        <v>18.86</v>
      </c>
      <c r="K48" s="139">
        <v>19.27</v>
      </c>
      <c r="L48" s="139">
        <v>19.399999999999999</v>
      </c>
      <c r="M48" s="139">
        <v>20.29</v>
      </c>
      <c r="N48" s="139">
        <v>20.190000000000001</v>
      </c>
      <c r="O48" s="139">
        <v>21.39</v>
      </c>
      <c r="P48" s="139">
        <v>29.36</v>
      </c>
      <c r="Q48" s="139">
        <v>23.9</v>
      </c>
      <c r="S48" s="139">
        <v>1.3304564775621184E-9</v>
      </c>
      <c r="T48" s="139">
        <v>1.2124398999568575E-9</v>
      </c>
      <c r="U48" s="139">
        <v>1.3304564775621184E-9</v>
      </c>
      <c r="V48" s="139">
        <v>1.4980067136323843E-9</v>
      </c>
      <c r="W48" s="139">
        <v>1.6055427553694573E-9</v>
      </c>
      <c r="X48" s="139">
        <v>2.691322263632401E-9</v>
      </c>
      <c r="Y48" s="139">
        <v>1.4359294221826874E-9</v>
      </c>
      <c r="Z48" s="139">
        <v>2.1461387848938153E-9</v>
      </c>
      <c r="AA48" s="139">
        <v>1.7771008422194344E-9</v>
      </c>
      <c r="AB48" s="139">
        <v>6.5489604930790843E-9</v>
      </c>
      <c r="BB48" s="136">
        <v>19.27</v>
      </c>
      <c r="BC48" s="136">
        <v>18.86</v>
      </c>
      <c r="BD48" s="136">
        <v>19.27</v>
      </c>
      <c r="BE48" s="136">
        <v>19.399999999999999</v>
      </c>
      <c r="BF48" s="136">
        <v>20.29</v>
      </c>
      <c r="BG48" s="136">
        <v>20.190000000000001</v>
      </c>
      <c r="BH48" s="136">
        <v>21.39</v>
      </c>
      <c r="BI48" s="136">
        <v>29.36</v>
      </c>
      <c r="BJ48" s="136">
        <v>23.9</v>
      </c>
      <c r="BK48" s="136">
        <v>28.68</v>
      </c>
      <c r="BM48" s="139">
        <v>1.3304564775621184E-9</v>
      </c>
      <c r="BN48" s="139">
        <v>1.2124398999568575E-9</v>
      </c>
      <c r="BO48" s="139">
        <v>1.3304564775621184E-9</v>
      </c>
      <c r="BP48" s="139">
        <v>1.4980067136323843E-9</v>
      </c>
      <c r="BQ48" s="139">
        <v>1.6055427553694573E-9</v>
      </c>
      <c r="BR48" s="139">
        <v>2.691322263632401E-9</v>
      </c>
      <c r="BS48" s="139">
        <v>1.4359294221826874E-9</v>
      </c>
      <c r="BT48" s="139">
        <v>2.1461387848938153E-9</v>
      </c>
      <c r="BU48" s="139">
        <v>1.7771008422194344E-9</v>
      </c>
      <c r="BV48" s="139">
        <v>6.5489604930790843E-9</v>
      </c>
    </row>
    <row r="49" spans="1:74" x14ac:dyDescent="0.25">
      <c r="A49" s="137">
        <v>42837</v>
      </c>
      <c r="B49" s="138">
        <v>0.46458333333333335</v>
      </c>
      <c r="C49" s="139">
        <v>28.84</v>
      </c>
      <c r="E49" s="140">
        <v>24.2</v>
      </c>
      <c r="F49" s="139">
        <v>4.5999999999999996</v>
      </c>
      <c r="I49" s="139">
        <v>19.54</v>
      </c>
      <c r="J49" s="139">
        <v>19.41</v>
      </c>
      <c r="K49" s="139">
        <v>19.54</v>
      </c>
      <c r="L49" s="139">
        <v>19.559999999999999</v>
      </c>
      <c r="M49" s="139">
        <v>20.5</v>
      </c>
      <c r="N49" s="139">
        <v>20.260000000000002</v>
      </c>
      <c r="O49" s="139">
        <v>21.95</v>
      </c>
      <c r="P49" s="139">
        <v>31.03</v>
      </c>
      <c r="Q49" s="139">
        <v>30.77</v>
      </c>
      <c r="S49" s="139">
        <v>1.3653680977659769E-9</v>
      </c>
      <c r="T49" s="139">
        <v>1.2463219753373912E-9</v>
      </c>
      <c r="U49" s="139">
        <v>1.3653680977659769E-9</v>
      </c>
      <c r="V49" s="139">
        <v>1.5330794785533827E-9</v>
      </c>
      <c r="W49" s="139">
        <v>1.6490909348672614E-9</v>
      </c>
      <c r="X49" s="139">
        <v>2.7325291693830512E-9</v>
      </c>
      <c r="Y49" s="139">
        <v>1.4967387222150057E-9</v>
      </c>
      <c r="Z49" s="139">
        <v>2.6381443377743817E-9</v>
      </c>
      <c r="AA49" s="139">
        <v>2.2405157539091087E-9</v>
      </c>
      <c r="AB49" s="139">
        <v>6.8461065723868705E-9</v>
      </c>
      <c r="BB49" s="136">
        <v>19.54</v>
      </c>
      <c r="BC49" s="136">
        <v>19.41</v>
      </c>
      <c r="BD49" s="136">
        <v>19.54</v>
      </c>
      <c r="BE49" s="136">
        <v>19.559999999999999</v>
      </c>
      <c r="BF49" s="136">
        <v>20.5</v>
      </c>
      <c r="BG49" s="136">
        <v>20.260000000000002</v>
      </c>
      <c r="BH49" s="136">
        <v>21.95</v>
      </c>
      <c r="BI49" s="136">
        <v>31.03</v>
      </c>
      <c r="BJ49" s="136">
        <v>30.77</v>
      </c>
      <c r="BK49" s="136">
        <v>28.84</v>
      </c>
      <c r="BM49" s="139">
        <v>1.3653680977659769E-9</v>
      </c>
      <c r="BN49" s="139">
        <v>1.2463219753373912E-9</v>
      </c>
      <c r="BO49" s="139">
        <v>1.3653680977659769E-9</v>
      </c>
      <c r="BP49" s="139">
        <v>1.5330794785533827E-9</v>
      </c>
      <c r="BQ49" s="139">
        <v>1.6490909348672614E-9</v>
      </c>
      <c r="BR49" s="139">
        <v>2.7325291693830512E-9</v>
      </c>
      <c r="BS49" s="139">
        <v>1.4967387222150057E-9</v>
      </c>
      <c r="BT49" s="139">
        <v>2.6381443377743817E-9</v>
      </c>
      <c r="BU49" s="139">
        <v>2.2405157539091087E-9</v>
      </c>
      <c r="BV49" s="139">
        <v>6.8461065723868705E-9</v>
      </c>
    </row>
    <row r="50" spans="1:74" x14ac:dyDescent="0.25">
      <c r="A50" s="137">
        <v>42837</v>
      </c>
      <c r="B50" s="138">
        <v>0.46493055555555557</v>
      </c>
      <c r="C50" s="139">
        <v>28.84</v>
      </c>
      <c r="E50" s="140">
        <v>24.3</v>
      </c>
      <c r="F50" s="139">
        <v>4.5</v>
      </c>
      <c r="I50" s="139">
        <v>19.73</v>
      </c>
      <c r="J50" s="139">
        <v>19.829999999999998</v>
      </c>
      <c r="K50" s="139">
        <v>19.73</v>
      </c>
      <c r="L50" s="139">
        <v>19.829999999999998</v>
      </c>
      <c r="M50" s="139">
        <v>20.69</v>
      </c>
      <c r="N50" s="139">
        <v>20.55</v>
      </c>
      <c r="O50" s="139">
        <v>22.72</v>
      </c>
      <c r="P50" s="139">
        <v>44.58</v>
      </c>
      <c r="Q50" s="139">
        <v>46.36</v>
      </c>
      <c r="S50" s="139">
        <v>1.4018409732787053E-9</v>
      </c>
      <c r="T50" s="139">
        <v>1.2836444132578944E-9</v>
      </c>
      <c r="U50" s="139">
        <v>1.4018409732787053E-9</v>
      </c>
      <c r="V50" s="139">
        <v>1.570401916473886E-9</v>
      </c>
      <c r="W50" s="139">
        <v>1.6945865984988738E-9</v>
      </c>
      <c r="X50" s="139">
        <v>2.7765816130334519E-9</v>
      </c>
      <c r="Y50" s="139">
        <v>1.5693443030943927E-9</v>
      </c>
      <c r="Z50" s="139">
        <v>1.3780320084125909E-8</v>
      </c>
      <c r="AA50" s="139">
        <v>1.902739646605686E-8</v>
      </c>
      <c r="AB50" s="139">
        <v>7.1432526516946566E-9</v>
      </c>
      <c r="BB50" s="136">
        <v>19.73</v>
      </c>
      <c r="BC50" s="136">
        <v>19.829999999999998</v>
      </c>
      <c r="BD50" s="136">
        <v>19.73</v>
      </c>
      <c r="BE50" s="136">
        <v>19.829999999999998</v>
      </c>
      <c r="BF50" s="136">
        <v>20.69</v>
      </c>
      <c r="BG50" s="136">
        <v>20.55</v>
      </c>
      <c r="BH50" s="136">
        <v>22.72</v>
      </c>
      <c r="BI50" s="136">
        <v>44.58</v>
      </c>
      <c r="BJ50" s="136">
        <v>46.36</v>
      </c>
      <c r="BK50" s="136">
        <v>28.84</v>
      </c>
      <c r="BM50" s="139">
        <v>1.4018409732787053E-9</v>
      </c>
      <c r="BN50" s="139">
        <v>1.2836444132578944E-9</v>
      </c>
      <c r="BO50" s="139">
        <v>1.4018409732787053E-9</v>
      </c>
      <c r="BP50" s="139">
        <v>1.570401916473886E-9</v>
      </c>
      <c r="BQ50" s="139">
        <v>1.6945865984988738E-9</v>
      </c>
      <c r="BR50" s="139">
        <v>2.7765816130334519E-9</v>
      </c>
      <c r="BS50" s="139">
        <v>1.5693443030943927E-9</v>
      </c>
      <c r="BT50" s="139">
        <v>1.3780320084125909E-8</v>
      </c>
      <c r="BU50" s="139">
        <v>1.902739646605686E-8</v>
      </c>
      <c r="BV50" s="139">
        <v>7.1432526516946566E-9</v>
      </c>
    </row>
    <row r="51" spans="1:74" x14ac:dyDescent="0.25">
      <c r="A51" s="137">
        <v>42837</v>
      </c>
      <c r="B51" s="138">
        <v>0.46527777777777773</v>
      </c>
      <c r="C51" s="139">
        <v>30.14</v>
      </c>
      <c r="E51" s="140">
        <v>25</v>
      </c>
      <c r="F51" s="139">
        <v>5.0999999999999996</v>
      </c>
      <c r="I51" s="139">
        <v>19.8</v>
      </c>
      <c r="J51" s="139">
        <v>19.37</v>
      </c>
      <c r="K51" s="139">
        <v>19.8</v>
      </c>
      <c r="L51" s="139">
        <v>20.49</v>
      </c>
      <c r="M51" s="139">
        <v>21.07</v>
      </c>
      <c r="N51" s="139">
        <v>20.91</v>
      </c>
      <c r="O51" s="139">
        <v>23.71</v>
      </c>
      <c r="P51" s="139">
        <v>55.96</v>
      </c>
      <c r="Q51" s="139">
        <v>58.38</v>
      </c>
      <c r="S51" s="139">
        <v>1.4389064853437511E-9</v>
      </c>
      <c r="T51" s="139">
        <v>1.3172158559041921E-9</v>
      </c>
      <c r="U51" s="139">
        <v>1.4389064853437511E-9</v>
      </c>
      <c r="V51" s="139">
        <v>1.6138499379382009E-9</v>
      </c>
      <c r="W51" s="139">
        <v>1.7442424009199203E-9</v>
      </c>
      <c r="X51" s="139">
        <v>2.824441316598194E-9</v>
      </c>
      <c r="Y51" s="139">
        <v>1.6605390882103747E-9</v>
      </c>
      <c r="Z51" s="139">
        <v>1.6687849176866017E-7</v>
      </c>
      <c r="AA51" s="139">
        <v>2.8630957616454263E-7</v>
      </c>
      <c r="AB51" s="139">
        <v>7.5440916833884951E-9</v>
      </c>
      <c r="BB51" s="136">
        <v>19.8</v>
      </c>
      <c r="BC51" s="136">
        <v>19.37</v>
      </c>
      <c r="BD51" s="136">
        <v>19.8</v>
      </c>
      <c r="BE51" s="136">
        <v>20.49</v>
      </c>
      <c r="BF51" s="136">
        <v>21.07</v>
      </c>
      <c r="BG51" s="136">
        <v>20.91</v>
      </c>
      <c r="BH51" s="136">
        <v>23.71</v>
      </c>
      <c r="BI51" s="136">
        <v>55.96</v>
      </c>
      <c r="BJ51" s="136">
        <v>58.38</v>
      </c>
      <c r="BK51" s="136">
        <v>30.14</v>
      </c>
      <c r="BM51" s="139">
        <v>1.4389064853437511E-9</v>
      </c>
      <c r="BN51" s="139">
        <v>1.3172158559041921E-9</v>
      </c>
      <c r="BO51" s="139">
        <v>1.4389064853437511E-9</v>
      </c>
      <c r="BP51" s="139">
        <v>1.6138499379382009E-9</v>
      </c>
      <c r="BQ51" s="139">
        <v>1.7442424009199203E-9</v>
      </c>
      <c r="BR51" s="139">
        <v>2.824441316598194E-9</v>
      </c>
      <c r="BS51" s="139">
        <v>1.6605390882103747E-9</v>
      </c>
      <c r="BT51" s="139">
        <v>1.6687849176866017E-7</v>
      </c>
      <c r="BU51" s="139">
        <v>2.8630957616454263E-7</v>
      </c>
      <c r="BV51" s="139">
        <v>7.5440916833884951E-9</v>
      </c>
    </row>
    <row r="52" spans="1:74" x14ac:dyDescent="0.25">
      <c r="A52" s="137">
        <v>42837</v>
      </c>
      <c r="B52" s="138">
        <v>0.46562500000000001</v>
      </c>
      <c r="C52" s="139">
        <v>33.369999999999997</v>
      </c>
      <c r="E52" s="140">
        <v>26.7</v>
      </c>
      <c r="F52" s="139">
        <v>6.7</v>
      </c>
      <c r="I52" s="139">
        <v>20.05</v>
      </c>
      <c r="J52" s="139">
        <v>19.7</v>
      </c>
      <c r="K52" s="139">
        <v>20.05</v>
      </c>
      <c r="L52" s="139">
        <v>20.8</v>
      </c>
      <c r="M52" s="139">
        <v>21.36</v>
      </c>
      <c r="N52" s="139">
        <v>21.56</v>
      </c>
      <c r="O52" s="139">
        <v>27.72</v>
      </c>
      <c r="P52" s="139">
        <v>81.349999999999994</v>
      </c>
      <c r="Q52" s="139">
        <v>84.58</v>
      </c>
      <c r="S52" s="139">
        <v>1.4781682670742545E-9</v>
      </c>
      <c r="T52" s="139">
        <v>1.3534376539079417E-9</v>
      </c>
      <c r="U52" s="139">
        <v>1.4781682670742545E-9</v>
      </c>
      <c r="V52" s="139">
        <v>1.6605126529780505E-9</v>
      </c>
      <c r="W52" s="139">
        <v>1.7973271787798564E-9</v>
      </c>
      <c r="X52" s="139">
        <v>2.8800279029622738E-9</v>
      </c>
      <c r="Y52" s="139">
        <v>1.8901380946288086E-9</v>
      </c>
      <c r="Z52" s="139">
        <v>5.3129564750633044E-5</v>
      </c>
      <c r="AA52" s="139">
        <v>1.117080670396797E-4</v>
      </c>
      <c r="AB52" s="139">
        <v>8.3873681960828655E-9</v>
      </c>
      <c r="BB52" s="136">
        <v>20.05</v>
      </c>
      <c r="BC52" s="136">
        <v>19.7</v>
      </c>
      <c r="BD52" s="136">
        <v>20.05</v>
      </c>
      <c r="BE52" s="136">
        <v>20.8</v>
      </c>
      <c r="BF52" s="136">
        <v>21.36</v>
      </c>
      <c r="BG52" s="136">
        <v>21.56</v>
      </c>
      <c r="BH52" s="136">
        <v>27.72</v>
      </c>
      <c r="BI52" s="136">
        <v>81.349999999999994</v>
      </c>
      <c r="BJ52" s="136">
        <v>84.58</v>
      </c>
      <c r="BK52" s="136">
        <v>33.369999999999997</v>
      </c>
      <c r="BM52" s="139">
        <v>1.4781682670742545E-9</v>
      </c>
      <c r="BN52" s="139">
        <v>1.3534376539079417E-9</v>
      </c>
      <c r="BO52" s="139">
        <v>1.4781682670742545E-9</v>
      </c>
      <c r="BP52" s="139">
        <v>1.6605126529780505E-9</v>
      </c>
      <c r="BQ52" s="139">
        <v>1.7973271787798564E-9</v>
      </c>
      <c r="BR52" s="139">
        <v>2.8800279029622738E-9</v>
      </c>
      <c r="BS52" s="139">
        <v>1.8901380946288086E-9</v>
      </c>
      <c r="BT52" s="139">
        <v>5.3129564750633044E-5</v>
      </c>
      <c r="BU52" s="139">
        <v>1.117080670396797E-4</v>
      </c>
      <c r="BV52" s="139">
        <v>8.3873681960828655E-9</v>
      </c>
    </row>
    <row r="53" spans="1:74" x14ac:dyDescent="0.25">
      <c r="A53" s="137">
        <v>42837</v>
      </c>
      <c r="B53" s="138">
        <v>0.46597222222222223</v>
      </c>
      <c r="C53" s="139">
        <v>50.05</v>
      </c>
      <c r="E53" s="140">
        <v>35.299999999999997</v>
      </c>
      <c r="F53" s="139">
        <v>14.8</v>
      </c>
      <c r="I53" s="139">
        <v>20.48</v>
      </c>
      <c r="J53" s="139">
        <v>22.07</v>
      </c>
      <c r="K53" s="139">
        <v>20.48</v>
      </c>
      <c r="L53" s="139">
        <v>21.22</v>
      </c>
      <c r="M53" s="139">
        <v>21.77</v>
      </c>
      <c r="N53" s="139">
        <v>28.38</v>
      </c>
      <c r="O53" s="139">
        <v>46.68</v>
      </c>
      <c r="P53" s="139">
        <v>95.31</v>
      </c>
      <c r="Q53" s="139">
        <v>94.9</v>
      </c>
      <c r="S53" s="139">
        <v>1.5215163608621652E-9</v>
      </c>
      <c r="T53" s="139">
        <v>1.4159506054188276E-9</v>
      </c>
      <c r="U53" s="139">
        <v>1.5215163608621652E-9</v>
      </c>
      <c r="V53" s="139">
        <v>1.711913467884374E-9</v>
      </c>
      <c r="W53" s="139">
        <v>1.8556676596329043E-9</v>
      </c>
      <c r="X53" s="139">
        <v>3.1473100826607591E-9</v>
      </c>
      <c r="Y53" s="139">
        <v>1.9960631226609511E-8</v>
      </c>
      <c r="Z53" s="139">
        <v>1.3712952576633247E-3</v>
      </c>
      <c r="AA53" s="139">
        <v>1.3111245265494272E-3</v>
      </c>
      <c r="AB53" s="139">
        <v>4.764914992658647E-8</v>
      </c>
      <c r="BB53" s="136">
        <v>20.48</v>
      </c>
      <c r="BC53" s="136">
        <v>22.07</v>
      </c>
      <c r="BD53" s="136">
        <v>20.48</v>
      </c>
      <c r="BE53" s="136">
        <v>21.22</v>
      </c>
      <c r="BF53" s="136">
        <v>21.77</v>
      </c>
      <c r="BG53" s="136">
        <v>28.38</v>
      </c>
      <c r="BH53" s="136">
        <v>46.68</v>
      </c>
      <c r="BI53" s="136">
        <v>95.31</v>
      </c>
      <c r="BJ53" s="136">
        <v>94.9</v>
      </c>
      <c r="BK53" s="136">
        <v>50.05</v>
      </c>
      <c r="BM53" s="139">
        <v>1.5215163608621652E-9</v>
      </c>
      <c r="BN53" s="139">
        <v>1.4159506054188276E-9</v>
      </c>
      <c r="BO53" s="139">
        <v>1.5215163608621652E-9</v>
      </c>
      <c r="BP53" s="139">
        <v>1.711913467884374E-9</v>
      </c>
      <c r="BQ53" s="139">
        <v>1.8556676596329043E-9</v>
      </c>
      <c r="BR53" s="139">
        <v>3.1473100826607591E-9</v>
      </c>
      <c r="BS53" s="139">
        <v>1.9960631226609511E-8</v>
      </c>
      <c r="BT53" s="139">
        <v>1.3712952576633247E-3</v>
      </c>
      <c r="BU53" s="139">
        <v>1.3111245265494272E-3</v>
      </c>
      <c r="BV53" s="139">
        <v>4.764914992658647E-8</v>
      </c>
    </row>
    <row r="54" spans="1:74" x14ac:dyDescent="0.25">
      <c r="A54" s="137">
        <v>42837</v>
      </c>
      <c r="B54" s="138">
        <v>0.46631944444444445</v>
      </c>
      <c r="C54" s="139">
        <v>64.58</v>
      </c>
      <c r="E54" s="140">
        <v>43.3</v>
      </c>
      <c r="F54" s="139">
        <v>21.3</v>
      </c>
      <c r="I54" s="139">
        <v>22.05</v>
      </c>
      <c r="J54" s="139">
        <v>22.53</v>
      </c>
      <c r="K54" s="139">
        <v>22.05</v>
      </c>
      <c r="L54" s="139">
        <v>22.7</v>
      </c>
      <c r="M54" s="139">
        <v>23.75</v>
      </c>
      <c r="N54" s="139">
        <v>38.159999999999997</v>
      </c>
      <c r="O54" s="139">
        <v>60.47</v>
      </c>
      <c r="P54" s="139">
        <v>104.76</v>
      </c>
      <c r="Q54" s="139">
        <v>102.45</v>
      </c>
      <c r="S54" s="139">
        <v>1.5837420914507343E-9</v>
      </c>
      <c r="T54" s="139">
        <v>1.4854482369794953E-9</v>
      </c>
      <c r="U54" s="139">
        <v>1.5837420914507343E-9</v>
      </c>
      <c r="V54" s="139">
        <v>1.7841854564216703E-9</v>
      </c>
      <c r="W54" s="139">
        <v>1.9477062597063521E-9</v>
      </c>
      <c r="X54" s="139">
        <v>5.6881072954635567E-9</v>
      </c>
      <c r="Y54" s="139">
        <v>4.5244459061445572E-7</v>
      </c>
      <c r="Z54" s="139">
        <v>1.2984979239448883E-2</v>
      </c>
      <c r="AA54" s="139">
        <v>8.1340402094940631E-3</v>
      </c>
      <c r="AB54" s="139">
        <v>1.1618667245617396E-6</v>
      </c>
      <c r="BB54" s="136">
        <v>22.05</v>
      </c>
      <c r="BC54" s="136">
        <v>22.53</v>
      </c>
      <c r="BD54" s="136">
        <v>22.05</v>
      </c>
      <c r="BE54" s="136">
        <v>22.7</v>
      </c>
      <c r="BF54" s="136">
        <v>23.75</v>
      </c>
      <c r="BG54" s="136">
        <v>38.159999999999997</v>
      </c>
      <c r="BH54" s="136">
        <v>60.47</v>
      </c>
      <c r="BI54" s="136">
        <v>104.76</v>
      </c>
      <c r="BJ54" s="136">
        <v>102.45</v>
      </c>
      <c r="BK54" s="136">
        <v>64.58</v>
      </c>
      <c r="BM54" s="139">
        <v>1.5837420914507343E-9</v>
      </c>
      <c r="BN54" s="139">
        <v>1.4854482369794953E-9</v>
      </c>
      <c r="BO54" s="139">
        <v>1.5837420914507343E-9</v>
      </c>
      <c r="BP54" s="139">
        <v>1.7841854564216703E-9</v>
      </c>
      <c r="BQ54" s="139">
        <v>1.9477062597063521E-9</v>
      </c>
      <c r="BR54" s="139">
        <v>5.6881072954635567E-9</v>
      </c>
      <c r="BS54" s="139">
        <v>4.5244459061445572E-7</v>
      </c>
      <c r="BT54" s="139">
        <v>1.2984979239448883E-2</v>
      </c>
      <c r="BU54" s="139">
        <v>8.1340402094940631E-3</v>
      </c>
      <c r="BV54" s="139">
        <v>1.1618667245617396E-6</v>
      </c>
    </row>
    <row r="55" spans="1:74" x14ac:dyDescent="0.25">
      <c r="A55" s="137">
        <v>42837</v>
      </c>
      <c r="B55" s="138">
        <v>0.46666666666666662</v>
      </c>
      <c r="C55" s="139">
        <v>76</v>
      </c>
      <c r="E55" s="140">
        <v>50.8</v>
      </c>
      <c r="F55" s="139">
        <v>25.2</v>
      </c>
      <c r="I55" s="139">
        <v>25.62</v>
      </c>
      <c r="J55" s="139">
        <v>23.91</v>
      </c>
      <c r="K55" s="139">
        <v>25.62</v>
      </c>
      <c r="L55" s="139">
        <v>26.28</v>
      </c>
      <c r="M55" s="139">
        <v>27.54</v>
      </c>
      <c r="N55" s="139">
        <v>47.18</v>
      </c>
      <c r="O55" s="139">
        <v>70.650000000000006</v>
      </c>
      <c r="P55" s="139">
        <v>108.48</v>
      </c>
      <c r="Q55" s="139">
        <v>109.33</v>
      </c>
      <c r="S55" s="139">
        <v>1.7253116912407033E-9</v>
      </c>
      <c r="T55" s="139">
        <v>1.580940899907807E-9</v>
      </c>
      <c r="U55" s="139">
        <v>1.7253116912407033E-9</v>
      </c>
      <c r="V55" s="139">
        <v>1.9489903125103991E-9</v>
      </c>
      <c r="W55" s="139">
        <v>2.1679836914596287E-9</v>
      </c>
      <c r="X55" s="139">
        <v>2.5963534067882783E-8</v>
      </c>
      <c r="Y55" s="139">
        <v>4.9603002786442415E-6</v>
      </c>
      <c r="Z55" s="139">
        <v>4.0335777384147509E-2</v>
      </c>
      <c r="AA55" s="139">
        <v>4.1397698019581146E-2</v>
      </c>
      <c r="AB55" s="139">
        <v>1.6613343887129671E-5</v>
      </c>
      <c r="BB55" s="136">
        <v>25.62</v>
      </c>
      <c r="BC55" s="136">
        <v>23.91</v>
      </c>
      <c r="BD55" s="136">
        <v>25.62</v>
      </c>
      <c r="BE55" s="136">
        <v>26.28</v>
      </c>
      <c r="BF55" s="136">
        <v>27.54</v>
      </c>
      <c r="BG55" s="136">
        <v>47.18</v>
      </c>
      <c r="BH55" s="136">
        <v>70.650000000000006</v>
      </c>
      <c r="BI55" s="136">
        <v>108.48</v>
      </c>
      <c r="BJ55" s="136">
        <v>109.33</v>
      </c>
      <c r="BK55" s="136">
        <v>76</v>
      </c>
      <c r="BM55" s="139">
        <v>1.7253116912407033E-9</v>
      </c>
      <c r="BN55" s="139">
        <v>1.580940899907807E-9</v>
      </c>
      <c r="BO55" s="139">
        <v>1.7253116912407033E-9</v>
      </c>
      <c r="BP55" s="139">
        <v>1.9489903125103991E-9</v>
      </c>
      <c r="BQ55" s="139">
        <v>2.1679836914596287E-9</v>
      </c>
      <c r="BR55" s="139">
        <v>2.5963534067882783E-8</v>
      </c>
      <c r="BS55" s="139">
        <v>4.9603002786442415E-6</v>
      </c>
      <c r="BT55" s="139">
        <v>4.0335777384147509E-2</v>
      </c>
      <c r="BU55" s="139">
        <v>4.1397698019581146E-2</v>
      </c>
      <c r="BV55" s="139">
        <v>1.6613343887129671E-5</v>
      </c>
    </row>
    <row r="56" spans="1:74" x14ac:dyDescent="0.25">
      <c r="A56" s="137">
        <v>42837</v>
      </c>
      <c r="B56" s="138">
        <v>0.4670138888888889</v>
      </c>
      <c r="C56" s="139">
        <v>84.79</v>
      </c>
      <c r="E56" s="140">
        <v>57.7</v>
      </c>
      <c r="F56" s="139">
        <v>27.1</v>
      </c>
      <c r="I56" s="139">
        <v>30.57</v>
      </c>
      <c r="J56" s="139">
        <v>26.19</v>
      </c>
      <c r="K56" s="139">
        <v>30.57</v>
      </c>
      <c r="L56" s="139">
        <v>31.32</v>
      </c>
      <c r="M56" s="139">
        <v>32.65</v>
      </c>
      <c r="N56" s="139">
        <v>55.41</v>
      </c>
      <c r="O56" s="139">
        <v>78.52</v>
      </c>
      <c r="P56" s="139">
        <v>111.65</v>
      </c>
      <c r="Q56" s="139">
        <v>111.14</v>
      </c>
      <c r="S56" s="139">
        <v>2.1678694961561191E-9</v>
      </c>
      <c r="T56" s="139">
        <v>1.7423656059934383E-9</v>
      </c>
      <c r="U56" s="139">
        <v>2.1678694961561191E-9</v>
      </c>
      <c r="V56" s="139">
        <v>2.4749712494220098E-9</v>
      </c>
      <c r="W56" s="139">
        <v>2.8824306707151798E-9</v>
      </c>
      <c r="X56" s="139">
        <v>1.6085050569012874E-7</v>
      </c>
      <c r="Y56" s="139">
        <v>3.2564172242682094E-5</v>
      </c>
      <c r="Z56" s="139">
        <v>9.7086318167763391E-2</v>
      </c>
      <c r="AA56" s="139">
        <v>9.1860342323415431E-2</v>
      </c>
      <c r="AB56" s="139">
        <v>1.3355520582009764E-4</v>
      </c>
      <c r="BB56" s="136">
        <v>30.57</v>
      </c>
      <c r="BC56" s="136">
        <v>26.19</v>
      </c>
      <c r="BD56" s="136">
        <v>30.57</v>
      </c>
      <c r="BE56" s="136">
        <v>31.32</v>
      </c>
      <c r="BF56" s="136">
        <v>32.65</v>
      </c>
      <c r="BG56" s="136">
        <v>55.41</v>
      </c>
      <c r="BH56" s="136">
        <v>78.52</v>
      </c>
      <c r="BI56" s="136">
        <v>111.65</v>
      </c>
      <c r="BJ56" s="136">
        <v>111.14</v>
      </c>
      <c r="BK56" s="136">
        <v>84.79</v>
      </c>
      <c r="BM56" s="139">
        <v>2.1678694961561191E-9</v>
      </c>
      <c r="BN56" s="139">
        <v>1.7423656059934383E-9</v>
      </c>
      <c r="BO56" s="139">
        <v>2.1678694961561191E-9</v>
      </c>
      <c r="BP56" s="139">
        <v>2.4749712494220098E-9</v>
      </c>
      <c r="BQ56" s="139">
        <v>2.8824306707151798E-9</v>
      </c>
      <c r="BR56" s="139">
        <v>1.6085050569012874E-7</v>
      </c>
      <c r="BS56" s="139">
        <v>3.2564172242682094E-5</v>
      </c>
      <c r="BT56" s="139">
        <v>9.7086318167763391E-2</v>
      </c>
      <c r="BU56" s="139">
        <v>9.1860342323415431E-2</v>
      </c>
      <c r="BV56" s="139">
        <v>1.3355520582009764E-4</v>
      </c>
    </row>
    <row r="57" spans="1:74" x14ac:dyDescent="0.25">
      <c r="A57" s="137">
        <v>42837</v>
      </c>
      <c r="B57" s="138">
        <v>0.46736111111111112</v>
      </c>
      <c r="C57" s="139">
        <v>91.52</v>
      </c>
      <c r="E57" s="140">
        <v>63.9</v>
      </c>
      <c r="F57" s="139">
        <v>27.6</v>
      </c>
      <c r="I57" s="139">
        <v>36.32</v>
      </c>
      <c r="J57" s="139">
        <v>29.21</v>
      </c>
      <c r="K57" s="139">
        <v>36.32</v>
      </c>
      <c r="L57" s="139">
        <v>37.08</v>
      </c>
      <c r="M57" s="139">
        <v>38.89</v>
      </c>
      <c r="N57" s="139">
        <v>62.74</v>
      </c>
      <c r="O57" s="139">
        <v>84.27</v>
      </c>
      <c r="P57" s="139">
        <v>113.85</v>
      </c>
      <c r="Q57" s="139">
        <v>113.59</v>
      </c>
      <c r="S57" s="139">
        <v>3.8311672626261371E-9</v>
      </c>
      <c r="T57" s="139">
        <v>2.0659369138677308E-9</v>
      </c>
      <c r="U57" s="139">
        <v>3.8311672626261371E-9</v>
      </c>
      <c r="V57" s="139">
        <v>4.4563614206992086E-9</v>
      </c>
      <c r="W57" s="139">
        <v>5.8882993581315691E-9</v>
      </c>
      <c r="X57" s="139">
        <v>8.9025763582780289E-7</v>
      </c>
      <c r="Y57" s="139">
        <v>1.3630984811542754E-4</v>
      </c>
      <c r="Z57" s="139">
        <v>0.19126877264225339</v>
      </c>
      <c r="AA57" s="139">
        <v>0.18056981636792388</v>
      </c>
      <c r="AB57" s="139">
        <v>6.8432486059080537E-4</v>
      </c>
      <c r="BB57" s="136">
        <v>36.32</v>
      </c>
      <c r="BC57" s="136">
        <v>29.21</v>
      </c>
      <c r="BD57" s="136">
        <v>36.32</v>
      </c>
      <c r="BE57" s="136">
        <v>37.08</v>
      </c>
      <c r="BF57" s="136">
        <v>38.89</v>
      </c>
      <c r="BG57" s="136">
        <v>62.74</v>
      </c>
      <c r="BH57" s="136">
        <v>84.27</v>
      </c>
      <c r="BI57" s="136">
        <v>113.85</v>
      </c>
      <c r="BJ57" s="136">
        <v>113.59</v>
      </c>
      <c r="BK57" s="136">
        <v>91.52</v>
      </c>
      <c r="BM57" s="139">
        <v>3.8311672626261371E-9</v>
      </c>
      <c r="BN57" s="139">
        <v>2.0659369138677308E-9</v>
      </c>
      <c r="BO57" s="139">
        <v>3.8311672626261371E-9</v>
      </c>
      <c r="BP57" s="139">
        <v>4.4563614206992086E-9</v>
      </c>
      <c r="BQ57" s="139">
        <v>5.8882993581315691E-9</v>
      </c>
      <c r="BR57" s="139">
        <v>8.9025763582780289E-7</v>
      </c>
      <c r="BS57" s="139">
        <v>1.3630984811542754E-4</v>
      </c>
      <c r="BT57" s="139">
        <v>0.19126877264225339</v>
      </c>
      <c r="BU57" s="139">
        <v>0.18056981636792388</v>
      </c>
      <c r="BV57" s="139">
        <v>6.8432486059080537E-4</v>
      </c>
    </row>
    <row r="58" spans="1:74" x14ac:dyDescent="0.25">
      <c r="A58" s="137">
        <v>42837</v>
      </c>
      <c r="B58" s="138">
        <v>0.46770833333333334</v>
      </c>
      <c r="C58" s="139">
        <v>96.76</v>
      </c>
      <c r="E58" s="140">
        <v>69.5</v>
      </c>
      <c r="F58" s="139">
        <v>27.3</v>
      </c>
      <c r="I58" s="139">
        <v>42.21</v>
      </c>
      <c r="J58" s="139">
        <v>32.72</v>
      </c>
      <c r="K58" s="139">
        <v>42.21</v>
      </c>
      <c r="L58" s="139">
        <v>43.17</v>
      </c>
      <c r="M58" s="139">
        <v>45.44</v>
      </c>
      <c r="N58" s="139">
        <v>69.25</v>
      </c>
      <c r="O58" s="139">
        <v>89.19</v>
      </c>
      <c r="P58" s="139">
        <v>115.8</v>
      </c>
      <c r="Q58" s="139">
        <v>114.64</v>
      </c>
      <c r="S58" s="139">
        <v>1.0287263630693816E-8</v>
      </c>
      <c r="T58" s="139">
        <v>2.7919927226616022E-9</v>
      </c>
      <c r="U58" s="139">
        <v>1.0287263630693816E-8</v>
      </c>
      <c r="V58" s="139">
        <v>1.2509589596590571E-8</v>
      </c>
      <c r="W58" s="139">
        <v>1.9470495702326941E-8</v>
      </c>
      <c r="X58" s="139">
        <v>4.1559103990651644E-6</v>
      </c>
      <c r="Y58" s="139">
        <v>4.5839448087301604E-4</v>
      </c>
      <c r="Z58" s="139">
        <v>0.33882923397557274</v>
      </c>
      <c r="AA58" s="139">
        <v>0.29354160487897291</v>
      </c>
      <c r="AB58" s="139">
        <v>2.5249697288034657E-3</v>
      </c>
      <c r="BB58" s="136">
        <v>42.21</v>
      </c>
      <c r="BC58" s="136">
        <v>32.72</v>
      </c>
      <c r="BD58" s="136">
        <v>42.21</v>
      </c>
      <c r="BE58" s="136">
        <v>43.17</v>
      </c>
      <c r="BF58" s="136">
        <v>45.44</v>
      </c>
      <c r="BG58" s="136">
        <v>69.25</v>
      </c>
      <c r="BH58" s="136">
        <v>89.19</v>
      </c>
      <c r="BI58" s="136">
        <v>115.8</v>
      </c>
      <c r="BJ58" s="136">
        <v>114.64</v>
      </c>
      <c r="BK58" s="136">
        <v>96.76</v>
      </c>
      <c r="BM58" s="139">
        <v>1.0287263630693816E-8</v>
      </c>
      <c r="BN58" s="139">
        <v>2.7919927226616022E-9</v>
      </c>
      <c r="BO58" s="139">
        <v>1.0287263630693816E-8</v>
      </c>
      <c r="BP58" s="139">
        <v>1.2509589596590571E-8</v>
      </c>
      <c r="BQ58" s="139">
        <v>1.9470495702326941E-8</v>
      </c>
      <c r="BR58" s="139">
        <v>4.1559103990651644E-6</v>
      </c>
      <c r="BS58" s="139">
        <v>4.5839448087301604E-4</v>
      </c>
      <c r="BT58" s="139">
        <v>0.33882923397557274</v>
      </c>
      <c r="BU58" s="139">
        <v>0.29354160487897291</v>
      </c>
      <c r="BV58" s="139">
        <v>2.5249697288034657E-3</v>
      </c>
    </row>
    <row r="59" spans="1:74" x14ac:dyDescent="0.25">
      <c r="A59" s="137">
        <v>42837</v>
      </c>
      <c r="B59" s="138">
        <v>0.4680555555555555</v>
      </c>
      <c r="C59" s="139">
        <v>100.94</v>
      </c>
      <c r="E59" s="140">
        <v>74.599999999999994</v>
      </c>
      <c r="F59" s="139">
        <v>26.3</v>
      </c>
      <c r="I59" s="139">
        <v>48.18</v>
      </c>
      <c r="J59" s="139">
        <v>36.46</v>
      </c>
      <c r="K59" s="139">
        <v>48.18</v>
      </c>
      <c r="L59" s="139">
        <v>49.25</v>
      </c>
      <c r="M59" s="139">
        <v>51.79</v>
      </c>
      <c r="N59" s="139">
        <v>75.08</v>
      </c>
      <c r="O59" s="139">
        <v>93.49</v>
      </c>
      <c r="P59" s="139">
        <v>117.68</v>
      </c>
      <c r="Q59" s="139">
        <v>117.08</v>
      </c>
      <c r="S59" s="139">
        <v>3.5812513629464149E-8</v>
      </c>
      <c r="T59" s="139">
        <v>4.5097824621609749E-9</v>
      </c>
      <c r="U59" s="139">
        <v>3.5812513629464149E-8</v>
      </c>
      <c r="V59" s="139">
        <v>4.5166117228964113E-8</v>
      </c>
      <c r="W59" s="139">
        <v>7.808026397973336E-8</v>
      </c>
      <c r="X59" s="139">
        <v>1.665763720754732E-5</v>
      </c>
      <c r="Y59" s="139">
        <v>1.3252964797500842E-3</v>
      </c>
      <c r="Z59" s="139">
        <v>0.56632326405059774</v>
      </c>
      <c r="AA59" s="139">
        <v>0.49168062200669282</v>
      </c>
      <c r="AB59" s="139">
        <v>7.3441148469233219E-3</v>
      </c>
      <c r="BB59" s="136">
        <v>48.18</v>
      </c>
      <c r="BC59" s="136">
        <v>36.46</v>
      </c>
      <c r="BD59" s="136">
        <v>48.18</v>
      </c>
      <c r="BE59" s="136">
        <v>49.25</v>
      </c>
      <c r="BF59" s="136">
        <v>51.79</v>
      </c>
      <c r="BG59" s="136">
        <v>75.08</v>
      </c>
      <c r="BH59" s="136">
        <v>93.49</v>
      </c>
      <c r="BI59" s="136">
        <v>117.68</v>
      </c>
      <c r="BJ59" s="136">
        <v>117.08</v>
      </c>
      <c r="BK59" s="136">
        <v>100.94</v>
      </c>
      <c r="BM59" s="139">
        <v>3.5812513629464149E-8</v>
      </c>
      <c r="BN59" s="139">
        <v>4.5097824621609749E-9</v>
      </c>
      <c r="BO59" s="139">
        <v>3.5812513629464149E-8</v>
      </c>
      <c r="BP59" s="139">
        <v>4.5166117228964113E-8</v>
      </c>
      <c r="BQ59" s="139">
        <v>7.808026397973336E-8</v>
      </c>
      <c r="BR59" s="139">
        <v>1.665763720754732E-5</v>
      </c>
      <c r="BS59" s="139">
        <v>1.3252964797500842E-3</v>
      </c>
      <c r="BT59" s="139">
        <v>0.56632326405059774</v>
      </c>
      <c r="BU59" s="139">
        <v>0.49168062200669282</v>
      </c>
      <c r="BV59" s="139">
        <v>7.3441148469233219E-3</v>
      </c>
    </row>
    <row r="60" spans="1:74" x14ac:dyDescent="0.25">
      <c r="A60" s="137">
        <v>42837</v>
      </c>
      <c r="B60" s="138">
        <v>0.46840277777777778</v>
      </c>
      <c r="C60" s="139">
        <v>104.4</v>
      </c>
      <c r="E60" s="140">
        <v>79.2</v>
      </c>
      <c r="F60" s="139">
        <v>25.2</v>
      </c>
      <c r="I60" s="139">
        <v>53.99</v>
      </c>
      <c r="J60" s="139">
        <v>40.299999999999997</v>
      </c>
      <c r="K60" s="139">
        <v>53.99</v>
      </c>
      <c r="L60" s="139">
        <v>55.12</v>
      </c>
      <c r="M60" s="139">
        <v>58.07</v>
      </c>
      <c r="N60" s="139">
        <v>80.36</v>
      </c>
      <c r="O60" s="139">
        <v>97.23</v>
      </c>
      <c r="P60" s="139">
        <v>118.94</v>
      </c>
      <c r="Q60" s="139">
        <v>116.65</v>
      </c>
      <c r="S60" s="139">
        <v>1.330805177105974E-7</v>
      </c>
      <c r="T60" s="139">
        <v>8.6686013176743252E-9</v>
      </c>
      <c r="U60" s="139">
        <v>1.330805177105974E-7</v>
      </c>
      <c r="V60" s="139">
        <v>1.7134015585299291E-7</v>
      </c>
      <c r="W60" s="139">
        <v>3.2694880646920163E-7</v>
      </c>
      <c r="X60" s="139">
        <v>5.8824375095761036E-5</v>
      </c>
      <c r="Y60" s="139">
        <v>3.3763169946831222E-3</v>
      </c>
      <c r="Z60" s="139">
        <v>0.87039076468995691</v>
      </c>
      <c r="AA60" s="139">
        <v>0.67114158932919588</v>
      </c>
      <c r="AB60" s="139">
        <v>1.8033925294434504E-2</v>
      </c>
      <c r="BB60" s="136">
        <v>53.99</v>
      </c>
      <c r="BC60" s="136">
        <v>40.299999999999997</v>
      </c>
      <c r="BD60" s="136">
        <v>53.99</v>
      </c>
      <c r="BE60" s="136">
        <v>55.12</v>
      </c>
      <c r="BF60" s="136">
        <v>58.07</v>
      </c>
      <c r="BG60" s="136">
        <v>80.36</v>
      </c>
      <c r="BH60" s="136">
        <v>97.23</v>
      </c>
      <c r="BI60" s="136">
        <v>118.94</v>
      </c>
      <c r="BJ60" s="136">
        <v>116.65</v>
      </c>
      <c r="BK60" s="136">
        <v>104.4</v>
      </c>
      <c r="BM60" s="139">
        <v>1.330805177105974E-7</v>
      </c>
      <c r="BN60" s="139">
        <v>8.6686013176743252E-9</v>
      </c>
      <c r="BO60" s="139">
        <v>1.330805177105974E-7</v>
      </c>
      <c r="BP60" s="139">
        <v>1.7134015585299291E-7</v>
      </c>
      <c r="BQ60" s="139">
        <v>3.2694880646920163E-7</v>
      </c>
      <c r="BR60" s="139">
        <v>5.8824375095761036E-5</v>
      </c>
      <c r="BS60" s="139">
        <v>3.3763169946831222E-3</v>
      </c>
      <c r="BT60" s="139">
        <v>0.87039076468995691</v>
      </c>
      <c r="BU60" s="139">
        <v>0.67114158932919588</v>
      </c>
      <c r="BV60" s="139">
        <v>1.8033925294434504E-2</v>
      </c>
    </row>
    <row r="61" spans="1:74" x14ac:dyDescent="0.25">
      <c r="A61" s="137">
        <v>42837</v>
      </c>
      <c r="B61" s="138">
        <v>0.46875</v>
      </c>
      <c r="C61" s="139">
        <v>107.29</v>
      </c>
      <c r="E61" s="140">
        <v>83.4</v>
      </c>
      <c r="F61" s="139">
        <v>23.9</v>
      </c>
      <c r="I61" s="139">
        <v>59.47</v>
      </c>
      <c r="J61" s="139">
        <v>44.2</v>
      </c>
      <c r="K61" s="139">
        <v>59.47</v>
      </c>
      <c r="L61" s="139">
        <v>60.74</v>
      </c>
      <c r="M61" s="139">
        <v>64.010000000000005</v>
      </c>
      <c r="N61" s="139">
        <v>85.04</v>
      </c>
      <c r="O61" s="139">
        <v>100.46</v>
      </c>
      <c r="P61" s="139">
        <v>120.03</v>
      </c>
      <c r="Q61" s="139">
        <v>118.84</v>
      </c>
      <c r="S61" s="139">
        <v>4.7661473771771347E-7</v>
      </c>
      <c r="T61" s="139">
        <v>1.8877291041021959E-8</v>
      </c>
      <c r="U61" s="139">
        <v>4.7661473771771347E-7</v>
      </c>
      <c r="V61" s="139">
        <v>6.315649417295786E-7</v>
      </c>
      <c r="W61" s="139">
        <v>1.3041185343569008E-6</v>
      </c>
      <c r="X61" s="139">
        <v>1.8269547797742551E-4</v>
      </c>
      <c r="Y61" s="139">
        <v>7.6912097335179704E-3</v>
      </c>
      <c r="Z61" s="139">
        <v>1.2612046669841224</v>
      </c>
      <c r="AA61" s="139">
        <v>0.96828766863698279</v>
      </c>
      <c r="AB61" s="139">
        <v>3.8829455819135654E-2</v>
      </c>
      <c r="BB61" s="136">
        <v>59.47</v>
      </c>
      <c r="BC61" s="136">
        <v>44.2</v>
      </c>
      <c r="BD61" s="136">
        <v>59.47</v>
      </c>
      <c r="BE61" s="136">
        <v>60.74</v>
      </c>
      <c r="BF61" s="136">
        <v>64.010000000000005</v>
      </c>
      <c r="BG61" s="136">
        <v>85.04</v>
      </c>
      <c r="BH61" s="136">
        <v>100.46</v>
      </c>
      <c r="BI61" s="136">
        <v>120.03</v>
      </c>
      <c r="BJ61" s="136">
        <v>118.84</v>
      </c>
      <c r="BK61" s="136">
        <v>107.29</v>
      </c>
      <c r="BM61" s="139">
        <v>4.7661473771771347E-7</v>
      </c>
      <c r="BN61" s="139">
        <v>1.8877291041021959E-8</v>
      </c>
      <c r="BO61" s="139">
        <v>4.7661473771771347E-7</v>
      </c>
      <c r="BP61" s="139">
        <v>6.315649417295786E-7</v>
      </c>
      <c r="BQ61" s="139">
        <v>1.3041185343569008E-6</v>
      </c>
      <c r="BR61" s="139">
        <v>1.8269547797742551E-4</v>
      </c>
      <c r="BS61" s="139">
        <v>7.6912097335179704E-3</v>
      </c>
      <c r="BT61" s="139">
        <v>1.2612046669841224</v>
      </c>
      <c r="BU61" s="139">
        <v>0.96828766863698279</v>
      </c>
      <c r="BV61" s="139">
        <v>3.8829455819135654E-2</v>
      </c>
    </row>
    <row r="62" spans="1:74" x14ac:dyDescent="0.25">
      <c r="A62" s="137">
        <v>42837</v>
      </c>
      <c r="B62" s="138">
        <v>0.46909722222222222</v>
      </c>
      <c r="C62" s="139">
        <v>109.78</v>
      </c>
      <c r="E62" s="140">
        <v>87.2</v>
      </c>
      <c r="F62" s="139">
        <v>22.6</v>
      </c>
      <c r="I62" s="139">
        <v>64.64</v>
      </c>
      <c r="J62" s="139">
        <v>48.11</v>
      </c>
      <c r="K62" s="139">
        <v>64.64</v>
      </c>
      <c r="L62" s="139">
        <v>66.08</v>
      </c>
      <c r="M62" s="139">
        <v>69.55</v>
      </c>
      <c r="N62" s="139">
        <v>89.27</v>
      </c>
      <c r="O62" s="139">
        <v>103.33</v>
      </c>
      <c r="P62" s="139">
        <v>121.26</v>
      </c>
      <c r="Q62" s="139">
        <v>118.92</v>
      </c>
      <c r="S62" s="139">
        <v>1.6063326228282042E-6</v>
      </c>
      <c r="T62" s="139">
        <v>4.3994420517141293E-8</v>
      </c>
      <c r="U62" s="139">
        <v>1.6063326228282042E-6</v>
      </c>
      <c r="V62" s="139">
        <v>2.2054390987802362E-6</v>
      </c>
      <c r="W62" s="139">
        <v>4.8033285143682663E-6</v>
      </c>
      <c r="X62" s="139">
        <v>5.1076811112887822E-4</v>
      </c>
      <c r="Y62" s="139">
        <v>1.6046662805071513E-2</v>
      </c>
      <c r="Z62" s="139">
        <v>1.7799688748931299</v>
      </c>
      <c r="AA62" s="139">
        <v>1.2709581060139401</v>
      </c>
      <c r="AB62" s="139">
        <v>7.5724667325590744E-2</v>
      </c>
      <c r="BB62" s="136">
        <v>64.64</v>
      </c>
      <c r="BC62" s="136">
        <v>48.11</v>
      </c>
      <c r="BD62" s="136">
        <v>64.64</v>
      </c>
      <c r="BE62" s="136">
        <v>66.08</v>
      </c>
      <c r="BF62" s="136">
        <v>69.55</v>
      </c>
      <c r="BG62" s="136">
        <v>89.27</v>
      </c>
      <c r="BH62" s="136">
        <v>103.33</v>
      </c>
      <c r="BI62" s="136">
        <v>121.26</v>
      </c>
      <c r="BJ62" s="136">
        <v>118.92</v>
      </c>
      <c r="BK62" s="136">
        <v>109.78</v>
      </c>
      <c r="BM62" s="139">
        <v>1.6063326228282042E-6</v>
      </c>
      <c r="BN62" s="139">
        <v>4.3994420517141293E-8</v>
      </c>
      <c r="BO62" s="139">
        <v>1.6063326228282042E-6</v>
      </c>
      <c r="BP62" s="139">
        <v>2.2054390987802362E-6</v>
      </c>
      <c r="BQ62" s="139">
        <v>4.8033285143682663E-6</v>
      </c>
      <c r="BR62" s="139">
        <v>5.1076811112887822E-4</v>
      </c>
      <c r="BS62" s="139">
        <v>1.6046662805071513E-2</v>
      </c>
      <c r="BT62" s="139">
        <v>1.7799688748931299</v>
      </c>
      <c r="BU62" s="139">
        <v>1.2709581060139401</v>
      </c>
      <c r="BV62" s="139">
        <v>7.5724667325590744E-2</v>
      </c>
    </row>
    <row r="63" spans="1:74" x14ac:dyDescent="0.25">
      <c r="A63" s="137">
        <v>42837</v>
      </c>
      <c r="B63" s="138">
        <v>0.4694444444444445</v>
      </c>
      <c r="C63" s="139">
        <v>111.93</v>
      </c>
      <c r="E63" s="140">
        <v>90.7</v>
      </c>
      <c r="F63" s="139">
        <v>21.2</v>
      </c>
      <c r="I63" s="139">
        <v>69.540000000000006</v>
      </c>
      <c r="J63" s="139">
        <v>51.99</v>
      </c>
      <c r="K63" s="139">
        <v>69.540000000000006</v>
      </c>
      <c r="L63" s="139">
        <v>71.08</v>
      </c>
      <c r="M63" s="139">
        <v>74.680000000000007</v>
      </c>
      <c r="N63" s="139">
        <v>93.1</v>
      </c>
      <c r="O63" s="139">
        <v>105.9</v>
      </c>
      <c r="P63" s="139">
        <v>122.33</v>
      </c>
      <c r="Q63" s="139">
        <v>120.43</v>
      </c>
      <c r="S63" s="139">
        <v>5.0974946432140698E-6</v>
      </c>
      <c r="T63" s="139">
        <v>1.0536638207506174E-7</v>
      </c>
      <c r="U63" s="139">
        <v>5.0974946432140698E-6</v>
      </c>
      <c r="V63" s="139">
        <v>7.1824661855378717E-6</v>
      </c>
      <c r="W63" s="139">
        <v>1.6205038874370379E-5</v>
      </c>
      <c r="X63" s="139">
        <v>1.3032147073594349E-3</v>
      </c>
      <c r="Y63" s="139">
        <v>3.1146421407081626E-2</v>
      </c>
      <c r="Z63" s="139">
        <v>2.4436661037580003</v>
      </c>
      <c r="AA63" s="139">
        <v>1.6994770286291261</v>
      </c>
      <c r="AB63" s="139">
        <v>0.13625457400311503</v>
      </c>
      <c r="BB63" s="136">
        <v>69.540000000000006</v>
      </c>
      <c r="BC63" s="136">
        <v>51.99</v>
      </c>
      <c r="BD63" s="136">
        <v>69.540000000000006</v>
      </c>
      <c r="BE63" s="136">
        <v>71.08</v>
      </c>
      <c r="BF63" s="136">
        <v>74.680000000000007</v>
      </c>
      <c r="BG63" s="136">
        <v>93.1</v>
      </c>
      <c r="BH63" s="136">
        <v>105.9</v>
      </c>
      <c r="BI63" s="136">
        <v>122.33</v>
      </c>
      <c r="BJ63" s="136">
        <v>120.43</v>
      </c>
      <c r="BK63" s="136">
        <v>111.93</v>
      </c>
      <c r="BM63" s="139">
        <v>5.0974946432140698E-6</v>
      </c>
      <c r="BN63" s="139">
        <v>1.0536638207506174E-7</v>
      </c>
      <c r="BO63" s="139">
        <v>5.0974946432140698E-6</v>
      </c>
      <c r="BP63" s="139">
        <v>7.1824661855378717E-6</v>
      </c>
      <c r="BQ63" s="139">
        <v>1.6205038874370379E-5</v>
      </c>
      <c r="BR63" s="139">
        <v>1.3032147073594349E-3</v>
      </c>
      <c r="BS63" s="139">
        <v>3.1146421407081626E-2</v>
      </c>
      <c r="BT63" s="139">
        <v>2.4436661037580003</v>
      </c>
      <c r="BU63" s="139">
        <v>1.6994770286291261</v>
      </c>
      <c r="BV63" s="139">
        <v>0.13625457400311503</v>
      </c>
    </row>
    <row r="64" spans="1:74" x14ac:dyDescent="0.25">
      <c r="A64" s="137">
        <v>42837</v>
      </c>
      <c r="B64" s="138">
        <v>0.46979166666666666</v>
      </c>
      <c r="C64" s="139">
        <v>113.83</v>
      </c>
      <c r="E64" s="140">
        <v>94</v>
      </c>
      <c r="F64" s="139">
        <v>19.8</v>
      </c>
      <c r="I64" s="139">
        <v>74.150000000000006</v>
      </c>
      <c r="J64" s="139">
        <v>55.8</v>
      </c>
      <c r="K64" s="139">
        <v>74.150000000000006</v>
      </c>
      <c r="L64" s="139">
        <v>75.73</v>
      </c>
      <c r="M64" s="139">
        <v>79.459999999999994</v>
      </c>
      <c r="N64" s="139">
        <v>96.56</v>
      </c>
      <c r="O64" s="139">
        <v>108.22</v>
      </c>
      <c r="P64" s="139">
        <v>123.3</v>
      </c>
      <c r="Q64" s="139">
        <v>121.88</v>
      </c>
      <c r="S64" s="139">
        <v>1.5189326461621899E-5</v>
      </c>
      <c r="T64" s="139">
        <v>2.5292684340838107E-7</v>
      </c>
      <c r="U64" s="139">
        <v>1.5189326461621899E-5</v>
      </c>
      <c r="V64" s="139">
        <v>2.170257945786014E-5</v>
      </c>
      <c r="W64" s="139">
        <v>5.0479450197003445E-5</v>
      </c>
      <c r="X64" s="139">
        <v>3.0610169100009276E-3</v>
      </c>
      <c r="Y64" s="139">
        <v>5.6907853636169473E-2</v>
      </c>
      <c r="Z64" s="139">
        <v>3.2734595574767811</v>
      </c>
      <c r="AA64" s="139">
        <v>2.2978472942827479</v>
      </c>
      <c r="AB64" s="139">
        <v>0.23000429940648601</v>
      </c>
      <c r="BB64" s="136">
        <v>74.150000000000006</v>
      </c>
      <c r="BC64" s="136">
        <v>55.8</v>
      </c>
      <c r="BD64" s="136">
        <v>74.150000000000006</v>
      </c>
      <c r="BE64" s="136">
        <v>75.73</v>
      </c>
      <c r="BF64" s="136">
        <v>79.459999999999994</v>
      </c>
      <c r="BG64" s="136">
        <v>96.56</v>
      </c>
      <c r="BH64" s="136">
        <v>108.22</v>
      </c>
      <c r="BI64" s="136">
        <v>123.3</v>
      </c>
      <c r="BJ64" s="136">
        <v>121.88</v>
      </c>
      <c r="BK64" s="136">
        <v>113.83</v>
      </c>
      <c r="BM64" s="139">
        <v>1.5189326461621899E-5</v>
      </c>
      <c r="BN64" s="139">
        <v>2.5292684340838107E-7</v>
      </c>
      <c r="BO64" s="139">
        <v>1.5189326461621899E-5</v>
      </c>
      <c r="BP64" s="139">
        <v>2.170257945786014E-5</v>
      </c>
      <c r="BQ64" s="139">
        <v>5.0479450197003445E-5</v>
      </c>
      <c r="BR64" s="139">
        <v>3.0610169100009276E-3</v>
      </c>
      <c r="BS64" s="139">
        <v>5.6907853636169473E-2</v>
      </c>
      <c r="BT64" s="139">
        <v>3.2734595574767811</v>
      </c>
      <c r="BU64" s="139">
        <v>2.2978472942827479</v>
      </c>
      <c r="BV64" s="139">
        <v>0.23000429940648601</v>
      </c>
    </row>
    <row r="65" spans="1:74" x14ac:dyDescent="0.25">
      <c r="A65" s="137">
        <v>42837</v>
      </c>
      <c r="B65" s="138">
        <v>0.47013888888888888</v>
      </c>
      <c r="C65" s="139">
        <v>115.46</v>
      </c>
      <c r="E65" s="140">
        <v>97</v>
      </c>
      <c r="F65" s="139">
        <v>18.5</v>
      </c>
      <c r="I65" s="139">
        <v>78.459999999999994</v>
      </c>
      <c r="J65" s="139">
        <v>59.56</v>
      </c>
      <c r="K65" s="139">
        <v>78.459999999999994</v>
      </c>
      <c r="L65" s="139">
        <v>80.13</v>
      </c>
      <c r="M65" s="139">
        <v>83.92</v>
      </c>
      <c r="N65" s="139">
        <v>99.69</v>
      </c>
      <c r="O65" s="139">
        <v>110.29</v>
      </c>
      <c r="P65" s="139">
        <v>124.26</v>
      </c>
      <c r="Q65" s="139">
        <v>122.96</v>
      </c>
      <c r="S65" s="139">
        <v>4.2414459103742928E-5</v>
      </c>
      <c r="T65" s="139">
        <v>6.03654492618367E-7</v>
      </c>
      <c r="U65" s="139">
        <v>4.2414459103742928E-5</v>
      </c>
      <c r="V65" s="139">
        <v>6.1694292208211576E-5</v>
      </c>
      <c r="W65" s="139">
        <v>1.4619224644805788E-4</v>
      </c>
      <c r="X65" s="139">
        <v>6.6748659280117797E-3</v>
      </c>
      <c r="Y65" s="139">
        <v>9.84003920118907E-2</v>
      </c>
      <c r="Z65" s="139">
        <v>4.3085302318723047</v>
      </c>
      <c r="AA65" s="139">
        <v>3.065155785682395</v>
      </c>
      <c r="AB65" s="139">
        <v>0.36645318854688802</v>
      </c>
      <c r="BB65" s="136">
        <v>78.459999999999994</v>
      </c>
      <c r="BC65" s="136">
        <v>59.56</v>
      </c>
      <c r="BD65" s="136">
        <v>78.459999999999994</v>
      </c>
      <c r="BE65" s="136">
        <v>80.13</v>
      </c>
      <c r="BF65" s="136">
        <v>83.92</v>
      </c>
      <c r="BG65" s="136">
        <v>99.69</v>
      </c>
      <c r="BH65" s="136">
        <v>110.29</v>
      </c>
      <c r="BI65" s="136">
        <v>124.26</v>
      </c>
      <c r="BJ65" s="136">
        <v>122.96</v>
      </c>
      <c r="BK65" s="136">
        <v>115.46</v>
      </c>
      <c r="BM65" s="139">
        <v>4.2414459103742928E-5</v>
      </c>
      <c r="BN65" s="139">
        <v>6.03654492618367E-7</v>
      </c>
      <c r="BO65" s="139">
        <v>4.2414459103742928E-5</v>
      </c>
      <c r="BP65" s="139">
        <v>6.1694292208211576E-5</v>
      </c>
      <c r="BQ65" s="139">
        <v>1.4619224644805788E-4</v>
      </c>
      <c r="BR65" s="139">
        <v>6.6748659280117797E-3</v>
      </c>
      <c r="BS65" s="139">
        <v>9.84003920118907E-2</v>
      </c>
      <c r="BT65" s="139">
        <v>4.3085302318723047</v>
      </c>
      <c r="BU65" s="139">
        <v>3.065155785682395</v>
      </c>
      <c r="BV65" s="139">
        <v>0.36645318854688802</v>
      </c>
    </row>
    <row r="66" spans="1:74" x14ac:dyDescent="0.25">
      <c r="A66" s="137">
        <v>42837</v>
      </c>
      <c r="B66" s="138">
        <v>0.4704861111111111</v>
      </c>
      <c r="C66" s="139">
        <v>116.96</v>
      </c>
      <c r="E66" s="140">
        <v>99.7</v>
      </c>
      <c r="F66" s="139">
        <v>17.3</v>
      </c>
      <c r="I66" s="139">
        <v>82.44</v>
      </c>
      <c r="J66" s="139">
        <v>63.18</v>
      </c>
      <c r="K66" s="139">
        <v>82.44</v>
      </c>
      <c r="L66" s="139">
        <v>84.16</v>
      </c>
      <c r="M66" s="139">
        <v>88.03</v>
      </c>
      <c r="N66" s="139">
        <v>102.55</v>
      </c>
      <c r="O66" s="139">
        <v>112.22</v>
      </c>
      <c r="P66" s="139">
        <v>125.34</v>
      </c>
      <c r="Q66" s="139">
        <v>123.14</v>
      </c>
      <c r="S66" s="139">
        <v>1.1048669322704048E-4</v>
      </c>
      <c r="T66" s="139">
        <v>1.4108337710316091E-6</v>
      </c>
      <c r="U66" s="139">
        <v>1.1048669322704048E-4</v>
      </c>
      <c r="V66" s="139">
        <v>1.6284525114212503E-4</v>
      </c>
      <c r="W66" s="139">
        <v>3.9277914842552605E-4</v>
      </c>
      <c r="X66" s="139">
        <v>1.3656707733291468E-2</v>
      </c>
      <c r="Y66" s="139">
        <v>0.16311018408439007</v>
      </c>
      <c r="Z66" s="139">
        <v>5.6358330128600773</v>
      </c>
      <c r="AA66" s="139">
        <v>3.8649347999897308</v>
      </c>
      <c r="AB66" s="139">
        <v>0.55919236737977385</v>
      </c>
      <c r="BB66" s="136">
        <v>82.44</v>
      </c>
      <c r="BC66" s="136">
        <v>63.18</v>
      </c>
      <c r="BD66" s="136">
        <v>82.44</v>
      </c>
      <c r="BE66" s="136">
        <v>84.16</v>
      </c>
      <c r="BF66" s="136">
        <v>88.03</v>
      </c>
      <c r="BG66" s="136">
        <v>102.55</v>
      </c>
      <c r="BH66" s="136">
        <v>112.22</v>
      </c>
      <c r="BI66" s="136">
        <v>125.34</v>
      </c>
      <c r="BJ66" s="136">
        <v>123.14</v>
      </c>
      <c r="BK66" s="136">
        <v>116.96</v>
      </c>
      <c r="BM66" s="139">
        <v>1.1048669322704048E-4</v>
      </c>
      <c r="BN66" s="139">
        <v>1.4108337710316091E-6</v>
      </c>
      <c r="BO66" s="139">
        <v>1.1048669322704048E-4</v>
      </c>
      <c r="BP66" s="139">
        <v>1.6284525114212503E-4</v>
      </c>
      <c r="BQ66" s="139">
        <v>3.9277914842552605E-4</v>
      </c>
      <c r="BR66" s="139">
        <v>1.3656707733291468E-2</v>
      </c>
      <c r="BS66" s="139">
        <v>0.16311018408439007</v>
      </c>
      <c r="BT66" s="139">
        <v>5.6358330128600773</v>
      </c>
      <c r="BU66" s="139">
        <v>3.8649347999897308</v>
      </c>
      <c r="BV66" s="139">
        <v>0.55919236737977385</v>
      </c>
    </row>
    <row r="67" spans="1:74" x14ac:dyDescent="0.25">
      <c r="A67" s="137">
        <v>42837</v>
      </c>
      <c r="B67" s="138">
        <v>0.47083333333333338</v>
      </c>
      <c r="C67" s="139">
        <v>118.38</v>
      </c>
      <c r="E67" s="140">
        <v>102.3</v>
      </c>
      <c r="F67" s="139">
        <v>16.100000000000001</v>
      </c>
      <c r="I67" s="139">
        <v>86.18</v>
      </c>
      <c r="J67" s="139">
        <v>66.739999999999995</v>
      </c>
      <c r="K67" s="139">
        <v>86.18</v>
      </c>
      <c r="L67" s="139">
        <v>87.83</v>
      </c>
      <c r="M67" s="139">
        <v>91.83</v>
      </c>
      <c r="N67" s="139">
        <v>105.17</v>
      </c>
      <c r="O67" s="139">
        <v>114.03</v>
      </c>
      <c r="P67" s="139">
        <v>126.5</v>
      </c>
      <c r="Q67" s="139">
        <v>123.55</v>
      </c>
      <c r="S67" s="139">
        <v>2.7154013279121251E-4</v>
      </c>
      <c r="T67" s="139">
        <v>3.2430216442707747E-6</v>
      </c>
      <c r="U67" s="139">
        <v>2.7154013279121251E-4</v>
      </c>
      <c r="V67" s="139">
        <v>3.9833391434060151E-4</v>
      </c>
      <c r="W67" s="139">
        <v>9.8429992628810839E-4</v>
      </c>
      <c r="X67" s="139">
        <v>2.6420214246597715E-2</v>
      </c>
      <c r="Y67" s="139">
        <v>0.26127819792619256</v>
      </c>
      <c r="Z67" s="139">
        <v>7.3695172651227381</v>
      </c>
      <c r="AA67" s="139">
        <v>4.743896606969078</v>
      </c>
      <c r="AB67" s="139">
        <v>0.82647454707825974</v>
      </c>
      <c r="BB67" s="136">
        <v>86.18</v>
      </c>
      <c r="BC67" s="136">
        <v>66.739999999999995</v>
      </c>
      <c r="BD67" s="136">
        <v>86.18</v>
      </c>
      <c r="BE67" s="136">
        <v>87.83</v>
      </c>
      <c r="BF67" s="136">
        <v>91.83</v>
      </c>
      <c r="BG67" s="136">
        <v>105.17</v>
      </c>
      <c r="BH67" s="136">
        <v>114.03</v>
      </c>
      <c r="BI67" s="136">
        <v>126.5</v>
      </c>
      <c r="BJ67" s="136">
        <v>123.55</v>
      </c>
      <c r="BK67" s="136">
        <v>118.38</v>
      </c>
      <c r="BM67" s="139">
        <v>2.7154013279121251E-4</v>
      </c>
      <c r="BN67" s="139">
        <v>3.2430216442707747E-6</v>
      </c>
      <c r="BO67" s="139">
        <v>2.7154013279121251E-4</v>
      </c>
      <c r="BP67" s="139">
        <v>3.9833391434060151E-4</v>
      </c>
      <c r="BQ67" s="139">
        <v>9.8429992628810839E-4</v>
      </c>
      <c r="BR67" s="139">
        <v>2.6420214246597715E-2</v>
      </c>
      <c r="BS67" s="139">
        <v>0.26127819792619256</v>
      </c>
      <c r="BT67" s="139">
        <v>7.3695172651227381</v>
      </c>
      <c r="BU67" s="139">
        <v>4.743896606969078</v>
      </c>
      <c r="BV67" s="139">
        <v>0.82647454707825974</v>
      </c>
    </row>
    <row r="68" spans="1:74" x14ac:dyDescent="0.25">
      <c r="A68" s="137">
        <v>42837</v>
      </c>
      <c r="B68" s="138">
        <v>0.47118055555555555</v>
      </c>
      <c r="C68" s="139">
        <v>119.61</v>
      </c>
      <c r="E68" s="140">
        <v>104.6</v>
      </c>
      <c r="F68" s="139">
        <v>15</v>
      </c>
      <c r="I68" s="139">
        <v>89.65</v>
      </c>
      <c r="J68" s="139">
        <v>70.2</v>
      </c>
      <c r="K68" s="139">
        <v>89.65</v>
      </c>
      <c r="L68" s="139">
        <v>91.32</v>
      </c>
      <c r="M68" s="139">
        <v>95.26</v>
      </c>
      <c r="N68" s="139">
        <v>107.54</v>
      </c>
      <c r="O68" s="139">
        <v>115.44</v>
      </c>
      <c r="P68" s="139">
        <v>124.78</v>
      </c>
      <c r="Q68" s="139">
        <v>123.52</v>
      </c>
      <c r="S68" s="139">
        <v>6.2961183789766442E-4</v>
      </c>
      <c r="T68" s="139">
        <v>7.3071742250912738E-6</v>
      </c>
      <c r="U68" s="139">
        <v>6.2961183789766442E-4</v>
      </c>
      <c r="V68" s="139">
        <v>9.2431485125221225E-4</v>
      </c>
      <c r="W68" s="139">
        <v>2.2873767012875591E-3</v>
      </c>
      <c r="X68" s="139">
        <v>4.8447957421925439E-2</v>
      </c>
      <c r="Y68" s="139">
        <v>0.39710016136814674</v>
      </c>
      <c r="Z68" s="139">
        <v>8.5362462962632417</v>
      </c>
      <c r="AA68" s="139">
        <v>5.6168076834293306</v>
      </c>
      <c r="AB68" s="139">
        <v>1.1812634310599546</v>
      </c>
      <c r="BB68" s="136">
        <v>89.65</v>
      </c>
      <c r="BC68" s="136">
        <v>70.2</v>
      </c>
      <c r="BD68" s="136">
        <v>89.65</v>
      </c>
      <c r="BE68" s="136">
        <v>91.32</v>
      </c>
      <c r="BF68" s="136">
        <v>95.26</v>
      </c>
      <c r="BG68" s="136">
        <v>107.54</v>
      </c>
      <c r="BH68" s="136">
        <v>115.44</v>
      </c>
      <c r="BI68" s="136">
        <v>124.78</v>
      </c>
      <c r="BJ68" s="136">
        <v>123.52</v>
      </c>
      <c r="BK68" s="136">
        <v>119.61</v>
      </c>
      <c r="BM68" s="139">
        <v>6.2961183789766442E-4</v>
      </c>
      <c r="BN68" s="139">
        <v>7.3071742250912738E-6</v>
      </c>
      <c r="BO68" s="139">
        <v>6.2961183789766442E-4</v>
      </c>
      <c r="BP68" s="139">
        <v>9.2431485125221225E-4</v>
      </c>
      <c r="BQ68" s="139">
        <v>2.2873767012875591E-3</v>
      </c>
      <c r="BR68" s="139">
        <v>4.8447957421925439E-2</v>
      </c>
      <c r="BS68" s="139">
        <v>0.39710016136814674</v>
      </c>
      <c r="BT68" s="139">
        <v>8.5362462962632417</v>
      </c>
      <c r="BU68" s="139">
        <v>5.6168076834293306</v>
      </c>
      <c r="BV68" s="139">
        <v>1.1812634310599546</v>
      </c>
    </row>
    <row r="69" spans="1:74" x14ac:dyDescent="0.25">
      <c r="A69" s="137">
        <v>42837</v>
      </c>
      <c r="B69" s="138">
        <v>0.47152777777777777</v>
      </c>
      <c r="C69" s="139">
        <v>120.16</v>
      </c>
      <c r="E69" s="140">
        <v>106.5</v>
      </c>
      <c r="F69" s="139">
        <v>13.7</v>
      </c>
      <c r="I69" s="139">
        <v>92.79</v>
      </c>
      <c r="J69" s="139">
        <v>73.44</v>
      </c>
      <c r="K69" s="139">
        <v>92.79</v>
      </c>
      <c r="L69" s="139">
        <v>94.23</v>
      </c>
      <c r="M69" s="139">
        <v>98.08</v>
      </c>
      <c r="N69" s="139">
        <v>109.53</v>
      </c>
      <c r="O69" s="139">
        <v>115.64</v>
      </c>
      <c r="P69" s="139">
        <v>121.87</v>
      </c>
      <c r="Q69" s="139">
        <v>121.46</v>
      </c>
      <c r="S69" s="139">
        <v>1.3674651045356135E-3</v>
      </c>
      <c r="T69" s="139">
        <v>1.587696076263339E-5</v>
      </c>
      <c r="U69" s="139">
        <v>1.3674651045356135E-3</v>
      </c>
      <c r="V69" s="139">
        <v>1.9522601492442853E-3</v>
      </c>
      <c r="W69" s="139">
        <v>4.7817991385876203E-3</v>
      </c>
      <c r="X69" s="139">
        <v>8.327928312746391E-2</v>
      </c>
      <c r="Y69" s="139">
        <v>0.53932321674054273</v>
      </c>
      <c r="Z69" s="139">
        <v>9.133240348495379</v>
      </c>
      <c r="AA69" s="139">
        <v>6.1600204952378634</v>
      </c>
      <c r="AB69" s="139">
        <v>1.5839526516594882</v>
      </c>
      <c r="BB69" s="136">
        <v>92.79</v>
      </c>
      <c r="BC69" s="136">
        <v>73.44</v>
      </c>
      <c r="BD69" s="136">
        <v>92.79</v>
      </c>
      <c r="BE69" s="136">
        <v>94.23</v>
      </c>
      <c r="BF69" s="136">
        <v>98.08</v>
      </c>
      <c r="BG69" s="136">
        <v>109.53</v>
      </c>
      <c r="BH69" s="136">
        <v>115.64</v>
      </c>
      <c r="BI69" s="136">
        <v>121.87</v>
      </c>
      <c r="BJ69" s="136">
        <v>121.46</v>
      </c>
      <c r="BK69" s="136">
        <v>120.16</v>
      </c>
      <c r="BM69" s="139">
        <v>1.3674651045356135E-3</v>
      </c>
      <c r="BN69" s="139">
        <v>1.587696076263339E-5</v>
      </c>
      <c r="BO69" s="139">
        <v>1.3674651045356135E-3</v>
      </c>
      <c r="BP69" s="139">
        <v>1.9522601492442853E-3</v>
      </c>
      <c r="BQ69" s="139">
        <v>4.7817991385876203E-3</v>
      </c>
      <c r="BR69" s="139">
        <v>8.327928312746391E-2</v>
      </c>
      <c r="BS69" s="139">
        <v>0.53932321674054273</v>
      </c>
      <c r="BT69" s="139">
        <v>9.133240348495379</v>
      </c>
      <c r="BU69" s="139">
        <v>6.1600204952378634</v>
      </c>
      <c r="BV69" s="139">
        <v>1.5839526516594882</v>
      </c>
    </row>
    <row r="70" spans="1:74" x14ac:dyDescent="0.25">
      <c r="A70" s="141">
        <v>42837</v>
      </c>
      <c r="B70" s="142">
        <v>0.47187499999999999</v>
      </c>
      <c r="C70" s="143">
        <v>120.68</v>
      </c>
      <c r="E70" s="144">
        <v>108.1</v>
      </c>
      <c r="F70" s="145">
        <v>12.6</v>
      </c>
      <c r="I70" s="143">
        <v>95.53</v>
      </c>
      <c r="J70" s="143">
        <v>76.400000000000006</v>
      </c>
      <c r="K70" s="143">
        <v>95.53</v>
      </c>
      <c r="L70" s="143">
        <v>96.89</v>
      </c>
      <c r="M70" s="143">
        <v>100.66</v>
      </c>
      <c r="N70" s="143">
        <v>111.19</v>
      </c>
      <c r="O70" s="143">
        <v>116.91</v>
      </c>
      <c r="P70" s="143">
        <v>123.56</v>
      </c>
      <c r="Q70" s="143">
        <v>122.79</v>
      </c>
      <c r="S70" s="145">
        <v>2.7541251568615347E-3</v>
      </c>
      <c r="T70" s="145">
        <v>3.2819168569593545E-5</v>
      </c>
      <c r="U70" s="145">
        <v>2.7541251568615347E-3</v>
      </c>
      <c r="V70" s="145">
        <v>3.848835074112697E-3</v>
      </c>
      <c r="W70" s="145">
        <v>9.300046507199131E-3</v>
      </c>
      <c r="X70" s="145">
        <v>0.13432625731284795</v>
      </c>
      <c r="Y70" s="145">
        <v>0.72985612843742931</v>
      </c>
      <c r="Z70" s="145">
        <v>10.014228371701195</v>
      </c>
      <c r="AA70" s="145">
        <v>6.8978737618758128</v>
      </c>
      <c r="AB70" s="145">
        <v>2.0378629167485824</v>
      </c>
      <c r="BB70" s="136">
        <v>95.53</v>
      </c>
      <c r="BC70" s="136">
        <v>76.400000000000006</v>
      </c>
      <c r="BD70" s="136">
        <v>95.53</v>
      </c>
      <c r="BE70" s="136">
        <v>96.89</v>
      </c>
      <c r="BF70" s="136">
        <v>100.66</v>
      </c>
      <c r="BG70" s="136">
        <v>111.19</v>
      </c>
      <c r="BH70" s="136">
        <v>116.91</v>
      </c>
      <c r="BI70" s="136">
        <v>123.56</v>
      </c>
      <c r="BJ70" s="136">
        <v>122.79</v>
      </c>
      <c r="BK70" s="136">
        <v>120.68</v>
      </c>
      <c r="BM70" s="145">
        <v>2.7541251568615347E-3</v>
      </c>
      <c r="BN70" s="145">
        <v>3.2819168569593545E-5</v>
      </c>
      <c r="BO70" s="145">
        <v>2.7541251568615347E-3</v>
      </c>
      <c r="BP70" s="145">
        <v>3.848835074112697E-3</v>
      </c>
      <c r="BQ70" s="145">
        <v>9.300046507199131E-3</v>
      </c>
      <c r="BR70" s="145">
        <v>0.13432625731284795</v>
      </c>
      <c r="BS70" s="145">
        <v>0.72985612843742931</v>
      </c>
      <c r="BT70" s="145">
        <v>10.014228371701195</v>
      </c>
      <c r="BU70" s="145">
        <v>6.8978737618758128</v>
      </c>
      <c r="BV70" s="145">
        <v>2.0378629167485824</v>
      </c>
    </row>
    <row r="71" spans="1:74" x14ac:dyDescent="0.25">
      <c r="A71" s="141">
        <v>42837</v>
      </c>
      <c r="B71" s="142">
        <v>0.47222222222222227</v>
      </c>
      <c r="C71" s="143">
        <v>120.88</v>
      </c>
      <c r="E71" s="144">
        <v>109.4</v>
      </c>
      <c r="F71" s="145">
        <v>11.5</v>
      </c>
      <c r="I71" s="143">
        <v>97.82</v>
      </c>
      <c r="J71" s="143">
        <v>79.16</v>
      </c>
      <c r="K71" s="143">
        <v>97.82</v>
      </c>
      <c r="L71" s="143">
        <v>99.34</v>
      </c>
      <c r="M71" s="143">
        <v>103</v>
      </c>
      <c r="N71" s="143">
        <v>112.62</v>
      </c>
      <c r="O71" s="143">
        <v>117.7</v>
      </c>
      <c r="P71" s="143">
        <v>123.26</v>
      </c>
      <c r="Q71" s="143">
        <v>123.17</v>
      </c>
      <c r="S71" s="145">
        <v>5.1035956998876086E-3</v>
      </c>
      <c r="T71" s="145">
        <v>6.4805910343725953E-5</v>
      </c>
      <c r="U71" s="145">
        <v>5.1035956998876086E-3</v>
      </c>
      <c r="V71" s="145">
        <v>7.182868920180812E-3</v>
      </c>
      <c r="W71" s="145">
        <v>1.7044129601761548E-2</v>
      </c>
      <c r="X71" s="145">
        <v>0.20527913339730269</v>
      </c>
      <c r="Y71" s="145">
        <v>0.95840022324486718</v>
      </c>
      <c r="Z71" s="145">
        <v>10.836414233308663</v>
      </c>
      <c r="AA71" s="145">
        <v>7.7031965794649491</v>
      </c>
      <c r="AB71" s="145">
        <v>2.5131653135767231</v>
      </c>
      <c r="BB71" s="136">
        <v>97.82</v>
      </c>
      <c r="BC71" s="136">
        <v>79.16</v>
      </c>
      <c r="BD71" s="136">
        <v>97.82</v>
      </c>
      <c r="BE71" s="136">
        <v>99.34</v>
      </c>
      <c r="BF71" s="136">
        <v>103</v>
      </c>
      <c r="BG71" s="136">
        <v>112.62</v>
      </c>
      <c r="BH71" s="136">
        <v>117.7</v>
      </c>
      <c r="BI71" s="136">
        <v>123.26</v>
      </c>
      <c r="BJ71" s="136">
        <v>123.17</v>
      </c>
      <c r="BK71" s="136">
        <v>120.88</v>
      </c>
      <c r="BM71" s="145">
        <v>5.1035956998876086E-3</v>
      </c>
      <c r="BN71" s="145">
        <v>6.4805910343725953E-5</v>
      </c>
      <c r="BO71" s="145">
        <v>5.1035956998876086E-3</v>
      </c>
      <c r="BP71" s="145">
        <v>7.182868920180812E-3</v>
      </c>
      <c r="BQ71" s="145">
        <v>1.7044129601761548E-2</v>
      </c>
      <c r="BR71" s="145">
        <v>0.20527913339730269</v>
      </c>
      <c r="BS71" s="145">
        <v>0.95840022324486718</v>
      </c>
      <c r="BT71" s="145">
        <v>10.836414233308663</v>
      </c>
      <c r="BU71" s="145">
        <v>7.7031965794649491</v>
      </c>
      <c r="BV71" s="145">
        <v>2.5131653135767231</v>
      </c>
    </row>
    <row r="72" spans="1:74" x14ac:dyDescent="0.25">
      <c r="A72" s="141">
        <v>42837</v>
      </c>
      <c r="B72" s="142">
        <v>0.47256944444444443</v>
      </c>
      <c r="C72" s="143">
        <v>121.32</v>
      </c>
      <c r="E72" s="144">
        <v>110.7</v>
      </c>
      <c r="F72" s="145">
        <v>10.6</v>
      </c>
      <c r="I72" s="143">
        <v>100.1</v>
      </c>
      <c r="J72" s="143">
        <v>81.78</v>
      </c>
      <c r="K72" s="143">
        <v>100.1</v>
      </c>
      <c r="L72" s="143">
        <v>101.51</v>
      </c>
      <c r="M72" s="143">
        <v>105.13</v>
      </c>
      <c r="N72" s="143">
        <v>113.9</v>
      </c>
      <c r="O72" s="143">
        <v>117.93</v>
      </c>
      <c r="P72" s="143">
        <v>122.65</v>
      </c>
      <c r="Q72" s="143">
        <v>122.02</v>
      </c>
      <c r="S72" s="145">
        <v>9.0752368735090155E-3</v>
      </c>
      <c r="T72" s="145">
        <v>1.2328087989471953E-4</v>
      </c>
      <c r="U72" s="145">
        <v>9.0752368735090155E-3</v>
      </c>
      <c r="V72" s="145">
        <v>1.2677898117343427E-2</v>
      </c>
      <c r="W72" s="145">
        <v>2.9690619583992266E-2</v>
      </c>
      <c r="X72" s="145">
        <v>0.3005521692954653</v>
      </c>
      <c r="Y72" s="145">
        <v>1.1993741220574314</v>
      </c>
      <c r="Z72" s="145">
        <v>11.550861212564216</v>
      </c>
      <c r="AA72" s="145">
        <v>8.3211702961872049</v>
      </c>
      <c r="AB72" s="145">
        <v>3.0391462504883346</v>
      </c>
      <c r="BB72" s="136">
        <v>100.1</v>
      </c>
      <c r="BC72" s="136">
        <v>81.78</v>
      </c>
      <c r="BD72" s="136">
        <v>100.1</v>
      </c>
      <c r="BE72" s="136">
        <v>101.51</v>
      </c>
      <c r="BF72" s="136">
        <v>105.13</v>
      </c>
      <c r="BG72" s="136">
        <v>113.9</v>
      </c>
      <c r="BH72" s="136">
        <v>117.93</v>
      </c>
      <c r="BI72" s="136">
        <v>122.65</v>
      </c>
      <c r="BJ72" s="136">
        <v>122.02</v>
      </c>
      <c r="BK72" s="136">
        <v>121.32</v>
      </c>
      <c r="BM72" s="145">
        <v>9.0752368735090155E-3</v>
      </c>
      <c r="BN72" s="145">
        <v>1.2328087989471953E-4</v>
      </c>
      <c r="BO72" s="145">
        <v>9.0752368735090155E-3</v>
      </c>
      <c r="BP72" s="145">
        <v>1.2677898117343427E-2</v>
      </c>
      <c r="BQ72" s="145">
        <v>2.9690619583992266E-2</v>
      </c>
      <c r="BR72" s="145">
        <v>0.3005521692954653</v>
      </c>
      <c r="BS72" s="145">
        <v>1.1993741220574314</v>
      </c>
      <c r="BT72" s="145">
        <v>11.550861212564216</v>
      </c>
      <c r="BU72" s="145">
        <v>8.3211702961872049</v>
      </c>
      <c r="BV72" s="145">
        <v>3.0391462504883346</v>
      </c>
    </row>
    <row r="73" spans="1:74" x14ac:dyDescent="0.25">
      <c r="A73" s="141">
        <v>42837</v>
      </c>
      <c r="B73" s="142">
        <v>0.47291666666666665</v>
      </c>
      <c r="C73" s="143">
        <v>121.51</v>
      </c>
      <c r="E73" s="144">
        <v>111.9</v>
      </c>
      <c r="F73" s="145">
        <v>9.6</v>
      </c>
      <c r="I73" s="143">
        <v>102.2</v>
      </c>
      <c r="J73" s="143">
        <v>84.22</v>
      </c>
      <c r="K73" s="143">
        <v>102.2</v>
      </c>
      <c r="L73" s="143">
        <v>103.52</v>
      </c>
      <c r="M73" s="143">
        <v>107.03</v>
      </c>
      <c r="N73" s="143">
        <v>114.96</v>
      </c>
      <c r="O73" s="143">
        <v>118.77</v>
      </c>
      <c r="P73" s="143">
        <v>123.85</v>
      </c>
      <c r="Q73" s="143">
        <v>123.02</v>
      </c>
      <c r="S73" s="145">
        <v>1.5516484631974694E-2</v>
      </c>
      <c r="T73" s="145">
        <v>2.2583898883599772E-4</v>
      </c>
      <c r="U73" s="145">
        <v>1.5516484631974694E-2</v>
      </c>
      <c r="V73" s="145">
        <v>2.1407008881945952E-2</v>
      </c>
      <c r="W73" s="145">
        <v>4.9277713439381449E-2</v>
      </c>
      <c r="X73" s="145">
        <v>0.422162369749156</v>
      </c>
      <c r="Y73" s="145">
        <v>1.4917691641296718</v>
      </c>
      <c r="Z73" s="145">
        <v>12.492685757309117</v>
      </c>
      <c r="AA73" s="145">
        <v>9.0991531119897431</v>
      </c>
      <c r="AB73" s="145">
        <v>3.5886491702045964</v>
      </c>
      <c r="BB73" s="136">
        <v>102.2</v>
      </c>
      <c r="BC73" s="136">
        <v>84.22</v>
      </c>
      <c r="BD73" s="136">
        <v>102.2</v>
      </c>
      <c r="BE73" s="136">
        <v>103.52</v>
      </c>
      <c r="BF73" s="136">
        <v>107.03</v>
      </c>
      <c r="BG73" s="136">
        <v>114.96</v>
      </c>
      <c r="BH73" s="136">
        <v>118.77</v>
      </c>
      <c r="BI73" s="136">
        <v>123.85</v>
      </c>
      <c r="BJ73" s="136">
        <v>123.02</v>
      </c>
      <c r="BK73" s="136">
        <v>121.51</v>
      </c>
      <c r="BM73" s="145">
        <v>1.5516484631974694E-2</v>
      </c>
      <c r="BN73" s="145">
        <v>2.2583898883599772E-4</v>
      </c>
      <c r="BO73" s="145">
        <v>1.5516484631974694E-2</v>
      </c>
      <c r="BP73" s="145">
        <v>2.1407008881945952E-2</v>
      </c>
      <c r="BQ73" s="145">
        <v>4.9277713439381449E-2</v>
      </c>
      <c r="BR73" s="145">
        <v>0.422162369749156</v>
      </c>
      <c r="BS73" s="145">
        <v>1.4917691641296718</v>
      </c>
      <c r="BT73" s="145">
        <v>12.492685757309117</v>
      </c>
      <c r="BU73" s="145">
        <v>9.0991531119897431</v>
      </c>
      <c r="BV73" s="145">
        <v>3.5886491702045964</v>
      </c>
    </row>
    <row r="74" spans="1:74" x14ac:dyDescent="0.25">
      <c r="A74" s="141">
        <v>42837</v>
      </c>
      <c r="B74" s="142">
        <v>0.47326388888888887</v>
      </c>
      <c r="C74" s="143">
        <v>121.62</v>
      </c>
      <c r="E74" s="144">
        <v>112.9</v>
      </c>
      <c r="F74" s="145">
        <v>8.6999999999999993</v>
      </c>
      <c r="I74" s="143">
        <v>104.16</v>
      </c>
      <c r="J74" s="143">
        <v>86.59</v>
      </c>
      <c r="K74" s="143">
        <v>104.16</v>
      </c>
      <c r="L74" s="143">
        <v>105.36</v>
      </c>
      <c r="M74" s="143">
        <v>108.78</v>
      </c>
      <c r="N74" s="143">
        <v>115.91</v>
      </c>
      <c r="O74" s="143">
        <v>118.89</v>
      </c>
      <c r="P74" s="143">
        <v>122.64</v>
      </c>
      <c r="Q74" s="143">
        <v>122.46</v>
      </c>
      <c r="S74" s="145">
        <v>2.5631580525366057E-2</v>
      </c>
      <c r="T74" s="145">
        <v>4.0283765937771526E-4</v>
      </c>
      <c r="U74" s="145">
        <v>2.5631580525366057E-2</v>
      </c>
      <c r="V74" s="145">
        <v>3.4741302204553362E-2</v>
      </c>
      <c r="W74" s="145">
        <v>7.8584621665082927E-2</v>
      </c>
      <c r="X74" s="145">
        <v>0.57350804115422127</v>
      </c>
      <c r="Y74" s="145">
        <v>1.7923560328713113</v>
      </c>
      <c r="Z74" s="145">
        <v>13.205489554110212</v>
      </c>
      <c r="AA74" s="145">
        <v>9.7830175247876667</v>
      </c>
      <c r="AB74" s="145">
        <v>4.1522478982923534</v>
      </c>
      <c r="BB74" s="136">
        <v>104.16</v>
      </c>
      <c r="BC74" s="136">
        <v>86.59</v>
      </c>
      <c r="BD74" s="136">
        <v>104.16</v>
      </c>
      <c r="BE74" s="136">
        <v>105.36</v>
      </c>
      <c r="BF74" s="136">
        <v>108.78</v>
      </c>
      <c r="BG74" s="136">
        <v>115.91</v>
      </c>
      <c r="BH74" s="136">
        <v>118.89</v>
      </c>
      <c r="BI74" s="136">
        <v>122.64</v>
      </c>
      <c r="BJ74" s="136">
        <v>122.46</v>
      </c>
      <c r="BK74" s="136">
        <v>121.62</v>
      </c>
      <c r="BM74" s="145">
        <v>2.5631580525366057E-2</v>
      </c>
      <c r="BN74" s="145">
        <v>4.0283765937771526E-4</v>
      </c>
      <c r="BO74" s="145">
        <v>2.5631580525366057E-2</v>
      </c>
      <c r="BP74" s="145">
        <v>3.4741302204553362E-2</v>
      </c>
      <c r="BQ74" s="145">
        <v>7.8584621665082927E-2</v>
      </c>
      <c r="BR74" s="145">
        <v>0.57350804115422127</v>
      </c>
      <c r="BS74" s="145">
        <v>1.7923560328713113</v>
      </c>
      <c r="BT74" s="145">
        <v>13.205489554110212</v>
      </c>
      <c r="BU74" s="145">
        <v>9.7830175247876667</v>
      </c>
      <c r="BV74" s="145">
        <v>4.1522478982923534</v>
      </c>
    </row>
    <row r="75" spans="1:74" x14ac:dyDescent="0.25">
      <c r="A75" s="141">
        <v>42837</v>
      </c>
      <c r="B75" s="142">
        <v>0.47361111111111115</v>
      </c>
      <c r="C75" s="143">
        <v>121.92</v>
      </c>
      <c r="E75" s="144">
        <v>113.9</v>
      </c>
      <c r="F75" s="145">
        <v>8</v>
      </c>
      <c r="I75" s="143">
        <v>105.86</v>
      </c>
      <c r="J75" s="143">
        <v>88.75</v>
      </c>
      <c r="K75" s="143">
        <v>105.86</v>
      </c>
      <c r="L75" s="143">
        <v>107.01</v>
      </c>
      <c r="M75" s="143">
        <v>110.3</v>
      </c>
      <c r="N75" s="143">
        <v>116.74</v>
      </c>
      <c r="O75" s="143">
        <v>119.49</v>
      </c>
      <c r="P75" s="143">
        <v>123.59</v>
      </c>
      <c r="Q75" s="143">
        <v>122.6</v>
      </c>
      <c r="S75" s="145">
        <v>4.0592903708407013E-2</v>
      </c>
      <c r="T75" s="145">
        <v>6.9388926826315111E-4</v>
      </c>
      <c r="U75" s="145">
        <v>4.0592903708407013E-2</v>
      </c>
      <c r="V75" s="145">
        <v>5.4238401538380575E-2</v>
      </c>
      <c r="W75" s="145">
        <v>0.1201728102202165</v>
      </c>
      <c r="X75" s="145">
        <v>0.75672682847813788</v>
      </c>
      <c r="Y75" s="145">
        <v>2.1374759347914325</v>
      </c>
      <c r="Z75" s="145">
        <v>14.092584294555296</v>
      </c>
      <c r="AA75" s="145">
        <v>10.489286297099044</v>
      </c>
      <c r="AB75" s="145">
        <v>4.7561548158457443</v>
      </c>
      <c r="BB75" s="136">
        <v>105.86</v>
      </c>
      <c r="BC75" s="136">
        <v>88.75</v>
      </c>
      <c r="BD75" s="136">
        <v>105.86</v>
      </c>
      <c r="BE75" s="136">
        <v>107.01</v>
      </c>
      <c r="BF75" s="136">
        <v>110.3</v>
      </c>
      <c r="BG75" s="136">
        <v>116.74</v>
      </c>
      <c r="BH75" s="136">
        <v>119.49</v>
      </c>
      <c r="BI75" s="136">
        <v>123.59</v>
      </c>
      <c r="BJ75" s="136">
        <v>122.6</v>
      </c>
      <c r="BK75" s="136">
        <v>121.92</v>
      </c>
      <c r="BM75" s="145">
        <v>4.0592903708407013E-2</v>
      </c>
      <c r="BN75" s="145">
        <v>6.9388926826315111E-4</v>
      </c>
      <c r="BO75" s="145">
        <v>4.0592903708407013E-2</v>
      </c>
      <c r="BP75" s="145">
        <v>5.4238401538380575E-2</v>
      </c>
      <c r="BQ75" s="145">
        <v>0.1201728102202165</v>
      </c>
      <c r="BR75" s="145">
        <v>0.75672682847813788</v>
      </c>
      <c r="BS75" s="145">
        <v>2.1374759347914325</v>
      </c>
      <c r="BT75" s="145">
        <v>14.092584294555296</v>
      </c>
      <c r="BU75" s="145">
        <v>10.489286297099044</v>
      </c>
      <c r="BV75" s="145">
        <v>4.7561548158457443</v>
      </c>
    </row>
    <row r="76" spans="1:74" x14ac:dyDescent="0.25">
      <c r="A76" s="141">
        <v>42837</v>
      </c>
      <c r="B76" s="142">
        <v>0.47395833333333331</v>
      </c>
      <c r="C76" s="143">
        <v>121.91</v>
      </c>
      <c r="E76" s="144">
        <v>114.7</v>
      </c>
      <c r="F76" s="145">
        <v>7.2</v>
      </c>
      <c r="I76" s="143">
        <v>107.42</v>
      </c>
      <c r="J76" s="143">
        <v>90.85</v>
      </c>
      <c r="K76" s="143">
        <v>107.42</v>
      </c>
      <c r="L76" s="143">
        <v>108.51</v>
      </c>
      <c r="M76" s="143">
        <v>111.62</v>
      </c>
      <c r="N76" s="143">
        <v>117.41</v>
      </c>
      <c r="O76" s="143">
        <v>119.94</v>
      </c>
      <c r="P76" s="143">
        <v>123.29</v>
      </c>
      <c r="Q76" s="143">
        <v>122.98</v>
      </c>
      <c r="S76" s="145">
        <v>6.2020329728279019E-2</v>
      </c>
      <c r="T76" s="145">
        <v>1.1659197064061125E-3</v>
      </c>
      <c r="U76" s="145">
        <v>6.2020329728279019E-2</v>
      </c>
      <c r="V76" s="145">
        <v>8.1778786358650796E-2</v>
      </c>
      <c r="W76" s="145">
        <v>0.17653268302899214</v>
      </c>
      <c r="X76" s="145">
        <v>0.97050827155393105</v>
      </c>
      <c r="Y76" s="145">
        <v>2.5202742382470609</v>
      </c>
      <c r="Z76" s="145">
        <v>14.920469276290062</v>
      </c>
      <c r="AA76" s="145">
        <v>11.260136523573825</v>
      </c>
      <c r="AB76" s="145">
        <v>5.3586727860316437</v>
      </c>
      <c r="BB76" s="136">
        <v>107.42</v>
      </c>
      <c r="BC76" s="136">
        <v>90.85</v>
      </c>
      <c r="BD76" s="136">
        <v>107.42</v>
      </c>
      <c r="BE76" s="136">
        <v>108.51</v>
      </c>
      <c r="BF76" s="136">
        <v>111.62</v>
      </c>
      <c r="BG76" s="136">
        <v>117.41</v>
      </c>
      <c r="BH76" s="136">
        <v>119.94</v>
      </c>
      <c r="BI76" s="136">
        <v>123.29</v>
      </c>
      <c r="BJ76" s="136">
        <v>122.98</v>
      </c>
      <c r="BK76" s="136">
        <v>121.91</v>
      </c>
      <c r="BM76" s="145">
        <v>6.2020329728279019E-2</v>
      </c>
      <c r="BN76" s="145">
        <v>1.1659197064061125E-3</v>
      </c>
      <c r="BO76" s="145">
        <v>6.2020329728279019E-2</v>
      </c>
      <c r="BP76" s="145">
        <v>8.1778786358650796E-2</v>
      </c>
      <c r="BQ76" s="145">
        <v>0.17653268302899214</v>
      </c>
      <c r="BR76" s="145">
        <v>0.97050827155393105</v>
      </c>
      <c r="BS76" s="145">
        <v>2.5202742382470609</v>
      </c>
      <c r="BT76" s="145">
        <v>14.920469276290062</v>
      </c>
      <c r="BU76" s="145">
        <v>11.260136523573825</v>
      </c>
      <c r="BV76" s="145">
        <v>5.3586727860316437</v>
      </c>
    </row>
    <row r="77" spans="1:74" x14ac:dyDescent="0.25">
      <c r="A77" s="141">
        <v>42837</v>
      </c>
      <c r="B77" s="142">
        <v>0.47430555555555554</v>
      </c>
      <c r="C77" s="143">
        <v>122.16</v>
      </c>
      <c r="E77" s="144">
        <v>115.5</v>
      </c>
      <c r="F77" s="145">
        <v>6.7</v>
      </c>
      <c r="I77" s="143">
        <v>108.79</v>
      </c>
      <c r="J77" s="143">
        <v>92.75</v>
      </c>
      <c r="K77" s="143">
        <v>108.79</v>
      </c>
      <c r="L77" s="143">
        <v>109.93</v>
      </c>
      <c r="M77" s="143">
        <v>112.76</v>
      </c>
      <c r="N77" s="143">
        <v>118.07</v>
      </c>
      <c r="O77" s="143">
        <v>119.94</v>
      </c>
      <c r="P77" s="143">
        <v>122.73</v>
      </c>
      <c r="Q77" s="143">
        <v>122.3</v>
      </c>
      <c r="S77" s="145">
        <v>9.1394797354767937E-2</v>
      </c>
      <c r="T77" s="145">
        <v>1.8970082936344719E-3</v>
      </c>
      <c r="U77" s="145">
        <v>9.1394797354767937E-2</v>
      </c>
      <c r="V77" s="145">
        <v>0.11997057553753546</v>
      </c>
      <c r="W77" s="145">
        <v>0.24981007507678787</v>
      </c>
      <c r="X77" s="145">
        <v>1.2193768140433989</v>
      </c>
      <c r="Y77" s="145">
        <v>2.9030725417026892</v>
      </c>
      <c r="Z77" s="145">
        <v>15.648198816581047</v>
      </c>
      <c r="AA77" s="145">
        <v>11.919264892852029</v>
      </c>
      <c r="AB77" s="145">
        <v>5.9968921904373156</v>
      </c>
      <c r="BB77" s="136">
        <v>108.79</v>
      </c>
      <c r="BC77" s="136">
        <v>92.75</v>
      </c>
      <c r="BD77" s="136">
        <v>108.79</v>
      </c>
      <c r="BE77" s="136">
        <v>109.93</v>
      </c>
      <c r="BF77" s="136">
        <v>112.76</v>
      </c>
      <c r="BG77" s="136">
        <v>118.07</v>
      </c>
      <c r="BH77" s="136">
        <v>119.94</v>
      </c>
      <c r="BI77" s="136">
        <v>122.73</v>
      </c>
      <c r="BJ77" s="136">
        <v>122.3</v>
      </c>
      <c r="BK77" s="136">
        <v>122.16</v>
      </c>
      <c r="BM77" s="145">
        <v>9.1394797354767937E-2</v>
      </c>
      <c r="BN77" s="145">
        <v>1.8970082936344719E-3</v>
      </c>
      <c r="BO77" s="145">
        <v>9.1394797354767937E-2</v>
      </c>
      <c r="BP77" s="145">
        <v>0.11997057553753546</v>
      </c>
      <c r="BQ77" s="145">
        <v>0.24981007507678787</v>
      </c>
      <c r="BR77" s="145">
        <v>1.2193768140433989</v>
      </c>
      <c r="BS77" s="145">
        <v>2.9030725417026892</v>
      </c>
      <c r="BT77" s="145">
        <v>15.648198816581047</v>
      </c>
      <c r="BU77" s="145">
        <v>11.919264892852029</v>
      </c>
      <c r="BV77" s="145">
        <v>5.9968921904373156</v>
      </c>
    </row>
    <row r="78" spans="1:74" x14ac:dyDescent="0.25">
      <c r="A78" s="141">
        <v>42837</v>
      </c>
      <c r="B78" s="142">
        <v>0.47465277777777781</v>
      </c>
      <c r="C78" s="143">
        <v>122.15</v>
      </c>
      <c r="E78" s="144">
        <v>116.1</v>
      </c>
      <c r="F78" s="145">
        <v>6.1</v>
      </c>
      <c r="I78" s="143">
        <v>110.03</v>
      </c>
      <c r="J78" s="143">
        <v>94.6</v>
      </c>
      <c r="K78" s="143">
        <v>110.03</v>
      </c>
      <c r="L78" s="143">
        <v>111.2</v>
      </c>
      <c r="M78" s="143">
        <v>113.79</v>
      </c>
      <c r="N78" s="143">
        <v>118.57</v>
      </c>
      <c r="O78" s="143">
        <v>120.49</v>
      </c>
      <c r="P78" s="143">
        <v>123.16</v>
      </c>
      <c r="Q78" s="143">
        <v>122.99</v>
      </c>
      <c r="S78" s="145">
        <v>0.13047618758418447</v>
      </c>
      <c r="T78" s="145">
        <v>3.0163688629186412E-3</v>
      </c>
      <c r="U78" s="145">
        <v>0.13047618758418447</v>
      </c>
      <c r="V78" s="145">
        <v>0.17113522515157326</v>
      </c>
      <c r="W78" s="145">
        <v>0.34270029783137307</v>
      </c>
      <c r="X78" s="145">
        <v>1.4986119114118144</v>
      </c>
      <c r="Y78" s="145">
        <v>3.3375527563458403</v>
      </c>
      <c r="Z78" s="145">
        <v>16.451669443087486</v>
      </c>
      <c r="AA78" s="145">
        <v>12.691892112621236</v>
      </c>
      <c r="AB78" s="145">
        <v>6.6336437309456482</v>
      </c>
      <c r="BB78" s="136">
        <v>110.03</v>
      </c>
      <c r="BC78" s="136">
        <v>94.6</v>
      </c>
      <c r="BD78" s="136">
        <v>110.03</v>
      </c>
      <c r="BE78" s="136">
        <v>111.2</v>
      </c>
      <c r="BF78" s="136">
        <v>113.79</v>
      </c>
      <c r="BG78" s="136">
        <v>118.57</v>
      </c>
      <c r="BH78" s="136">
        <v>120.49</v>
      </c>
      <c r="BI78" s="136">
        <v>123.16</v>
      </c>
      <c r="BJ78" s="136">
        <v>122.99</v>
      </c>
      <c r="BK78" s="136">
        <v>122.15</v>
      </c>
      <c r="BM78" s="145">
        <v>0.13047618758418447</v>
      </c>
      <c r="BN78" s="145">
        <v>3.0163688629186412E-3</v>
      </c>
      <c r="BO78" s="145">
        <v>0.13047618758418447</v>
      </c>
      <c r="BP78" s="145">
        <v>0.17113522515157326</v>
      </c>
      <c r="BQ78" s="145">
        <v>0.34270029783137307</v>
      </c>
      <c r="BR78" s="145">
        <v>1.4986119114118144</v>
      </c>
      <c r="BS78" s="145">
        <v>3.3375527563458403</v>
      </c>
      <c r="BT78" s="145">
        <v>16.451669443087486</v>
      </c>
      <c r="BU78" s="145">
        <v>12.691892112621236</v>
      </c>
      <c r="BV78" s="145">
        <v>6.6336437309456482</v>
      </c>
    </row>
    <row r="79" spans="1:74" x14ac:dyDescent="0.25">
      <c r="A79" s="141">
        <v>42837</v>
      </c>
      <c r="B79" s="142">
        <v>0.47500000000000003</v>
      </c>
      <c r="C79" s="143">
        <v>122.29</v>
      </c>
      <c r="E79" s="144">
        <v>116.7</v>
      </c>
      <c r="F79" s="145">
        <v>5.6</v>
      </c>
      <c r="I79" s="143">
        <v>111.15</v>
      </c>
      <c r="J79" s="143">
        <v>96.26</v>
      </c>
      <c r="K79" s="143">
        <v>111.15</v>
      </c>
      <c r="L79" s="143">
        <v>112.3</v>
      </c>
      <c r="M79" s="143">
        <v>114.71</v>
      </c>
      <c r="N79" s="143">
        <v>119.06</v>
      </c>
      <c r="O79" s="143">
        <v>120.22</v>
      </c>
      <c r="P79" s="143">
        <v>122.42</v>
      </c>
      <c r="Q79" s="143">
        <v>122.09</v>
      </c>
      <c r="S79" s="145">
        <v>0.18105516029717952</v>
      </c>
      <c r="T79" s="145">
        <v>4.6568453284842387E-3</v>
      </c>
      <c r="U79" s="145">
        <v>0.18105516029717952</v>
      </c>
      <c r="V79" s="145">
        <v>0.23704806207939363</v>
      </c>
      <c r="W79" s="145">
        <v>0.45750773023699115</v>
      </c>
      <c r="X79" s="145">
        <v>1.8111982577996577</v>
      </c>
      <c r="Y79" s="145">
        <v>3.7458439420251368</v>
      </c>
      <c r="Z79" s="145">
        <v>17.129264149263005</v>
      </c>
      <c r="AA79" s="145">
        <v>13.319907094468675</v>
      </c>
      <c r="AB79" s="145">
        <v>7.2912561470417696</v>
      </c>
      <c r="BB79" s="136">
        <v>111.15</v>
      </c>
      <c r="BC79" s="136">
        <v>96.26</v>
      </c>
      <c r="BD79" s="136">
        <v>111.15</v>
      </c>
      <c r="BE79" s="136">
        <v>112.3</v>
      </c>
      <c r="BF79" s="136">
        <v>114.71</v>
      </c>
      <c r="BG79" s="136">
        <v>119.06</v>
      </c>
      <c r="BH79" s="136">
        <v>120.22</v>
      </c>
      <c r="BI79" s="136">
        <v>122.42</v>
      </c>
      <c r="BJ79" s="136">
        <v>122.09</v>
      </c>
      <c r="BK79" s="136">
        <v>122.29</v>
      </c>
      <c r="BM79" s="145">
        <v>0.18105516029717952</v>
      </c>
      <c r="BN79" s="145">
        <v>4.6568453284842387E-3</v>
      </c>
      <c r="BO79" s="145">
        <v>0.18105516029717952</v>
      </c>
      <c r="BP79" s="145">
        <v>0.23704806207939363</v>
      </c>
      <c r="BQ79" s="145">
        <v>0.45750773023699115</v>
      </c>
      <c r="BR79" s="145">
        <v>1.8111982577996577</v>
      </c>
      <c r="BS79" s="145">
        <v>3.7458439420251368</v>
      </c>
      <c r="BT79" s="145">
        <v>17.129264149263005</v>
      </c>
      <c r="BU79" s="145">
        <v>13.319907094468675</v>
      </c>
      <c r="BV79" s="145">
        <v>7.2912561470417696</v>
      </c>
    </row>
    <row r="80" spans="1:74" x14ac:dyDescent="0.25">
      <c r="A80" s="141">
        <v>42837</v>
      </c>
      <c r="B80" s="142">
        <v>0.4753472222222222</v>
      </c>
      <c r="C80" s="143">
        <v>122.31</v>
      </c>
      <c r="E80" s="144">
        <v>117.2</v>
      </c>
      <c r="F80" s="145">
        <v>5.0999999999999996</v>
      </c>
      <c r="I80" s="143">
        <v>112.15</v>
      </c>
      <c r="J80" s="143">
        <v>97.98</v>
      </c>
      <c r="K80" s="143">
        <v>112.15</v>
      </c>
      <c r="L80" s="143">
        <v>113.39</v>
      </c>
      <c r="M80" s="143">
        <v>115.49</v>
      </c>
      <c r="N80" s="143">
        <v>119.44</v>
      </c>
      <c r="O80" s="143">
        <v>120.83</v>
      </c>
      <c r="P80" s="143">
        <v>123.12</v>
      </c>
      <c r="Q80" s="143">
        <v>122.83</v>
      </c>
      <c r="S80" s="145">
        <v>0.24473031434801276</v>
      </c>
      <c r="T80" s="145">
        <v>7.0944877790011752E-3</v>
      </c>
      <c r="U80" s="145">
        <v>0.24473031434801276</v>
      </c>
      <c r="V80" s="145">
        <v>0.32176495210176015</v>
      </c>
      <c r="W80" s="145">
        <v>0.59490243789211106</v>
      </c>
      <c r="X80" s="145">
        <v>2.1523676048704927</v>
      </c>
      <c r="Y80" s="145">
        <v>4.2157055973074566</v>
      </c>
      <c r="Z80" s="145">
        <v>17.925368512788591</v>
      </c>
      <c r="AA80" s="145">
        <v>14.064587633324134</v>
      </c>
      <c r="AB80" s="145">
        <v>7.9519039641350586</v>
      </c>
      <c r="BB80" s="136">
        <v>112.15</v>
      </c>
      <c r="BC80" s="136">
        <v>97.98</v>
      </c>
      <c r="BD80" s="136">
        <v>112.15</v>
      </c>
      <c r="BE80" s="136">
        <v>113.39</v>
      </c>
      <c r="BF80" s="136">
        <v>115.49</v>
      </c>
      <c r="BG80" s="136">
        <v>119.44</v>
      </c>
      <c r="BH80" s="136">
        <v>120.83</v>
      </c>
      <c r="BI80" s="136">
        <v>123.12</v>
      </c>
      <c r="BJ80" s="136">
        <v>122.83</v>
      </c>
      <c r="BK80" s="136">
        <v>122.31</v>
      </c>
      <c r="BM80" s="145">
        <v>0.24473031434801276</v>
      </c>
      <c r="BN80" s="145">
        <v>7.0944877790011752E-3</v>
      </c>
      <c r="BO80" s="145">
        <v>0.24473031434801276</v>
      </c>
      <c r="BP80" s="145">
        <v>0.32176495210176015</v>
      </c>
      <c r="BQ80" s="145">
        <v>0.59490243789211106</v>
      </c>
      <c r="BR80" s="145">
        <v>2.1523676048704927</v>
      </c>
      <c r="BS80" s="145">
        <v>4.2157055973074566</v>
      </c>
      <c r="BT80" s="145">
        <v>17.925368512788591</v>
      </c>
      <c r="BU80" s="145">
        <v>14.064587633324134</v>
      </c>
      <c r="BV80" s="145">
        <v>7.9519039641350586</v>
      </c>
    </row>
    <row r="81" spans="1:74" x14ac:dyDescent="0.25">
      <c r="A81" s="141">
        <v>42837</v>
      </c>
      <c r="B81" s="142">
        <v>0.47569444444444442</v>
      </c>
      <c r="C81" s="143">
        <v>122.36</v>
      </c>
      <c r="E81" s="144">
        <v>117.7</v>
      </c>
      <c r="F81" s="145">
        <v>4.7</v>
      </c>
      <c r="I81" s="143">
        <v>113.07</v>
      </c>
      <c r="J81" s="143">
        <v>99.59</v>
      </c>
      <c r="K81" s="143">
        <v>113.07</v>
      </c>
      <c r="L81" s="143">
        <v>114.3</v>
      </c>
      <c r="M81" s="143">
        <v>116.25</v>
      </c>
      <c r="N81" s="143">
        <v>119.8</v>
      </c>
      <c r="O81" s="143">
        <v>120.38</v>
      </c>
      <c r="P81" s="143">
        <v>122.2</v>
      </c>
      <c r="Q81" s="143">
        <v>121.95</v>
      </c>
      <c r="S81" s="145">
        <v>0.32342945757132369</v>
      </c>
      <c r="T81" s="145">
        <v>1.0626075550315993E-2</v>
      </c>
      <c r="U81" s="145">
        <v>0.32342945757132369</v>
      </c>
      <c r="V81" s="145">
        <v>0.42622975864446216</v>
      </c>
      <c r="W81" s="145">
        <v>0.75857278533153039</v>
      </c>
      <c r="X81" s="145">
        <v>2.5230227255209519</v>
      </c>
      <c r="Y81" s="145">
        <v>4.6393193043777554</v>
      </c>
      <c r="Z81" s="145">
        <v>18.569493288635158</v>
      </c>
      <c r="AA81" s="145">
        <v>14.672680633647319</v>
      </c>
      <c r="AB81" s="145">
        <v>8.6202017224082805</v>
      </c>
      <c r="BB81" s="136">
        <v>113.07</v>
      </c>
      <c r="BC81" s="136">
        <v>99.59</v>
      </c>
      <c r="BD81" s="136">
        <v>113.07</v>
      </c>
      <c r="BE81" s="136">
        <v>114.3</v>
      </c>
      <c r="BF81" s="136">
        <v>116.25</v>
      </c>
      <c r="BG81" s="136">
        <v>119.8</v>
      </c>
      <c r="BH81" s="136">
        <v>120.38</v>
      </c>
      <c r="BI81" s="136">
        <v>122.2</v>
      </c>
      <c r="BJ81" s="136">
        <v>121.95</v>
      </c>
      <c r="BK81" s="136">
        <v>122.36</v>
      </c>
      <c r="BM81" s="145">
        <v>0.32342945757132369</v>
      </c>
      <c r="BN81" s="145">
        <v>1.0626075550315993E-2</v>
      </c>
      <c r="BO81" s="145">
        <v>0.32342945757132369</v>
      </c>
      <c r="BP81" s="145">
        <v>0.42622975864446216</v>
      </c>
      <c r="BQ81" s="145">
        <v>0.75857278533153039</v>
      </c>
      <c r="BR81" s="145">
        <v>2.5230227255209519</v>
      </c>
      <c r="BS81" s="145">
        <v>4.6393193043777554</v>
      </c>
      <c r="BT81" s="145">
        <v>18.569493288635158</v>
      </c>
      <c r="BU81" s="145">
        <v>14.672680633647319</v>
      </c>
      <c r="BV81" s="145">
        <v>8.6202017224082805</v>
      </c>
    </row>
    <row r="82" spans="1:74" x14ac:dyDescent="0.25">
      <c r="A82" s="141">
        <v>42837</v>
      </c>
      <c r="B82" s="142">
        <v>0.4760416666666667</v>
      </c>
      <c r="C82" s="143">
        <v>122.43</v>
      </c>
      <c r="E82" s="144">
        <v>118.2</v>
      </c>
      <c r="F82" s="145">
        <v>4.2</v>
      </c>
      <c r="I82" s="143">
        <v>113.91</v>
      </c>
      <c r="J82" s="143">
        <v>101.09</v>
      </c>
      <c r="K82" s="143">
        <v>113.91</v>
      </c>
      <c r="L82" s="143">
        <v>115.13</v>
      </c>
      <c r="M82" s="143">
        <v>116.89</v>
      </c>
      <c r="N82" s="143">
        <v>120.1</v>
      </c>
      <c r="O82" s="143">
        <v>121.22</v>
      </c>
      <c r="P82" s="143">
        <v>123.22</v>
      </c>
      <c r="Q82" s="143">
        <v>123</v>
      </c>
      <c r="S82" s="145">
        <v>0.41892212049963562</v>
      </c>
      <c r="T82" s="145">
        <v>1.5614575869428767E-2</v>
      </c>
      <c r="U82" s="145">
        <v>0.41892212049963562</v>
      </c>
      <c r="V82" s="145">
        <v>0.55269465846676946</v>
      </c>
      <c r="W82" s="145">
        <v>0.94823027781837155</v>
      </c>
      <c r="X82" s="145">
        <v>2.9201868428830924</v>
      </c>
      <c r="Y82" s="145">
        <v>5.1533274534409923</v>
      </c>
      <c r="Z82" s="145">
        <v>19.384141304955019</v>
      </c>
      <c r="AA82" s="145">
        <v>15.447088943103561</v>
      </c>
      <c r="AB82" s="145">
        <v>9.2993584457018592</v>
      </c>
      <c r="BB82" s="136">
        <v>113.91</v>
      </c>
      <c r="BC82" s="136">
        <v>101.09</v>
      </c>
      <c r="BD82" s="136">
        <v>113.91</v>
      </c>
      <c r="BE82" s="136">
        <v>115.13</v>
      </c>
      <c r="BF82" s="136">
        <v>116.89</v>
      </c>
      <c r="BG82" s="136">
        <v>120.1</v>
      </c>
      <c r="BH82" s="136">
        <v>121.22</v>
      </c>
      <c r="BI82" s="136">
        <v>123.22</v>
      </c>
      <c r="BJ82" s="136">
        <v>123</v>
      </c>
      <c r="BK82" s="136">
        <v>122.43</v>
      </c>
      <c r="BM82" s="145">
        <v>0.41892212049963562</v>
      </c>
      <c r="BN82" s="145">
        <v>1.5614575869428767E-2</v>
      </c>
      <c r="BO82" s="145">
        <v>0.41892212049963562</v>
      </c>
      <c r="BP82" s="145">
        <v>0.55269465846676946</v>
      </c>
      <c r="BQ82" s="145">
        <v>0.94823027781837155</v>
      </c>
      <c r="BR82" s="145">
        <v>2.9201868428830924</v>
      </c>
      <c r="BS82" s="145">
        <v>5.1533274534409923</v>
      </c>
      <c r="BT82" s="145">
        <v>19.384141304955019</v>
      </c>
      <c r="BU82" s="145">
        <v>15.447088943103561</v>
      </c>
      <c r="BV82" s="145">
        <v>9.2993584457018592</v>
      </c>
    </row>
    <row r="83" spans="1:74" x14ac:dyDescent="0.25">
      <c r="A83" s="141">
        <v>42837</v>
      </c>
      <c r="B83" s="142">
        <v>0.47638888888888892</v>
      </c>
      <c r="C83" s="143">
        <v>122.4</v>
      </c>
      <c r="E83" s="144">
        <v>118.5</v>
      </c>
      <c r="F83" s="145">
        <v>3.9</v>
      </c>
      <c r="I83" s="143">
        <v>114.66</v>
      </c>
      <c r="J83" s="143">
        <v>102.42</v>
      </c>
      <c r="K83" s="143">
        <v>114.66</v>
      </c>
      <c r="L83" s="143">
        <v>115.88</v>
      </c>
      <c r="M83" s="143">
        <v>117.48</v>
      </c>
      <c r="N83" s="143">
        <v>120.39</v>
      </c>
      <c r="O83" s="143">
        <v>120.76</v>
      </c>
      <c r="P83" s="143">
        <v>122.3</v>
      </c>
      <c r="Q83" s="143">
        <v>122.19</v>
      </c>
      <c r="S83" s="145">
        <v>0.53241536309382675</v>
      </c>
      <c r="T83" s="145">
        <v>2.2390522931183959E-2</v>
      </c>
      <c r="U83" s="145">
        <v>0.53241536309382675</v>
      </c>
      <c r="V83" s="145">
        <v>0.70299847359818102</v>
      </c>
      <c r="W83" s="145">
        <v>1.1654853899041577</v>
      </c>
      <c r="X83" s="145">
        <v>3.3447770804012498</v>
      </c>
      <c r="Y83" s="145">
        <v>5.6156765404101048</v>
      </c>
      <c r="Z83" s="145">
        <v>20.043269674233223</v>
      </c>
      <c r="AA83" s="145">
        <v>16.08973227307537</v>
      </c>
      <c r="AB83" s="145">
        <v>9.9738398869976876</v>
      </c>
      <c r="BB83" s="136">
        <v>114.66</v>
      </c>
      <c r="BC83" s="136">
        <v>102.42</v>
      </c>
      <c r="BD83" s="136">
        <v>114.66</v>
      </c>
      <c r="BE83" s="136">
        <v>115.88</v>
      </c>
      <c r="BF83" s="136">
        <v>117.48</v>
      </c>
      <c r="BG83" s="136">
        <v>120.39</v>
      </c>
      <c r="BH83" s="136">
        <v>120.76</v>
      </c>
      <c r="BI83" s="136">
        <v>122.3</v>
      </c>
      <c r="BJ83" s="136">
        <v>122.19</v>
      </c>
      <c r="BK83" s="136">
        <v>122.4</v>
      </c>
      <c r="BM83" s="145">
        <v>0.53241536309382675</v>
      </c>
      <c r="BN83" s="145">
        <v>2.2390522931183959E-2</v>
      </c>
      <c r="BO83" s="145">
        <v>0.53241536309382675</v>
      </c>
      <c r="BP83" s="145">
        <v>0.70299847359818102</v>
      </c>
      <c r="BQ83" s="145">
        <v>1.1654853899041577</v>
      </c>
      <c r="BR83" s="145">
        <v>3.3447770804012498</v>
      </c>
      <c r="BS83" s="145">
        <v>5.6156765404101048</v>
      </c>
      <c r="BT83" s="145">
        <v>20.043269674233223</v>
      </c>
      <c r="BU83" s="145">
        <v>16.08973227307537</v>
      </c>
      <c r="BV83" s="145">
        <v>9.9738398869976876</v>
      </c>
    </row>
    <row r="84" spans="1:74" x14ac:dyDescent="0.25">
      <c r="A84" s="141">
        <v>42837</v>
      </c>
      <c r="B84" s="142">
        <v>0.47673611111111108</v>
      </c>
      <c r="C84" s="143">
        <v>122.51</v>
      </c>
      <c r="E84" s="144">
        <v>118.9</v>
      </c>
      <c r="F84" s="145">
        <v>3.6</v>
      </c>
      <c r="I84" s="143">
        <v>115.33</v>
      </c>
      <c r="J84" s="143">
        <v>103.7</v>
      </c>
      <c r="K84" s="143">
        <v>115.33</v>
      </c>
      <c r="L84" s="143">
        <v>116.55</v>
      </c>
      <c r="M84" s="143">
        <v>118</v>
      </c>
      <c r="N84" s="143">
        <v>120.6</v>
      </c>
      <c r="O84" s="143">
        <v>121.36</v>
      </c>
      <c r="P84" s="143">
        <v>123.07</v>
      </c>
      <c r="Q84" s="143">
        <v>122.8</v>
      </c>
      <c r="S84" s="145">
        <v>0.66484037002416185</v>
      </c>
      <c r="T84" s="145">
        <v>3.1489027224233891E-2</v>
      </c>
      <c r="U84" s="145">
        <v>0.66484037002416185</v>
      </c>
      <c r="V84" s="145">
        <v>0.87837441057446508</v>
      </c>
      <c r="W84" s="145">
        <v>1.4103747995883811</v>
      </c>
      <c r="X84" s="145">
        <v>3.7904025494681224</v>
      </c>
      <c r="Y84" s="145">
        <v>6.1465243190094681</v>
      </c>
      <c r="Z84" s="145">
        <v>20.830261106466331</v>
      </c>
      <c r="AA84" s="145">
        <v>16.829286467159474</v>
      </c>
      <c r="AB84" s="145">
        <v>10.66562307648358</v>
      </c>
      <c r="BB84" s="136">
        <v>115.33</v>
      </c>
      <c r="BC84" s="136">
        <v>103.7</v>
      </c>
      <c r="BD84" s="136">
        <v>115.33</v>
      </c>
      <c r="BE84" s="136">
        <v>116.55</v>
      </c>
      <c r="BF84" s="136">
        <v>118</v>
      </c>
      <c r="BG84" s="136">
        <v>120.6</v>
      </c>
      <c r="BH84" s="136">
        <v>121.36</v>
      </c>
      <c r="BI84" s="136">
        <v>123.07</v>
      </c>
      <c r="BJ84" s="136">
        <v>122.8</v>
      </c>
      <c r="BK84" s="136">
        <v>122.51</v>
      </c>
      <c r="BM84" s="145">
        <v>0.66484037002416185</v>
      </c>
      <c r="BN84" s="145">
        <v>3.1489027224233891E-2</v>
      </c>
      <c r="BO84" s="145">
        <v>0.66484037002416185</v>
      </c>
      <c r="BP84" s="145">
        <v>0.87837441057446508</v>
      </c>
      <c r="BQ84" s="145">
        <v>1.4103747995883811</v>
      </c>
      <c r="BR84" s="145">
        <v>3.7904025494681224</v>
      </c>
      <c r="BS84" s="145">
        <v>6.1465243190094681</v>
      </c>
      <c r="BT84" s="145">
        <v>20.830261106466331</v>
      </c>
      <c r="BU84" s="145">
        <v>16.829286467159474</v>
      </c>
      <c r="BV84" s="145">
        <v>10.66562307648358</v>
      </c>
    </row>
    <row r="85" spans="1:74" x14ac:dyDescent="0.25">
      <c r="A85" s="141">
        <v>42837</v>
      </c>
      <c r="B85" s="142">
        <v>0.4770833333333333</v>
      </c>
      <c r="C85" s="143">
        <v>122.41</v>
      </c>
      <c r="E85" s="144">
        <v>119.2</v>
      </c>
      <c r="F85" s="145">
        <v>3.2</v>
      </c>
      <c r="I85" s="143">
        <v>115.96</v>
      </c>
      <c r="J85" s="143">
        <v>104.87</v>
      </c>
      <c r="K85" s="143">
        <v>115.96</v>
      </c>
      <c r="L85" s="143">
        <v>117.17</v>
      </c>
      <c r="M85" s="143">
        <v>118.49</v>
      </c>
      <c r="N85" s="143">
        <v>120.8</v>
      </c>
      <c r="O85" s="143">
        <v>121.58</v>
      </c>
      <c r="P85" s="143">
        <v>123.03</v>
      </c>
      <c r="Q85" s="143">
        <v>122.99</v>
      </c>
      <c r="S85" s="145">
        <v>0.81793854170869573</v>
      </c>
      <c r="T85" s="145">
        <v>4.340062457102737E-2</v>
      </c>
      <c r="U85" s="145">
        <v>0.81793854170869573</v>
      </c>
      <c r="V85" s="145">
        <v>1.0806623564231868</v>
      </c>
      <c r="W85" s="145">
        <v>1.684513282048808</v>
      </c>
      <c r="X85" s="145">
        <v>4.2570296998666182</v>
      </c>
      <c r="Y85" s="145">
        <v>6.7049559428997494</v>
      </c>
      <c r="Z85" s="145">
        <v>21.610037357879808</v>
      </c>
      <c r="AA85" s="145">
        <v>17.601913686928679</v>
      </c>
      <c r="AB85" s="145">
        <v>11.341659358080719</v>
      </c>
      <c r="BB85" s="136">
        <v>115.96</v>
      </c>
      <c r="BC85" s="136">
        <v>104.87</v>
      </c>
      <c r="BD85" s="136">
        <v>115.96</v>
      </c>
      <c r="BE85" s="136">
        <v>117.17</v>
      </c>
      <c r="BF85" s="136">
        <v>118.49</v>
      </c>
      <c r="BG85" s="136">
        <v>120.8</v>
      </c>
      <c r="BH85" s="136">
        <v>121.58</v>
      </c>
      <c r="BI85" s="136">
        <v>123.03</v>
      </c>
      <c r="BJ85" s="136">
        <v>122.99</v>
      </c>
      <c r="BK85" s="136">
        <v>122.41</v>
      </c>
      <c r="BM85" s="145">
        <v>0.81793854170869573</v>
      </c>
      <c r="BN85" s="145">
        <v>4.340062457102737E-2</v>
      </c>
      <c r="BO85" s="145">
        <v>0.81793854170869573</v>
      </c>
      <c r="BP85" s="145">
        <v>1.0806623564231868</v>
      </c>
      <c r="BQ85" s="145">
        <v>1.684513282048808</v>
      </c>
      <c r="BR85" s="145">
        <v>4.2570296998666182</v>
      </c>
      <c r="BS85" s="145">
        <v>6.7049559428997494</v>
      </c>
      <c r="BT85" s="145">
        <v>21.610037357879808</v>
      </c>
      <c r="BU85" s="145">
        <v>17.601913686928679</v>
      </c>
      <c r="BV85" s="145">
        <v>11.341659358080719</v>
      </c>
    </row>
    <row r="86" spans="1:74" x14ac:dyDescent="0.25">
      <c r="A86" s="141">
        <v>42837</v>
      </c>
      <c r="B86" s="142">
        <v>0.47743055555555558</v>
      </c>
      <c r="C86" s="143">
        <v>122.55</v>
      </c>
      <c r="E86" s="144">
        <v>119.5</v>
      </c>
      <c r="F86" s="145">
        <v>3.1</v>
      </c>
      <c r="I86" s="143">
        <v>116.51</v>
      </c>
      <c r="J86" s="143">
        <v>105.98</v>
      </c>
      <c r="K86" s="143">
        <v>116.51</v>
      </c>
      <c r="L86" s="143">
        <v>117.71</v>
      </c>
      <c r="M86" s="143">
        <v>118.9</v>
      </c>
      <c r="N86" s="143">
        <v>120.99</v>
      </c>
      <c r="O86" s="143">
        <v>121.35</v>
      </c>
      <c r="P86" s="143">
        <v>122.9</v>
      </c>
      <c r="Q86" s="143">
        <v>122.52</v>
      </c>
      <c r="S86" s="145">
        <v>0.99170662243029906</v>
      </c>
      <c r="T86" s="145">
        <v>5.8781108644730934E-2</v>
      </c>
      <c r="U86" s="145">
        <v>0.99170662243029906</v>
      </c>
      <c r="V86" s="145">
        <v>1.3097332997804534</v>
      </c>
      <c r="W86" s="145">
        <v>1.9857930750859876</v>
      </c>
      <c r="X86" s="145">
        <v>4.7445245187253118</v>
      </c>
      <c r="Y86" s="145">
        <v>7.2345828054883938</v>
      </c>
      <c r="Z86" s="145">
        <v>22.366817982097913</v>
      </c>
      <c r="AA86" s="145">
        <v>18.295291601364625</v>
      </c>
      <c r="AB86" s="145">
        <v>12.039843538608688</v>
      </c>
      <c r="BB86" s="136">
        <v>116.51</v>
      </c>
      <c r="BC86" s="136">
        <v>105.98</v>
      </c>
      <c r="BD86" s="136">
        <v>116.51</v>
      </c>
      <c r="BE86" s="136">
        <v>117.71</v>
      </c>
      <c r="BF86" s="136">
        <v>118.9</v>
      </c>
      <c r="BG86" s="136">
        <v>120.99</v>
      </c>
      <c r="BH86" s="136">
        <v>121.35</v>
      </c>
      <c r="BI86" s="136">
        <v>122.9</v>
      </c>
      <c r="BJ86" s="136">
        <v>122.52</v>
      </c>
      <c r="BK86" s="136">
        <v>122.55</v>
      </c>
      <c r="BM86" s="145">
        <v>0.99170662243029906</v>
      </c>
      <c r="BN86" s="145">
        <v>5.8781108644730934E-2</v>
      </c>
      <c r="BO86" s="145">
        <v>0.99170662243029906</v>
      </c>
      <c r="BP86" s="145">
        <v>1.3097332997804534</v>
      </c>
      <c r="BQ86" s="145">
        <v>1.9857930750859876</v>
      </c>
      <c r="BR86" s="145">
        <v>4.7445245187253118</v>
      </c>
      <c r="BS86" s="145">
        <v>7.2345828054883938</v>
      </c>
      <c r="BT86" s="145">
        <v>22.366817982097913</v>
      </c>
      <c r="BU86" s="145">
        <v>18.295291601364625</v>
      </c>
      <c r="BV86" s="145">
        <v>12.039843538608688</v>
      </c>
    </row>
    <row r="87" spans="1:74" x14ac:dyDescent="0.25">
      <c r="A87" s="141">
        <v>42837</v>
      </c>
      <c r="B87" s="142">
        <v>0.4777777777777778</v>
      </c>
      <c r="C87" s="143">
        <v>122.45</v>
      </c>
      <c r="E87" s="144">
        <v>119.7</v>
      </c>
      <c r="F87" s="145">
        <v>2.8</v>
      </c>
      <c r="I87" s="143">
        <v>117.02</v>
      </c>
      <c r="J87" s="143">
        <v>107.03</v>
      </c>
      <c r="K87" s="143">
        <v>117.02</v>
      </c>
      <c r="L87" s="143">
        <v>118.21</v>
      </c>
      <c r="M87" s="143">
        <v>119.28</v>
      </c>
      <c r="N87" s="143">
        <v>121.13</v>
      </c>
      <c r="O87" s="143">
        <v>121.69</v>
      </c>
      <c r="P87" s="143">
        <v>123.01</v>
      </c>
      <c r="Q87" s="143">
        <v>122.83</v>
      </c>
      <c r="S87" s="145">
        <v>1.1871270703265002</v>
      </c>
      <c r="T87" s="145">
        <v>7.836820250012011E-2</v>
      </c>
      <c r="U87" s="145">
        <v>1.1871270703265002</v>
      </c>
      <c r="V87" s="145">
        <v>1.5667551255716665</v>
      </c>
      <c r="W87" s="145">
        <v>2.3146219937636983</v>
      </c>
      <c r="X87" s="145">
        <v>5.2479903531512138</v>
      </c>
      <c r="Y87" s="145">
        <v>7.8073392762111622</v>
      </c>
      <c r="Z87" s="145">
        <v>23.143011487076958</v>
      </c>
      <c r="AA87" s="145">
        <v>19.039972140220083</v>
      </c>
      <c r="AB87" s="145">
        <v>12.722135106903151</v>
      </c>
      <c r="BB87" s="136">
        <v>117.02</v>
      </c>
      <c r="BC87" s="136">
        <v>107.03</v>
      </c>
      <c r="BD87" s="136">
        <v>117.02</v>
      </c>
      <c r="BE87" s="136">
        <v>118.21</v>
      </c>
      <c r="BF87" s="136">
        <v>119.28</v>
      </c>
      <c r="BG87" s="136">
        <v>121.13</v>
      </c>
      <c r="BH87" s="136">
        <v>121.69</v>
      </c>
      <c r="BI87" s="136">
        <v>123.01</v>
      </c>
      <c r="BJ87" s="136">
        <v>122.83</v>
      </c>
      <c r="BK87" s="136">
        <v>122.45</v>
      </c>
      <c r="BM87" s="145">
        <v>1.1871270703265002</v>
      </c>
      <c r="BN87" s="145">
        <v>7.836820250012011E-2</v>
      </c>
      <c r="BO87" s="145">
        <v>1.1871270703265002</v>
      </c>
      <c r="BP87" s="145">
        <v>1.5667551255716665</v>
      </c>
      <c r="BQ87" s="145">
        <v>2.3146219937636983</v>
      </c>
      <c r="BR87" s="145">
        <v>5.2479903531512138</v>
      </c>
      <c r="BS87" s="145">
        <v>7.8073392762111622</v>
      </c>
      <c r="BT87" s="145">
        <v>23.143011487076958</v>
      </c>
      <c r="BU87" s="145">
        <v>19.039972140220083</v>
      </c>
      <c r="BV87" s="145">
        <v>12.722135106903151</v>
      </c>
    </row>
    <row r="88" spans="1:74" x14ac:dyDescent="0.25">
      <c r="A88" s="141">
        <v>42837</v>
      </c>
      <c r="B88" s="142">
        <v>0.47812499999999997</v>
      </c>
      <c r="C88" s="143">
        <v>122.54</v>
      </c>
      <c r="E88" s="144">
        <v>120</v>
      </c>
      <c r="F88" s="145">
        <v>2.5</v>
      </c>
      <c r="I88" s="143">
        <v>117.48</v>
      </c>
      <c r="J88" s="143">
        <v>107.99</v>
      </c>
      <c r="K88" s="143">
        <v>117.48</v>
      </c>
      <c r="L88" s="143">
        <v>118.67</v>
      </c>
      <c r="M88" s="143">
        <v>119.62</v>
      </c>
      <c r="N88" s="143">
        <v>121.21</v>
      </c>
      <c r="O88" s="143">
        <v>121.28</v>
      </c>
      <c r="P88" s="143">
        <v>122.36</v>
      </c>
      <c r="Q88" s="143">
        <v>122.18</v>
      </c>
      <c r="S88" s="145">
        <v>1.4043821824122864</v>
      </c>
      <c r="T88" s="145">
        <v>0.10280082046726179</v>
      </c>
      <c r="U88" s="145">
        <v>1.4043821824122864</v>
      </c>
      <c r="V88" s="145">
        <v>1.8524944439076005</v>
      </c>
      <c r="W88" s="145">
        <v>2.6702287505903635</v>
      </c>
      <c r="X88" s="145">
        <v>5.7608163162769177</v>
      </c>
      <c r="Y88" s="145">
        <v>8.328497990907815</v>
      </c>
      <c r="Z88" s="145">
        <v>23.811309245350181</v>
      </c>
      <c r="AA88" s="145">
        <v>19.681137431548095</v>
      </c>
      <c r="AB88" s="145">
        <v>13.418713508375804</v>
      </c>
      <c r="BB88" s="136">
        <v>117.48</v>
      </c>
      <c r="BC88" s="136">
        <v>107.99</v>
      </c>
      <c r="BD88" s="136">
        <v>117.48</v>
      </c>
      <c r="BE88" s="136">
        <v>118.67</v>
      </c>
      <c r="BF88" s="136">
        <v>119.62</v>
      </c>
      <c r="BG88" s="136">
        <v>121.21</v>
      </c>
      <c r="BH88" s="136">
        <v>121.28</v>
      </c>
      <c r="BI88" s="136">
        <v>122.36</v>
      </c>
      <c r="BJ88" s="136">
        <v>122.18</v>
      </c>
      <c r="BK88" s="136">
        <v>122.54</v>
      </c>
      <c r="BM88" s="145">
        <v>1.4043821824122864</v>
      </c>
      <c r="BN88" s="145">
        <v>0.10280082046726179</v>
      </c>
      <c r="BO88" s="145">
        <v>1.4043821824122864</v>
      </c>
      <c r="BP88" s="145">
        <v>1.8524944439076005</v>
      </c>
      <c r="BQ88" s="145">
        <v>2.6702287505903635</v>
      </c>
      <c r="BR88" s="145">
        <v>5.7608163162769177</v>
      </c>
      <c r="BS88" s="145">
        <v>8.328497990907815</v>
      </c>
      <c r="BT88" s="145">
        <v>23.811309245350181</v>
      </c>
      <c r="BU88" s="145">
        <v>19.681137431548095</v>
      </c>
      <c r="BV88" s="145">
        <v>13.418713508375804</v>
      </c>
    </row>
    <row r="89" spans="1:74" x14ac:dyDescent="0.25">
      <c r="A89" s="141">
        <v>42837</v>
      </c>
      <c r="B89" s="142">
        <v>0.47847222222222219</v>
      </c>
      <c r="C89" s="143">
        <v>122.48</v>
      </c>
      <c r="E89" s="144">
        <v>120.2</v>
      </c>
      <c r="F89" s="145">
        <v>2.2999999999999998</v>
      </c>
      <c r="I89" s="143">
        <v>117.89</v>
      </c>
      <c r="J89" s="143">
        <v>108.9</v>
      </c>
      <c r="K89" s="143">
        <v>117.89</v>
      </c>
      <c r="L89" s="143">
        <v>119.07</v>
      </c>
      <c r="M89" s="143">
        <v>119.91</v>
      </c>
      <c r="N89" s="143">
        <v>121.38</v>
      </c>
      <c r="O89" s="143">
        <v>121.91</v>
      </c>
      <c r="P89" s="143">
        <v>123.03</v>
      </c>
      <c r="Q89" s="143">
        <v>122.89</v>
      </c>
      <c r="S89" s="145">
        <v>1.643146819241132</v>
      </c>
      <c r="T89" s="145">
        <v>0.13292879977097974</v>
      </c>
      <c r="U89" s="145">
        <v>1.643146819241132</v>
      </c>
      <c r="V89" s="145">
        <v>2.1658013762437682</v>
      </c>
      <c r="W89" s="145">
        <v>3.0503918890604544</v>
      </c>
      <c r="X89" s="145">
        <v>6.2941143768920469</v>
      </c>
      <c r="Y89" s="145">
        <v>8.9310159610937134</v>
      </c>
      <c r="Z89" s="145">
        <v>24.591085496763657</v>
      </c>
      <c r="AA89" s="145">
        <v>20.43617750863017</v>
      </c>
      <c r="AB89" s="145">
        <v>14.105734495882063</v>
      </c>
      <c r="BB89" s="136">
        <v>117.89</v>
      </c>
      <c r="BC89" s="136">
        <v>108.9</v>
      </c>
      <c r="BD89" s="136">
        <v>117.89</v>
      </c>
      <c r="BE89" s="136">
        <v>119.07</v>
      </c>
      <c r="BF89" s="136">
        <v>119.91</v>
      </c>
      <c r="BG89" s="136">
        <v>121.38</v>
      </c>
      <c r="BH89" s="136">
        <v>121.91</v>
      </c>
      <c r="BI89" s="136">
        <v>123.03</v>
      </c>
      <c r="BJ89" s="136">
        <v>122.89</v>
      </c>
      <c r="BK89" s="136">
        <v>122.48</v>
      </c>
      <c r="BM89" s="145">
        <v>1.643146819241132</v>
      </c>
      <c r="BN89" s="145">
        <v>0.13292879977097974</v>
      </c>
      <c r="BO89" s="145">
        <v>1.643146819241132</v>
      </c>
      <c r="BP89" s="145">
        <v>2.1658013762437682</v>
      </c>
      <c r="BQ89" s="145">
        <v>3.0503918890604544</v>
      </c>
      <c r="BR89" s="145">
        <v>6.2941143768920469</v>
      </c>
      <c r="BS89" s="145">
        <v>8.9310159610937134</v>
      </c>
      <c r="BT89" s="145">
        <v>24.591085496763657</v>
      </c>
      <c r="BU89" s="145">
        <v>20.43617750863017</v>
      </c>
      <c r="BV89" s="145">
        <v>14.105734495882063</v>
      </c>
    </row>
    <row r="90" spans="1:74" x14ac:dyDescent="0.25">
      <c r="A90" s="141">
        <v>42837</v>
      </c>
      <c r="B90" s="142">
        <v>0.47881944444444446</v>
      </c>
      <c r="C90" s="143">
        <v>122.5</v>
      </c>
      <c r="E90" s="144">
        <v>120.4</v>
      </c>
      <c r="F90" s="145">
        <v>2.1</v>
      </c>
      <c r="I90" s="143">
        <v>118.27</v>
      </c>
      <c r="J90" s="143">
        <v>109.79</v>
      </c>
      <c r="K90" s="143">
        <v>118.27</v>
      </c>
      <c r="L90" s="143">
        <v>119.45</v>
      </c>
      <c r="M90" s="143">
        <v>120.19</v>
      </c>
      <c r="N90" s="143">
        <v>121.42</v>
      </c>
      <c r="O90" s="143">
        <v>121.19</v>
      </c>
      <c r="P90" s="143">
        <v>122.03</v>
      </c>
      <c r="Q90" s="143">
        <v>121.86</v>
      </c>
      <c r="S90" s="145">
        <v>1.9037441747936723</v>
      </c>
      <c r="T90" s="145">
        <v>0.16990906352389171</v>
      </c>
      <c r="U90" s="145">
        <v>1.9037441747936723</v>
      </c>
      <c r="V90" s="145">
        <v>2.5077571998844834</v>
      </c>
      <c r="W90" s="145">
        <v>3.4558724179873752</v>
      </c>
      <c r="X90" s="145">
        <v>6.832346983706965</v>
      </c>
      <c r="Y90" s="145">
        <v>9.4414857029475545</v>
      </c>
      <c r="Z90" s="145">
        <v>25.210483790028842</v>
      </c>
      <c r="AA90" s="145">
        <v>21.031798512643856</v>
      </c>
      <c r="AB90" s="145">
        <v>14.795926628183507</v>
      </c>
      <c r="BB90" s="136">
        <v>118.27</v>
      </c>
      <c r="BC90" s="136">
        <v>109.79</v>
      </c>
      <c r="BD90" s="136">
        <v>118.27</v>
      </c>
      <c r="BE90" s="136">
        <v>119.45</v>
      </c>
      <c r="BF90" s="136">
        <v>120.19</v>
      </c>
      <c r="BG90" s="136">
        <v>121.42</v>
      </c>
      <c r="BH90" s="136">
        <v>121.19</v>
      </c>
      <c r="BI90" s="136">
        <v>122.03</v>
      </c>
      <c r="BJ90" s="136">
        <v>121.86</v>
      </c>
      <c r="BK90" s="136">
        <v>122.5</v>
      </c>
      <c r="BM90" s="145">
        <v>1.9037441747936723</v>
      </c>
      <c r="BN90" s="145">
        <v>0.16990906352389171</v>
      </c>
      <c r="BO90" s="145">
        <v>1.9037441747936723</v>
      </c>
      <c r="BP90" s="145">
        <v>2.5077571998844834</v>
      </c>
      <c r="BQ90" s="145">
        <v>3.4558724179873752</v>
      </c>
      <c r="BR90" s="145">
        <v>6.832346983706965</v>
      </c>
      <c r="BS90" s="145">
        <v>9.4414857029475545</v>
      </c>
      <c r="BT90" s="145">
        <v>25.210483790028842</v>
      </c>
      <c r="BU90" s="145">
        <v>21.031798512643856</v>
      </c>
      <c r="BV90" s="145">
        <v>14.795926628183507</v>
      </c>
    </row>
    <row r="91" spans="1:74" x14ac:dyDescent="0.25">
      <c r="A91" s="141">
        <v>42837</v>
      </c>
      <c r="B91" s="142">
        <v>0.47916666666666669</v>
      </c>
      <c r="C91" s="143">
        <v>122.52</v>
      </c>
      <c r="E91" s="144">
        <v>120.6</v>
      </c>
      <c r="F91" s="145">
        <v>1.9</v>
      </c>
      <c r="I91" s="143">
        <v>118.61</v>
      </c>
      <c r="J91" s="143">
        <v>110.6</v>
      </c>
      <c r="K91" s="143">
        <v>118.61</v>
      </c>
      <c r="L91" s="143">
        <v>119.79</v>
      </c>
      <c r="M91" s="143">
        <v>120.4</v>
      </c>
      <c r="N91" s="143">
        <v>121.58</v>
      </c>
      <c r="O91" s="143">
        <v>122.08</v>
      </c>
      <c r="P91" s="143">
        <v>123.07</v>
      </c>
      <c r="Q91" s="143">
        <v>122.92</v>
      </c>
      <c r="S91" s="145">
        <v>2.1855630027066497</v>
      </c>
      <c r="T91" s="145">
        <v>0.21447161043057897</v>
      </c>
      <c r="U91" s="145">
        <v>2.1855630027066497</v>
      </c>
      <c r="V91" s="145">
        <v>2.8775598374136031</v>
      </c>
      <c r="W91" s="145">
        <v>3.8814414370885646</v>
      </c>
      <c r="X91" s="145">
        <v>7.3907786075972464</v>
      </c>
      <c r="Y91" s="145">
        <v>10.068056290418262</v>
      </c>
      <c r="Z91" s="145">
        <v>25.997475222261951</v>
      </c>
      <c r="AA91" s="145">
        <v>21.792072277510105</v>
      </c>
      <c r="AB91" s="145">
        <v>15.48930454261945</v>
      </c>
      <c r="BB91" s="136">
        <v>118.61</v>
      </c>
      <c r="BC91" s="136">
        <v>110.6</v>
      </c>
      <c r="BD91" s="136">
        <v>118.61</v>
      </c>
      <c r="BE91" s="136">
        <v>119.79</v>
      </c>
      <c r="BF91" s="136">
        <v>120.4</v>
      </c>
      <c r="BG91" s="136">
        <v>121.58</v>
      </c>
      <c r="BH91" s="136">
        <v>122.08</v>
      </c>
      <c r="BI91" s="136">
        <v>123.07</v>
      </c>
      <c r="BJ91" s="136">
        <v>122.92</v>
      </c>
      <c r="BK91" s="136">
        <v>122.52</v>
      </c>
      <c r="BM91" s="145">
        <v>2.1855630027066497</v>
      </c>
      <c r="BN91" s="145">
        <v>0.21447161043057897</v>
      </c>
      <c r="BO91" s="145">
        <v>2.1855630027066497</v>
      </c>
      <c r="BP91" s="145">
        <v>2.8775598374136031</v>
      </c>
      <c r="BQ91" s="145">
        <v>3.8814414370885646</v>
      </c>
      <c r="BR91" s="145">
        <v>7.3907786075972464</v>
      </c>
      <c r="BS91" s="145">
        <v>10.068056290418262</v>
      </c>
      <c r="BT91" s="145">
        <v>25.997475222261951</v>
      </c>
      <c r="BU91" s="145">
        <v>21.792072277510105</v>
      </c>
      <c r="BV91" s="145">
        <v>15.48930454261945</v>
      </c>
    </row>
    <row r="92" spans="1:74" x14ac:dyDescent="0.25">
      <c r="A92" s="141">
        <v>42837</v>
      </c>
      <c r="B92" s="142">
        <v>0.47951388888888885</v>
      </c>
      <c r="C92" s="143">
        <v>122.44</v>
      </c>
      <c r="E92" s="144">
        <v>120.7</v>
      </c>
      <c r="F92" s="145">
        <v>1.7</v>
      </c>
      <c r="I92" s="143">
        <v>118.92</v>
      </c>
      <c r="J92" s="143">
        <v>111.37</v>
      </c>
      <c r="K92" s="143">
        <v>118.92</v>
      </c>
      <c r="L92" s="143">
        <v>120.09</v>
      </c>
      <c r="M92" s="143">
        <v>120.62</v>
      </c>
      <c r="N92" s="143">
        <v>121.57</v>
      </c>
      <c r="O92" s="143">
        <v>121.68</v>
      </c>
      <c r="P92" s="143">
        <v>122.4</v>
      </c>
      <c r="Q92" s="143">
        <v>122.38</v>
      </c>
      <c r="S92" s="145">
        <v>2.488233440083607</v>
      </c>
      <c r="T92" s="145">
        <v>0.26767876134179491</v>
      </c>
      <c r="U92" s="145">
        <v>2.488233440083607</v>
      </c>
      <c r="V92" s="145">
        <v>3.27381050265384</v>
      </c>
      <c r="W92" s="145">
        <v>4.3291238198633621</v>
      </c>
      <c r="X92" s="145">
        <v>7.9479258743931114</v>
      </c>
      <c r="Y92" s="145">
        <v>10.639495457813149</v>
      </c>
      <c r="Z92" s="145">
        <v>26.671956663557779</v>
      </c>
      <c r="AA92" s="145">
        <v>22.463454758079038</v>
      </c>
      <c r="AB92" s="145">
        <v>16.170026883852426</v>
      </c>
      <c r="BB92" s="136">
        <v>118.92</v>
      </c>
      <c r="BC92" s="136">
        <v>111.37</v>
      </c>
      <c r="BD92" s="136">
        <v>118.92</v>
      </c>
      <c r="BE92" s="136">
        <v>120.09</v>
      </c>
      <c r="BF92" s="136">
        <v>120.62</v>
      </c>
      <c r="BG92" s="136">
        <v>121.57</v>
      </c>
      <c r="BH92" s="136">
        <v>121.68</v>
      </c>
      <c r="BI92" s="136">
        <v>122.4</v>
      </c>
      <c r="BJ92" s="136">
        <v>122.38</v>
      </c>
      <c r="BK92" s="136">
        <v>122.44</v>
      </c>
      <c r="BM92" s="145">
        <v>2.488233440083607</v>
      </c>
      <c r="BN92" s="145">
        <v>0.26767876134179491</v>
      </c>
      <c r="BO92" s="145">
        <v>2.488233440083607</v>
      </c>
      <c r="BP92" s="145">
        <v>3.27381050265384</v>
      </c>
      <c r="BQ92" s="145">
        <v>4.3291238198633621</v>
      </c>
      <c r="BR92" s="145">
        <v>7.9479258743931114</v>
      </c>
      <c r="BS92" s="145">
        <v>10.639495457813149</v>
      </c>
      <c r="BT92" s="145">
        <v>26.671956663557779</v>
      </c>
      <c r="BU92" s="145">
        <v>22.463454758079038</v>
      </c>
      <c r="BV92" s="145">
        <v>16.170026883852426</v>
      </c>
    </row>
    <row r="93" spans="1:74" x14ac:dyDescent="0.25">
      <c r="A93" s="141">
        <v>42837</v>
      </c>
      <c r="B93" s="142">
        <v>0.47986111111111113</v>
      </c>
      <c r="C93" s="143">
        <v>122.56</v>
      </c>
      <c r="E93" s="144">
        <v>120.9</v>
      </c>
      <c r="F93" s="145">
        <v>1.7</v>
      </c>
      <c r="I93" s="143">
        <v>119.2</v>
      </c>
      <c r="J93" s="143">
        <v>112.08</v>
      </c>
      <c r="K93" s="143">
        <v>119.2</v>
      </c>
      <c r="L93" s="143">
        <v>120.36</v>
      </c>
      <c r="M93" s="143">
        <v>120.8</v>
      </c>
      <c r="N93" s="143">
        <v>121.7</v>
      </c>
      <c r="O93" s="143">
        <v>121.92</v>
      </c>
      <c r="P93" s="143">
        <v>122.76</v>
      </c>
      <c r="Q93" s="143">
        <v>122.57</v>
      </c>
      <c r="S93" s="145">
        <v>2.8110605546009353</v>
      </c>
      <c r="T93" s="145">
        <v>0.33033582008886575</v>
      </c>
      <c r="U93" s="145">
        <v>2.8110605546009353</v>
      </c>
      <c r="V93" s="145">
        <v>3.6954778815359783</v>
      </c>
      <c r="W93" s="145">
        <v>4.7957509702618584</v>
      </c>
      <c r="X93" s="145">
        <v>8.5220026851415547</v>
      </c>
      <c r="Y93" s="145">
        <v>11.243402375366541</v>
      </c>
      <c r="Z93" s="145">
        <v>27.404730584035736</v>
      </c>
      <c r="AA93" s="145">
        <v>23.164861610360017</v>
      </c>
      <c r="AB93" s="145">
        <v>16.869820545138737</v>
      </c>
      <c r="BB93" s="136">
        <v>119.2</v>
      </c>
      <c r="BC93" s="136">
        <v>112.08</v>
      </c>
      <c r="BD93" s="136">
        <v>119.2</v>
      </c>
      <c r="BE93" s="136">
        <v>120.36</v>
      </c>
      <c r="BF93" s="136">
        <v>120.8</v>
      </c>
      <c r="BG93" s="136">
        <v>121.7</v>
      </c>
      <c r="BH93" s="136">
        <v>121.92</v>
      </c>
      <c r="BI93" s="136">
        <v>122.76</v>
      </c>
      <c r="BJ93" s="136">
        <v>122.57</v>
      </c>
      <c r="BK93" s="136">
        <v>122.56</v>
      </c>
      <c r="BM93" s="145">
        <v>2.8110605546009353</v>
      </c>
      <c r="BN93" s="145">
        <v>0.33033582008886575</v>
      </c>
      <c r="BO93" s="145">
        <v>2.8110605546009353</v>
      </c>
      <c r="BP93" s="145">
        <v>3.6954778815359783</v>
      </c>
      <c r="BQ93" s="145">
        <v>4.7957509702618584</v>
      </c>
      <c r="BR93" s="145">
        <v>8.5220026851415547</v>
      </c>
      <c r="BS93" s="145">
        <v>11.243402375366541</v>
      </c>
      <c r="BT93" s="145">
        <v>27.404730584035736</v>
      </c>
      <c r="BU93" s="145">
        <v>23.164861610360017</v>
      </c>
      <c r="BV93" s="145">
        <v>16.869820545138737</v>
      </c>
    </row>
    <row r="94" spans="1:74" x14ac:dyDescent="0.25">
      <c r="A94" s="141">
        <v>42837</v>
      </c>
      <c r="B94" s="142">
        <v>0.48020833333333335</v>
      </c>
      <c r="C94" s="143">
        <v>122.43</v>
      </c>
      <c r="E94" s="144">
        <v>120.9</v>
      </c>
      <c r="F94" s="145">
        <v>1.5</v>
      </c>
      <c r="I94" s="143">
        <v>119.45</v>
      </c>
      <c r="J94" s="143">
        <v>112.76</v>
      </c>
      <c r="K94" s="143">
        <v>119.45</v>
      </c>
      <c r="L94" s="143">
        <v>120.61</v>
      </c>
      <c r="M94" s="143">
        <v>120.97</v>
      </c>
      <c r="N94" s="143">
        <v>121.66</v>
      </c>
      <c r="O94" s="143">
        <v>122.26</v>
      </c>
      <c r="P94" s="143">
        <v>123.01</v>
      </c>
      <c r="Q94" s="143">
        <v>122.91</v>
      </c>
      <c r="S94" s="145">
        <v>3.1530163782416505</v>
      </c>
      <c r="T94" s="145">
        <v>0.40361321213666146</v>
      </c>
      <c r="U94" s="145">
        <v>3.1530163782416505</v>
      </c>
      <c r="V94" s="145">
        <v>4.1421306234026263</v>
      </c>
      <c r="W94" s="145">
        <v>5.2810059538846037</v>
      </c>
      <c r="X94" s="145">
        <v>9.0908163280532701</v>
      </c>
      <c r="Y94" s="145">
        <v>11.896487819432464</v>
      </c>
      <c r="Z94" s="145">
        <v>28.180924089014781</v>
      </c>
      <c r="AA94" s="145">
        <v>23.923386794089687</v>
      </c>
      <c r="AB94" s="145">
        <v>17.548977268432317</v>
      </c>
      <c r="BB94" s="136">
        <v>119.45</v>
      </c>
      <c r="BC94" s="136">
        <v>112.76</v>
      </c>
      <c r="BD94" s="136">
        <v>119.45</v>
      </c>
      <c r="BE94" s="136">
        <v>120.61</v>
      </c>
      <c r="BF94" s="136">
        <v>120.97</v>
      </c>
      <c r="BG94" s="136">
        <v>121.66</v>
      </c>
      <c r="BH94" s="136">
        <v>122.26</v>
      </c>
      <c r="BI94" s="136">
        <v>123.01</v>
      </c>
      <c r="BJ94" s="136">
        <v>122.91</v>
      </c>
      <c r="BK94" s="136">
        <v>122.43</v>
      </c>
      <c r="BM94" s="145">
        <v>3.1530163782416505</v>
      </c>
      <c r="BN94" s="145">
        <v>0.40361321213666146</v>
      </c>
      <c r="BO94" s="145">
        <v>3.1530163782416505</v>
      </c>
      <c r="BP94" s="145">
        <v>4.1421306234026263</v>
      </c>
      <c r="BQ94" s="145">
        <v>5.2810059538846037</v>
      </c>
      <c r="BR94" s="145">
        <v>9.0908163280532701</v>
      </c>
      <c r="BS94" s="145">
        <v>11.896487819432464</v>
      </c>
      <c r="BT94" s="145">
        <v>28.180924089014781</v>
      </c>
      <c r="BU94" s="145">
        <v>23.923386794089687</v>
      </c>
      <c r="BV94" s="145">
        <v>17.548977268432317</v>
      </c>
    </row>
    <row r="95" spans="1:74" x14ac:dyDescent="0.25">
      <c r="A95" s="141">
        <v>42837</v>
      </c>
      <c r="B95" s="142">
        <v>0.48055555555555557</v>
      </c>
      <c r="C95" s="143">
        <v>122.55</v>
      </c>
      <c r="E95" s="144">
        <v>121.1</v>
      </c>
      <c r="F95" s="145">
        <v>1.5</v>
      </c>
      <c r="I95" s="143">
        <v>119.7</v>
      </c>
      <c r="J95" s="143">
        <v>113.4</v>
      </c>
      <c r="K95" s="143">
        <v>119.7</v>
      </c>
      <c r="L95" s="143">
        <v>120.84</v>
      </c>
      <c r="M95" s="143">
        <v>121.11</v>
      </c>
      <c r="N95" s="143">
        <v>121.81</v>
      </c>
      <c r="O95" s="143">
        <v>121.72</v>
      </c>
      <c r="P95" s="143">
        <v>122.37</v>
      </c>
      <c r="Q95" s="143">
        <v>122.2</v>
      </c>
      <c r="S95" s="145">
        <v>3.5152343582791463</v>
      </c>
      <c r="T95" s="145">
        <v>0.48852539475974888</v>
      </c>
      <c r="U95" s="145">
        <v>3.5152343582791463</v>
      </c>
      <c r="V95" s="145">
        <v>4.6130754216640479</v>
      </c>
      <c r="W95" s="145">
        <v>5.7821585729235538</v>
      </c>
      <c r="X95" s="145">
        <v>9.6796193148136744</v>
      </c>
      <c r="Y95" s="145">
        <v>12.473214448343011</v>
      </c>
      <c r="Z95" s="145">
        <v>28.850762432727748</v>
      </c>
      <c r="AA95" s="145">
        <v>24.567511569936254</v>
      </c>
      <c r="AB95" s="145">
        <v>18.247161448960288</v>
      </c>
      <c r="BB95" s="136">
        <v>119.7</v>
      </c>
      <c r="BC95" s="136">
        <v>113.4</v>
      </c>
      <c r="BD95" s="136">
        <v>119.7</v>
      </c>
      <c r="BE95" s="136">
        <v>120.84</v>
      </c>
      <c r="BF95" s="136">
        <v>121.11</v>
      </c>
      <c r="BG95" s="136">
        <v>121.81</v>
      </c>
      <c r="BH95" s="136">
        <v>121.72</v>
      </c>
      <c r="BI95" s="136">
        <v>122.37</v>
      </c>
      <c r="BJ95" s="136">
        <v>122.2</v>
      </c>
      <c r="BK95" s="136">
        <v>122.55</v>
      </c>
      <c r="BM95" s="145">
        <v>3.5152343582791463</v>
      </c>
      <c r="BN95" s="145">
        <v>0.48852539475974888</v>
      </c>
      <c r="BO95" s="145">
        <v>3.5152343582791463</v>
      </c>
      <c r="BP95" s="145">
        <v>4.6130754216640479</v>
      </c>
      <c r="BQ95" s="145">
        <v>5.7821585729235538</v>
      </c>
      <c r="BR95" s="145">
        <v>9.6796193148136744</v>
      </c>
      <c r="BS95" s="145">
        <v>12.473214448343011</v>
      </c>
      <c r="BT95" s="145">
        <v>28.850762432727748</v>
      </c>
      <c r="BU95" s="145">
        <v>24.567511569936254</v>
      </c>
      <c r="BV95" s="145">
        <v>18.247161448960288</v>
      </c>
    </row>
    <row r="96" spans="1:74" x14ac:dyDescent="0.25">
      <c r="A96" s="141">
        <v>42837</v>
      </c>
      <c r="B96" s="142">
        <v>0.48090277777777773</v>
      </c>
      <c r="C96" s="143">
        <v>122.48</v>
      </c>
      <c r="E96" s="144">
        <v>121.2</v>
      </c>
      <c r="F96" s="145">
        <v>1.3</v>
      </c>
      <c r="I96" s="143">
        <v>119.88</v>
      </c>
      <c r="J96" s="143">
        <v>114.01</v>
      </c>
      <c r="K96" s="143">
        <v>119.88</v>
      </c>
      <c r="L96" s="143">
        <v>121.04</v>
      </c>
      <c r="M96" s="143">
        <v>121.22</v>
      </c>
      <c r="N96" s="143">
        <v>121.78</v>
      </c>
      <c r="O96" s="143">
        <v>122.3</v>
      </c>
      <c r="P96" s="143">
        <v>122.99</v>
      </c>
      <c r="Q96" s="143">
        <v>122.85</v>
      </c>
      <c r="S96" s="145">
        <v>3.8927804721118635</v>
      </c>
      <c r="T96" s="145">
        <v>0.58624236754851877</v>
      </c>
      <c r="U96" s="145">
        <v>3.8927804721118635</v>
      </c>
      <c r="V96" s="145">
        <v>5.1062151644796545</v>
      </c>
      <c r="W96" s="145">
        <v>6.2961667219867916</v>
      </c>
      <c r="X96" s="145">
        <v>10.264369010323611</v>
      </c>
      <c r="Y96" s="145">
        <v>13.132342817621215</v>
      </c>
      <c r="Z96" s="145">
        <v>29.623389652496954</v>
      </c>
      <c r="AA96" s="145">
        <v>25.315629397983471</v>
      </c>
      <c r="AB96" s="145">
        <v>18.934182436466546</v>
      </c>
      <c r="BB96" s="136">
        <v>119.88</v>
      </c>
      <c r="BC96" s="136">
        <v>114.01</v>
      </c>
      <c r="BD96" s="136">
        <v>119.88</v>
      </c>
      <c r="BE96" s="136">
        <v>121.04</v>
      </c>
      <c r="BF96" s="136">
        <v>121.22</v>
      </c>
      <c r="BG96" s="136">
        <v>121.78</v>
      </c>
      <c r="BH96" s="136">
        <v>122.3</v>
      </c>
      <c r="BI96" s="136">
        <v>122.99</v>
      </c>
      <c r="BJ96" s="136">
        <v>122.85</v>
      </c>
      <c r="BK96" s="136">
        <v>122.48</v>
      </c>
      <c r="BM96" s="145">
        <v>3.8927804721118635</v>
      </c>
      <c r="BN96" s="145">
        <v>0.58624236754851877</v>
      </c>
      <c r="BO96" s="145">
        <v>3.8927804721118635</v>
      </c>
      <c r="BP96" s="145">
        <v>5.1062151644796545</v>
      </c>
      <c r="BQ96" s="145">
        <v>6.2961667219867916</v>
      </c>
      <c r="BR96" s="145">
        <v>10.264369010323611</v>
      </c>
      <c r="BS96" s="145">
        <v>13.132342817621215</v>
      </c>
      <c r="BT96" s="145">
        <v>29.623389652496954</v>
      </c>
      <c r="BU96" s="145">
        <v>25.315629397983471</v>
      </c>
      <c r="BV96" s="145">
        <v>18.934182436466546</v>
      </c>
    </row>
    <row r="97" spans="1:74" x14ac:dyDescent="0.25">
      <c r="A97" s="141">
        <v>42837</v>
      </c>
      <c r="B97" s="142">
        <v>0.48125000000000001</v>
      </c>
      <c r="C97" s="143">
        <v>122.49</v>
      </c>
      <c r="E97" s="144">
        <v>121.3</v>
      </c>
      <c r="F97" s="145">
        <v>1.2</v>
      </c>
      <c r="I97" s="143">
        <v>120.09</v>
      </c>
      <c r="J97" s="143">
        <v>114.57</v>
      </c>
      <c r="K97" s="143">
        <v>120.09</v>
      </c>
      <c r="L97" s="143">
        <v>121.26</v>
      </c>
      <c r="M97" s="143">
        <v>121.34</v>
      </c>
      <c r="N97" s="143">
        <v>121.91</v>
      </c>
      <c r="O97" s="143">
        <v>121.5</v>
      </c>
      <c r="P97" s="143">
        <v>121.96</v>
      </c>
      <c r="Q97" s="143">
        <v>121.82</v>
      </c>
      <c r="S97" s="145">
        <v>4.2890311373521</v>
      </c>
      <c r="T97" s="145">
        <v>0.69740786208108885</v>
      </c>
      <c r="U97" s="145">
        <v>4.2890311373521</v>
      </c>
      <c r="V97" s="145">
        <v>5.6249793723886619</v>
      </c>
      <c r="W97" s="145">
        <v>6.8245754765936217</v>
      </c>
      <c r="X97" s="145">
        <v>10.866886980509509</v>
      </c>
      <c r="Y97" s="145">
        <v>13.680581915692809</v>
      </c>
      <c r="Z97" s="145">
        <v>30.232884451959386</v>
      </c>
      <c r="AA97" s="145">
        <v>25.905789715809338</v>
      </c>
      <c r="AB97" s="145">
        <v>19.622787170913519</v>
      </c>
      <c r="BB97" s="136">
        <v>120.09</v>
      </c>
      <c r="BC97" s="136">
        <v>114.57</v>
      </c>
      <c r="BD97" s="136">
        <v>120.09</v>
      </c>
      <c r="BE97" s="136">
        <v>121.26</v>
      </c>
      <c r="BF97" s="136">
        <v>121.34</v>
      </c>
      <c r="BG97" s="136">
        <v>121.91</v>
      </c>
      <c r="BH97" s="136">
        <v>121.5</v>
      </c>
      <c r="BI97" s="136">
        <v>121.96</v>
      </c>
      <c r="BJ97" s="136">
        <v>121.82</v>
      </c>
      <c r="BK97" s="136">
        <v>122.49</v>
      </c>
      <c r="BM97" s="145">
        <v>4.2890311373521</v>
      </c>
      <c r="BN97" s="145">
        <v>0.69740786208108885</v>
      </c>
      <c r="BO97" s="145">
        <v>4.2890311373521</v>
      </c>
      <c r="BP97" s="145">
        <v>5.6249793723886619</v>
      </c>
      <c r="BQ97" s="145">
        <v>6.8245754765936217</v>
      </c>
      <c r="BR97" s="145">
        <v>10.866886980509509</v>
      </c>
      <c r="BS97" s="145">
        <v>13.680581915692809</v>
      </c>
      <c r="BT97" s="145">
        <v>30.232884451959386</v>
      </c>
      <c r="BU97" s="145">
        <v>25.905789715809338</v>
      </c>
      <c r="BV97" s="145">
        <v>19.622787170913519</v>
      </c>
    </row>
    <row r="98" spans="1:74" x14ac:dyDescent="0.25">
      <c r="A98" s="141">
        <v>42837</v>
      </c>
      <c r="B98" s="142">
        <v>0.48159722222222223</v>
      </c>
      <c r="C98" s="143">
        <v>122.53</v>
      </c>
      <c r="E98" s="144">
        <v>121.4</v>
      </c>
      <c r="F98" s="145">
        <v>1.1000000000000001</v>
      </c>
      <c r="I98" s="143">
        <v>120.25</v>
      </c>
      <c r="J98" s="143">
        <v>115.12</v>
      </c>
      <c r="K98" s="143">
        <v>120.25</v>
      </c>
      <c r="L98" s="143">
        <v>121.4</v>
      </c>
      <c r="M98" s="143">
        <v>121.43</v>
      </c>
      <c r="N98" s="143">
        <v>121.92</v>
      </c>
      <c r="O98" s="143">
        <v>122.3</v>
      </c>
      <c r="P98" s="143">
        <v>122.89</v>
      </c>
      <c r="Q98" s="143">
        <v>122.76</v>
      </c>
      <c r="S98" s="145">
        <v>4.7001524623256357</v>
      </c>
      <c r="T98" s="145">
        <v>0.82358190070511783</v>
      </c>
      <c r="U98" s="145">
        <v>4.7001524623256357</v>
      </c>
      <c r="V98" s="145">
        <v>6.1607390250074667</v>
      </c>
      <c r="W98" s="145">
        <v>7.3640488377085376</v>
      </c>
      <c r="X98" s="145">
        <v>11.470793898062901</v>
      </c>
      <c r="Y98" s="145">
        <v>14.339710284971012</v>
      </c>
      <c r="Z98" s="145">
        <v>30.987924529041461</v>
      </c>
      <c r="AA98" s="145">
        <v>26.638563636287294</v>
      </c>
      <c r="AB98" s="145">
        <v>20.317763486520196</v>
      </c>
      <c r="BB98" s="136">
        <v>120.25</v>
      </c>
      <c r="BC98" s="136">
        <v>115.12</v>
      </c>
      <c r="BD98" s="136">
        <v>120.25</v>
      </c>
      <c r="BE98" s="136">
        <v>121.4</v>
      </c>
      <c r="BF98" s="136">
        <v>121.43</v>
      </c>
      <c r="BG98" s="136">
        <v>121.92</v>
      </c>
      <c r="BH98" s="136">
        <v>122.3</v>
      </c>
      <c r="BI98" s="136">
        <v>122.89</v>
      </c>
      <c r="BJ98" s="136">
        <v>122.76</v>
      </c>
      <c r="BK98" s="136">
        <v>122.53</v>
      </c>
      <c r="BM98" s="145">
        <v>4.7001524623256357</v>
      </c>
      <c r="BN98" s="145">
        <v>0.82358190070511783</v>
      </c>
      <c r="BO98" s="145">
        <v>4.7001524623256357</v>
      </c>
      <c r="BP98" s="145">
        <v>6.1607390250074667</v>
      </c>
      <c r="BQ98" s="145">
        <v>7.3640488377085376</v>
      </c>
      <c r="BR98" s="145">
        <v>11.470793898062901</v>
      </c>
      <c r="BS98" s="145">
        <v>14.339710284971012</v>
      </c>
      <c r="BT98" s="145">
        <v>30.987924529041461</v>
      </c>
      <c r="BU98" s="145">
        <v>26.638563636287294</v>
      </c>
      <c r="BV98" s="145">
        <v>20.317763486520196</v>
      </c>
    </row>
    <row r="99" spans="1:74" x14ac:dyDescent="0.25">
      <c r="A99" s="141">
        <v>42837</v>
      </c>
      <c r="B99" s="142">
        <v>0.48194444444444445</v>
      </c>
      <c r="C99" s="143">
        <v>122.42</v>
      </c>
      <c r="E99" s="144">
        <v>121.4</v>
      </c>
      <c r="F99" s="145">
        <v>1</v>
      </c>
      <c r="I99" s="143">
        <v>120.42</v>
      </c>
      <c r="J99" s="143">
        <v>115.63</v>
      </c>
      <c r="K99" s="143">
        <v>120.42</v>
      </c>
      <c r="L99" s="143">
        <v>121.57</v>
      </c>
      <c r="M99" s="143">
        <v>121.53</v>
      </c>
      <c r="N99" s="143">
        <v>121.87</v>
      </c>
      <c r="O99" s="143">
        <v>122.41</v>
      </c>
      <c r="P99" s="143">
        <v>122.86</v>
      </c>
      <c r="Q99" s="143">
        <v>122.91</v>
      </c>
      <c r="S99" s="145">
        <v>5.1276858187679784</v>
      </c>
      <c r="T99" s="145">
        <v>0.96547785212719561</v>
      </c>
      <c r="U99" s="145">
        <v>5.1276858187679784</v>
      </c>
      <c r="V99" s="145">
        <v>6.7178862918033317</v>
      </c>
      <c r="W99" s="145">
        <v>7.9160881476595755</v>
      </c>
      <c r="X99" s="145">
        <v>12.067787950295038</v>
      </c>
      <c r="Y99" s="145">
        <v>15.015746566568151</v>
      </c>
      <c r="Z99" s="145">
        <v>31.73776694679265</v>
      </c>
      <c r="AA99" s="145">
        <v>27.397088820016965</v>
      </c>
      <c r="AB99" s="145">
        <v>20.995358192695715</v>
      </c>
      <c r="BB99" s="136">
        <v>120.42</v>
      </c>
      <c r="BC99" s="136">
        <v>115.63</v>
      </c>
      <c r="BD99" s="136">
        <v>120.42</v>
      </c>
      <c r="BE99" s="136">
        <v>121.57</v>
      </c>
      <c r="BF99" s="136">
        <v>121.53</v>
      </c>
      <c r="BG99" s="136">
        <v>121.87</v>
      </c>
      <c r="BH99" s="136">
        <v>122.41</v>
      </c>
      <c r="BI99" s="136">
        <v>122.86</v>
      </c>
      <c r="BJ99" s="136">
        <v>122.91</v>
      </c>
      <c r="BK99" s="136">
        <v>122.42</v>
      </c>
      <c r="BM99" s="145">
        <v>5.1276858187679784</v>
      </c>
      <c r="BN99" s="145">
        <v>0.96547785212719561</v>
      </c>
      <c r="BO99" s="145">
        <v>5.1276858187679784</v>
      </c>
      <c r="BP99" s="145">
        <v>6.7178862918033317</v>
      </c>
      <c r="BQ99" s="145">
        <v>7.9160881476595755</v>
      </c>
      <c r="BR99" s="145">
        <v>12.067787950295038</v>
      </c>
      <c r="BS99" s="145">
        <v>15.015746566568151</v>
      </c>
      <c r="BT99" s="145">
        <v>31.73776694679265</v>
      </c>
      <c r="BU99" s="145">
        <v>27.397088820016965</v>
      </c>
      <c r="BV99" s="145">
        <v>20.995358192695715</v>
      </c>
    </row>
    <row r="100" spans="1:74" x14ac:dyDescent="0.25">
      <c r="A100" s="141">
        <v>42837</v>
      </c>
      <c r="B100" s="142">
        <v>0.48229166666666662</v>
      </c>
      <c r="C100" s="143">
        <v>122.54</v>
      </c>
      <c r="E100" s="144">
        <v>121.5</v>
      </c>
      <c r="F100" s="145">
        <v>1</v>
      </c>
      <c r="I100" s="143">
        <v>120.55</v>
      </c>
      <c r="J100" s="143">
        <v>116.1</v>
      </c>
      <c r="K100" s="143">
        <v>120.55</v>
      </c>
      <c r="L100" s="143">
        <v>121.7</v>
      </c>
      <c r="M100" s="143">
        <v>121.6</v>
      </c>
      <c r="N100" s="143">
        <v>122</v>
      </c>
      <c r="O100" s="143">
        <v>122.1</v>
      </c>
      <c r="P100" s="143">
        <v>122.55</v>
      </c>
      <c r="Q100" s="143">
        <v>122.41</v>
      </c>
      <c r="S100" s="145">
        <v>5.5682102552719854</v>
      </c>
      <c r="T100" s="145">
        <v>1.1235917351356146</v>
      </c>
      <c r="U100" s="145">
        <v>5.5682102552719854</v>
      </c>
      <c r="V100" s="145">
        <v>7.2919631025517742</v>
      </c>
      <c r="W100" s="145">
        <v>8.4770973748105565</v>
      </c>
      <c r="X100" s="145">
        <v>12.68292233570123</v>
      </c>
      <c r="Y100" s="145">
        <v>15.645209272465234</v>
      </c>
      <c r="Z100" s="145">
        <v>32.435951127320621</v>
      </c>
      <c r="AA100" s="145">
        <v>28.073125101614103</v>
      </c>
      <c r="AB100" s="145">
        <v>21.691936594168368</v>
      </c>
      <c r="BB100" s="136">
        <v>120.55</v>
      </c>
      <c r="BC100" s="136">
        <v>116.1</v>
      </c>
      <c r="BD100" s="136">
        <v>120.55</v>
      </c>
      <c r="BE100" s="136">
        <v>121.7</v>
      </c>
      <c r="BF100" s="136">
        <v>121.6</v>
      </c>
      <c r="BG100" s="136">
        <v>122</v>
      </c>
      <c r="BH100" s="136">
        <v>122.1</v>
      </c>
      <c r="BI100" s="136">
        <v>122.55</v>
      </c>
      <c r="BJ100" s="136">
        <v>122.41</v>
      </c>
      <c r="BK100" s="136">
        <v>122.54</v>
      </c>
      <c r="BM100" s="145">
        <v>5.5682102552719854</v>
      </c>
      <c r="BN100" s="145">
        <v>1.1235917351356146</v>
      </c>
      <c r="BO100" s="145">
        <v>5.5682102552719854</v>
      </c>
      <c r="BP100" s="145">
        <v>7.2919631025517742</v>
      </c>
      <c r="BQ100" s="145">
        <v>8.4770973748105565</v>
      </c>
      <c r="BR100" s="145">
        <v>12.68292233570123</v>
      </c>
      <c r="BS100" s="145">
        <v>15.645209272465234</v>
      </c>
      <c r="BT100" s="145">
        <v>32.435951127320621</v>
      </c>
      <c r="BU100" s="145">
        <v>28.073125101614103</v>
      </c>
      <c r="BV100" s="145">
        <v>21.691936594168368</v>
      </c>
    </row>
    <row r="101" spans="1:74" x14ac:dyDescent="0.25">
      <c r="A101" s="141">
        <v>42837</v>
      </c>
      <c r="B101" s="142">
        <v>0.4826388888888889</v>
      </c>
      <c r="C101" s="143">
        <v>122.44</v>
      </c>
      <c r="E101" s="144">
        <v>121.6</v>
      </c>
      <c r="F101" s="145">
        <v>0.8</v>
      </c>
      <c r="I101" s="143">
        <v>120.7</v>
      </c>
      <c r="J101" s="143">
        <v>116.55</v>
      </c>
      <c r="K101" s="143">
        <v>120.7</v>
      </c>
      <c r="L101" s="143">
        <v>121.85</v>
      </c>
      <c r="M101" s="143">
        <v>121.68</v>
      </c>
      <c r="N101" s="143">
        <v>121.92</v>
      </c>
      <c r="O101" s="143">
        <v>122.51</v>
      </c>
      <c r="P101" s="143">
        <v>122.95</v>
      </c>
      <c r="Q101" s="143">
        <v>122.89</v>
      </c>
      <c r="S101" s="145">
        <v>6.0242156749499411</v>
      </c>
      <c r="T101" s="145">
        <v>1.2989676721118988</v>
      </c>
      <c r="U101" s="145">
        <v>6.0242156749499411</v>
      </c>
      <c r="V101" s="145">
        <v>7.8862142162702833</v>
      </c>
      <c r="W101" s="145">
        <v>9.0485365422054436</v>
      </c>
      <c r="X101" s="145">
        <v>13.286829253254622</v>
      </c>
      <c r="Y101" s="145">
        <v>16.336992461951127</v>
      </c>
      <c r="Z101" s="145">
        <v>33.201494858161638</v>
      </c>
      <c r="AA101" s="145">
        <v>28.828165178696178</v>
      </c>
      <c r="AB101" s="145">
        <v>22.372658935401343</v>
      </c>
      <c r="BB101" s="136">
        <v>120.7</v>
      </c>
      <c r="BC101" s="136">
        <v>116.55</v>
      </c>
      <c r="BD101" s="136">
        <v>120.7</v>
      </c>
      <c r="BE101" s="136">
        <v>121.85</v>
      </c>
      <c r="BF101" s="136">
        <v>121.68</v>
      </c>
      <c r="BG101" s="136">
        <v>121.92</v>
      </c>
      <c r="BH101" s="136">
        <v>122.51</v>
      </c>
      <c r="BI101" s="136">
        <v>122.95</v>
      </c>
      <c r="BJ101" s="136">
        <v>122.89</v>
      </c>
      <c r="BK101" s="136">
        <v>122.44</v>
      </c>
      <c r="BM101" s="145">
        <v>6.0242156749499411</v>
      </c>
      <c r="BN101" s="145">
        <v>1.2989676721118988</v>
      </c>
      <c r="BO101" s="145">
        <v>6.0242156749499411</v>
      </c>
      <c r="BP101" s="145">
        <v>7.8862142162702833</v>
      </c>
      <c r="BQ101" s="145">
        <v>9.0485365422054436</v>
      </c>
      <c r="BR101" s="145">
        <v>13.286829253254622</v>
      </c>
      <c r="BS101" s="145">
        <v>16.336992461951127</v>
      </c>
      <c r="BT101" s="145">
        <v>33.201494858161638</v>
      </c>
      <c r="BU101" s="145">
        <v>28.828165178696178</v>
      </c>
      <c r="BV101" s="145">
        <v>22.372658935401343</v>
      </c>
    </row>
    <row r="102" spans="1:74" x14ac:dyDescent="0.25">
      <c r="A102" s="141">
        <v>42837</v>
      </c>
      <c r="B102" s="142">
        <v>0.48298611111111112</v>
      </c>
      <c r="C102" s="143">
        <v>122.53</v>
      </c>
      <c r="E102" s="144">
        <v>121.7</v>
      </c>
      <c r="F102" s="145">
        <v>0.8</v>
      </c>
      <c r="I102" s="143">
        <v>120.8</v>
      </c>
      <c r="J102" s="143">
        <v>116.98</v>
      </c>
      <c r="K102" s="143">
        <v>120.8</v>
      </c>
      <c r="L102" s="143">
        <v>121.95</v>
      </c>
      <c r="M102" s="143">
        <v>121.74</v>
      </c>
      <c r="N102" s="143">
        <v>122.1</v>
      </c>
      <c r="O102" s="143">
        <v>121.83</v>
      </c>
      <c r="P102" s="143">
        <v>122.17</v>
      </c>
      <c r="Q102" s="143">
        <v>122.04</v>
      </c>
      <c r="S102" s="145">
        <v>6.4908428253484374</v>
      </c>
      <c r="T102" s="145">
        <v>1.4925964945727079</v>
      </c>
      <c r="U102" s="145">
        <v>6.4908428253484374</v>
      </c>
      <c r="V102" s="145">
        <v>8.4943072165934694</v>
      </c>
      <c r="W102" s="145">
        <v>9.6279252202830072</v>
      </c>
      <c r="X102" s="145">
        <v>13.916291959151705</v>
      </c>
      <c r="Y102" s="145">
        <v>16.928513239813711</v>
      </c>
      <c r="Z102" s="145">
        <v>33.8411855102404</v>
      </c>
      <c r="AA102" s="145">
        <v>29.448991332492387</v>
      </c>
      <c r="AB102" s="145">
        <v>23.067635251008021</v>
      </c>
      <c r="BB102" s="136">
        <v>120.8</v>
      </c>
      <c r="BC102" s="136">
        <v>116.98</v>
      </c>
      <c r="BD102" s="136">
        <v>120.8</v>
      </c>
      <c r="BE102" s="136">
        <v>121.95</v>
      </c>
      <c r="BF102" s="136">
        <v>121.74</v>
      </c>
      <c r="BG102" s="136">
        <v>122.1</v>
      </c>
      <c r="BH102" s="136">
        <v>121.83</v>
      </c>
      <c r="BI102" s="136">
        <v>122.17</v>
      </c>
      <c r="BJ102" s="136">
        <v>122.04</v>
      </c>
      <c r="BK102" s="136">
        <v>122.53</v>
      </c>
      <c r="BM102" s="145">
        <v>6.4908428253484374</v>
      </c>
      <c r="BN102" s="145">
        <v>1.4925964945727079</v>
      </c>
      <c r="BO102" s="145">
        <v>6.4908428253484374</v>
      </c>
      <c r="BP102" s="145">
        <v>8.4943072165934694</v>
      </c>
      <c r="BQ102" s="145">
        <v>9.6279252202830072</v>
      </c>
      <c r="BR102" s="145">
        <v>13.916291959151705</v>
      </c>
      <c r="BS102" s="145">
        <v>16.928513239813711</v>
      </c>
      <c r="BT102" s="145">
        <v>33.8411855102404</v>
      </c>
      <c r="BU102" s="145">
        <v>29.448991332492387</v>
      </c>
      <c r="BV102" s="145">
        <v>23.067635251008021</v>
      </c>
    </row>
    <row r="103" spans="1:74" x14ac:dyDescent="0.25">
      <c r="A103" s="141">
        <v>42837</v>
      </c>
      <c r="B103" s="142">
        <v>0.48333333333333334</v>
      </c>
      <c r="C103" s="143">
        <v>122.49</v>
      </c>
      <c r="E103" s="144">
        <v>121.7</v>
      </c>
      <c r="F103" s="145">
        <v>0.8</v>
      </c>
      <c r="I103" s="143">
        <v>120.93</v>
      </c>
      <c r="J103" s="143">
        <v>117.37</v>
      </c>
      <c r="K103" s="143">
        <v>120.93</v>
      </c>
      <c r="L103" s="143">
        <v>122.08</v>
      </c>
      <c r="M103" s="143">
        <v>121.79</v>
      </c>
      <c r="N103" s="143">
        <v>122.02</v>
      </c>
      <c r="O103" s="143">
        <v>122.64</v>
      </c>
      <c r="P103" s="143">
        <v>123.05</v>
      </c>
      <c r="Q103" s="143">
        <v>122.98</v>
      </c>
      <c r="S103" s="145">
        <v>6.9716489645402708</v>
      </c>
      <c r="T103" s="145">
        <v>1.704417977597479</v>
      </c>
      <c r="U103" s="145">
        <v>6.9716489645402708</v>
      </c>
      <c r="V103" s="145">
        <v>9.1208778040641789</v>
      </c>
      <c r="W103" s="145">
        <v>10.214022903057074</v>
      </c>
      <c r="X103" s="145">
        <v>14.534265675873961</v>
      </c>
      <c r="Y103" s="145">
        <v>17.641317036614804</v>
      </c>
      <c r="Z103" s="145">
        <v>34.624561045294477</v>
      </c>
      <c r="AA103" s="145">
        <v>30.219841558967168</v>
      </c>
      <c r="AB103" s="145">
        <v>23.756239985454993</v>
      </c>
      <c r="BB103" s="136">
        <v>120.93</v>
      </c>
      <c r="BC103" s="136">
        <v>117.37</v>
      </c>
      <c r="BD103" s="136">
        <v>120.93</v>
      </c>
      <c r="BE103" s="136">
        <v>122.08</v>
      </c>
      <c r="BF103" s="136">
        <v>121.79</v>
      </c>
      <c r="BG103" s="136">
        <v>122.02</v>
      </c>
      <c r="BH103" s="136">
        <v>122.64</v>
      </c>
      <c r="BI103" s="136">
        <v>123.05</v>
      </c>
      <c r="BJ103" s="136">
        <v>122.98</v>
      </c>
      <c r="BK103" s="136">
        <v>122.49</v>
      </c>
      <c r="BM103" s="145">
        <v>6.9716489645402708</v>
      </c>
      <c r="BN103" s="145">
        <v>1.704417977597479</v>
      </c>
      <c r="BO103" s="145">
        <v>6.9716489645402708</v>
      </c>
      <c r="BP103" s="145">
        <v>9.1208778040641789</v>
      </c>
      <c r="BQ103" s="145">
        <v>10.214022903057074</v>
      </c>
      <c r="BR103" s="145">
        <v>14.534265675873961</v>
      </c>
      <c r="BS103" s="145">
        <v>17.641317036614804</v>
      </c>
      <c r="BT103" s="145">
        <v>34.624561045294477</v>
      </c>
      <c r="BU103" s="145">
        <v>30.219841558967168</v>
      </c>
      <c r="BV103" s="145">
        <v>23.756239985454993</v>
      </c>
    </row>
    <row r="104" spans="1:74" x14ac:dyDescent="0.25">
      <c r="A104" s="141">
        <v>42837</v>
      </c>
      <c r="B104" s="142">
        <v>0.4836805555555555</v>
      </c>
      <c r="C104" s="143">
        <v>122.47</v>
      </c>
      <c r="E104" s="144">
        <v>121.7</v>
      </c>
      <c r="F104" s="145">
        <v>0.8</v>
      </c>
      <c r="I104" s="143">
        <v>121.01</v>
      </c>
      <c r="J104" s="143">
        <v>117.76</v>
      </c>
      <c r="K104" s="143">
        <v>121.01</v>
      </c>
      <c r="L104" s="143">
        <v>122.16</v>
      </c>
      <c r="M104" s="143">
        <v>121.85</v>
      </c>
      <c r="N104" s="143">
        <v>122.05</v>
      </c>
      <c r="O104" s="143">
        <v>121.64</v>
      </c>
      <c r="P104" s="143">
        <v>121.86</v>
      </c>
      <c r="Q104" s="143">
        <v>121.75</v>
      </c>
      <c r="S104" s="145">
        <v>7.4613939572446215</v>
      </c>
      <c r="T104" s="145">
        <v>1.9361414374656236</v>
      </c>
      <c r="U104" s="145">
        <v>7.4613939572446215</v>
      </c>
      <c r="V104" s="145">
        <v>9.7590972084698517</v>
      </c>
      <c r="W104" s="145">
        <v>10.808274016775584</v>
      </c>
      <c r="X104" s="145">
        <v>15.156522981759654</v>
      </c>
      <c r="Y104" s="145">
        <v>18.207517218232585</v>
      </c>
      <c r="Z104" s="145">
        <v>35.220182049308164</v>
      </c>
      <c r="AA104" s="145">
        <v>30.800565865887339</v>
      </c>
      <c r="AB104" s="145">
        <v>24.441680868537421</v>
      </c>
      <c r="BB104" s="136">
        <v>121.01</v>
      </c>
      <c r="BC104" s="136">
        <v>117.76</v>
      </c>
      <c r="BD104" s="136">
        <v>121.01</v>
      </c>
      <c r="BE104" s="136">
        <v>122.16</v>
      </c>
      <c r="BF104" s="136">
        <v>121.85</v>
      </c>
      <c r="BG104" s="136">
        <v>122.05</v>
      </c>
      <c r="BH104" s="136">
        <v>121.64</v>
      </c>
      <c r="BI104" s="136">
        <v>121.86</v>
      </c>
      <c r="BJ104" s="136">
        <v>121.75</v>
      </c>
      <c r="BK104" s="136">
        <v>122.47</v>
      </c>
      <c r="BM104" s="145">
        <v>7.4613939572446215</v>
      </c>
      <c r="BN104" s="145">
        <v>1.9361414374656236</v>
      </c>
      <c r="BO104" s="145">
        <v>7.4613939572446215</v>
      </c>
      <c r="BP104" s="145">
        <v>9.7590972084698517</v>
      </c>
      <c r="BQ104" s="145">
        <v>10.808274016775584</v>
      </c>
      <c r="BR104" s="145">
        <v>15.156522981759654</v>
      </c>
      <c r="BS104" s="145">
        <v>18.207517218232585</v>
      </c>
      <c r="BT104" s="145">
        <v>35.220182049308164</v>
      </c>
      <c r="BU104" s="145">
        <v>30.800565865887339</v>
      </c>
      <c r="BV104" s="145">
        <v>24.441680868537421</v>
      </c>
    </row>
    <row r="105" spans="1:74" x14ac:dyDescent="0.25">
      <c r="A105" s="141">
        <v>42837</v>
      </c>
      <c r="B105" s="142">
        <v>0.48402777777777778</v>
      </c>
      <c r="C105" s="143">
        <v>122.53</v>
      </c>
      <c r="E105" s="144">
        <v>121.8</v>
      </c>
      <c r="F105" s="145">
        <v>0.7</v>
      </c>
      <c r="I105" s="143">
        <v>121.13</v>
      </c>
      <c r="J105" s="143">
        <v>118.12</v>
      </c>
      <c r="K105" s="143">
        <v>121.13</v>
      </c>
      <c r="L105" s="143">
        <v>122.26</v>
      </c>
      <c r="M105" s="143">
        <v>121.88</v>
      </c>
      <c r="N105" s="143">
        <v>122.04</v>
      </c>
      <c r="O105" s="143">
        <v>122.44</v>
      </c>
      <c r="P105" s="143">
        <v>122.78</v>
      </c>
      <c r="Q105" s="143">
        <v>122.67</v>
      </c>
      <c r="S105" s="145">
        <v>7.9648597916705235</v>
      </c>
      <c r="T105" s="145">
        <v>2.1878917418595765</v>
      </c>
      <c r="U105" s="145">
        <v>7.9648597916705235</v>
      </c>
      <c r="V105" s="145">
        <v>10.412182652535774</v>
      </c>
      <c r="W105" s="145">
        <v>11.406644282429207</v>
      </c>
      <c r="X105" s="145">
        <v>15.777349135555861</v>
      </c>
      <c r="Y105" s="145">
        <v>18.888239559465561</v>
      </c>
      <c r="Z105" s="145">
        <v>35.956338300524521</v>
      </c>
      <c r="AA105" s="145">
        <v>31.518310582564169</v>
      </c>
      <c r="AB105" s="145">
        <v>25.136657184144099</v>
      </c>
      <c r="BB105" s="136">
        <v>121.13</v>
      </c>
      <c r="BC105" s="136">
        <v>118.12</v>
      </c>
      <c r="BD105" s="136">
        <v>121.13</v>
      </c>
      <c r="BE105" s="136">
        <v>122.26</v>
      </c>
      <c r="BF105" s="136">
        <v>121.88</v>
      </c>
      <c r="BG105" s="136">
        <v>122.04</v>
      </c>
      <c r="BH105" s="136">
        <v>122.44</v>
      </c>
      <c r="BI105" s="136">
        <v>122.78</v>
      </c>
      <c r="BJ105" s="136">
        <v>122.67</v>
      </c>
      <c r="BK105" s="136">
        <v>122.53</v>
      </c>
      <c r="BM105" s="145">
        <v>7.9648597916705235</v>
      </c>
      <c r="BN105" s="145">
        <v>2.1878917418595765</v>
      </c>
      <c r="BO105" s="145">
        <v>7.9648597916705235</v>
      </c>
      <c r="BP105" s="145">
        <v>10.412182652535774</v>
      </c>
      <c r="BQ105" s="145">
        <v>11.406644282429207</v>
      </c>
      <c r="BR105" s="145">
        <v>15.777349135555861</v>
      </c>
      <c r="BS105" s="145">
        <v>18.888239559465561</v>
      </c>
      <c r="BT105" s="145">
        <v>35.956338300524521</v>
      </c>
      <c r="BU105" s="145">
        <v>31.518310582564169</v>
      </c>
      <c r="BV105" s="145">
        <v>25.136657184144099</v>
      </c>
    </row>
    <row r="106" spans="1:74" x14ac:dyDescent="0.25">
      <c r="A106" s="141">
        <v>42837</v>
      </c>
      <c r="B106" s="142">
        <v>0.484375</v>
      </c>
      <c r="C106" s="143">
        <v>122.39</v>
      </c>
      <c r="E106" s="144">
        <v>121.8</v>
      </c>
      <c r="F106" s="145">
        <v>0.6</v>
      </c>
      <c r="I106" s="143">
        <v>121.19</v>
      </c>
      <c r="J106" s="143">
        <v>118.48</v>
      </c>
      <c r="K106" s="143">
        <v>121.19</v>
      </c>
      <c r="L106" s="143">
        <v>122.33</v>
      </c>
      <c r="M106" s="143">
        <v>121.93</v>
      </c>
      <c r="N106" s="143">
        <v>122.02</v>
      </c>
      <c r="O106" s="143">
        <v>122.59</v>
      </c>
      <c r="P106" s="143">
        <v>122.89</v>
      </c>
      <c r="Q106" s="143">
        <v>122.93</v>
      </c>
      <c r="S106" s="145">
        <v>8.4753295335243646</v>
      </c>
      <c r="T106" s="145">
        <v>2.4613997233065628</v>
      </c>
      <c r="U106" s="145">
        <v>8.4753295335243646</v>
      </c>
      <c r="V106" s="145">
        <v>11.075879881400645</v>
      </c>
      <c r="W106" s="145">
        <v>12.011943349204451</v>
      </c>
      <c r="X106" s="145">
        <v>16.395322852278117</v>
      </c>
      <c r="Y106" s="145">
        <v>19.592883958676499</v>
      </c>
      <c r="Z106" s="145">
        <v>36.7113783776066</v>
      </c>
      <c r="AA106" s="145">
        <v>32.280336959462815</v>
      </c>
      <c r="AB106" s="145">
        <v>25.809587361172074</v>
      </c>
      <c r="BB106" s="136">
        <v>121.19</v>
      </c>
      <c r="BC106" s="136">
        <v>118.48</v>
      </c>
      <c r="BD106" s="136">
        <v>121.19</v>
      </c>
      <c r="BE106" s="136">
        <v>122.33</v>
      </c>
      <c r="BF106" s="136">
        <v>121.93</v>
      </c>
      <c r="BG106" s="136">
        <v>122.02</v>
      </c>
      <c r="BH106" s="136">
        <v>122.59</v>
      </c>
      <c r="BI106" s="136">
        <v>122.89</v>
      </c>
      <c r="BJ106" s="136">
        <v>122.93</v>
      </c>
      <c r="BK106" s="136">
        <v>122.39</v>
      </c>
      <c r="BM106" s="145">
        <v>8.4753295335243646</v>
      </c>
      <c r="BN106" s="145">
        <v>2.4613997233065628</v>
      </c>
      <c r="BO106" s="145">
        <v>8.4753295335243646</v>
      </c>
      <c r="BP106" s="145">
        <v>11.075879881400645</v>
      </c>
      <c r="BQ106" s="145">
        <v>12.011943349204451</v>
      </c>
      <c r="BR106" s="145">
        <v>16.395322852278117</v>
      </c>
      <c r="BS106" s="145">
        <v>19.592883958676499</v>
      </c>
      <c r="BT106" s="145">
        <v>36.7113783776066</v>
      </c>
      <c r="BU106" s="145">
        <v>32.280336959462815</v>
      </c>
      <c r="BV106" s="145">
        <v>25.809587361172074</v>
      </c>
    </row>
    <row r="107" spans="1:74" x14ac:dyDescent="0.25">
      <c r="A107" s="141">
        <v>42837</v>
      </c>
      <c r="B107" s="142">
        <v>0.48472222222222222</v>
      </c>
      <c r="C107" s="143">
        <v>122.51</v>
      </c>
      <c r="E107" s="144">
        <v>121.9</v>
      </c>
      <c r="F107" s="145">
        <v>0.6</v>
      </c>
      <c r="I107" s="143">
        <v>121.29</v>
      </c>
      <c r="J107" s="143">
        <v>118.83</v>
      </c>
      <c r="K107" s="143">
        <v>121.29</v>
      </c>
      <c r="L107" s="143">
        <v>122.43</v>
      </c>
      <c r="M107" s="143">
        <v>121.95</v>
      </c>
      <c r="N107" s="143">
        <v>122.09</v>
      </c>
      <c r="O107" s="143">
        <v>122.04</v>
      </c>
      <c r="P107" s="143">
        <v>122.29</v>
      </c>
      <c r="Q107" s="143">
        <v>122.17</v>
      </c>
      <c r="S107" s="145">
        <v>8.9976896431347662</v>
      </c>
      <c r="T107" s="145">
        <v>2.7578623855965629</v>
      </c>
      <c r="U107" s="145">
        <v>8.9976896431347662</v>
      </c>
      <c r="V107" s="145">
        <v>11.755036604694224</v>
      </c>
      <c r="W107" s="145">
        <v>12.620036349527636</v>
      </c>
      <c r="X107" s="145">
        <v>17.023337834125556</v>
      </c>
      <c r="Y107" s="145">
        <v>20.213710112472707</v>
      </c>
      <c r="Z107" s="145">
        <v>37.368990793702721</v>
      </c>
      <c r="AA107" s="145">
        <v>32.920027611541578</v>
      </c>
      <c r="AB107" s="145">
        <v>26.501370550657967</v>
      </c>
      <c r="BB107" s="136">
        <v>121.29</v>
      </c>
      <c r="BC107" s="136">
        <v>118.83</v>
      </c>
      <c r="BD107" s="136">
        <v>121.29</v>
      </c>
      <c r="BE107" s="136">
        <v>122.43</v>
      </c>
      <c r="BF107" s="136">
        <v>121.95</v>
      </c>
      <c r="BG107" s="136">
        <v>122.09</v>
      </c>
      <c r="BH107" s="136">
        <v>122.04</v>
      </c>
      <c r="BI107" s="136">
        <v>122.29</v>
      </c>
      <c r="BJ107" s="136">
        <v>122.17</v>
      </c>
      <c r="BK107" s="136">
        <v>122.51</v>
      </c>
      <c r="BM107" s="145">
        <v>8.9976896431347662</v>
      </c>
      <c r="BN107" s="145">
        <v>2.7578623855965629</v>
      </c>
      <c r="BO107" s="145">
        <v>8.9976896431347662</v>
      </c>
      <c r="BP107" s="145">
        <v>11.755036604694224</v>
      </c>
      <c r="BQ107" s="145">
        <v>12.620036349527636</v>
      </c>
      <c r="BR107" s="145">
        <v>17.023337834125556</v>
      </c>
      <c r="BS107" s="145">
        <v>20.213710112472707</v>
      </c>
      <c r="BT107" s="145">
        <v>37.368990793702721</v>
      </c>
      <c r="BU107" s="145">
        <v>32.920027611541578</v>
      </c>
      <c r="BV107" s="145">
        <v>26.501370550657967</v>
      </c>
    </row>
    <row r="108" spans="1:74" x14ac:dyDescent="0.25">
      <c r="A108" s="141">
        <v>42837</v>
      </c>
      <c r="B108" s="142">
        <v>0.4850694444444445</v>
      </c>
      <c r="C108" s="143">
        <v>122.43</v>
      </c>
      <c r="E108" s="144">
        <v>121.9</v>
      </c>
      <c r="F108" s="145">
        <v>0.5</v>
      </c>
      <c r="I108" s="143">
        <v>121.35</v>
      </c>
      <c r="J108" s="143">
        <v>119.16</v>
      </c>
      <c r="K108" s="143">
        <v>121.35</v>
      </c>
      <c r="L108" s="143">
        <v>122.49</v>
      </c>
      <c r="M108" s="143">
        <v>121.99</v>
      </c>
      <c r="N108" s="143">
        <v>122.03</v>
      </c>
      <c r="O108" s="143">
        <v>122.72</v>
      </c>
      <c r="P108" s="143">
        <v>123.02</v>
      </c>
      <c r="Q108" s="143">
        <v>122.93</v>
      </c>
      <c r="S108" s="145">
        <v>9.5273165057234106</v>
      </c>
      <c r="T108" s="145">
        <v>3.077729803337887</v>
      </c>
      <c r="U108" s="145">
        <v>9.5273165057234106</v>
      </c>
      <c r="V108" s="145">
        <v>12.443641339141198</v>
      </c>
      <c r="W108" s="145">
        <v>13.233755965106839</v>
      </c>
      <c r="X108" s="145">
        <v>17.642736127390741</v>
      </c>
      <c r="Y108" s="145">
        <v>20.939765921266581</v>
      </c>
      <c r="Z108" s="145">
        <v>38.14697360950526</v>
      </c>
      <c r="AA108" s="145">
        <v>33.682053988440224</v>
      </c>
      <c r="AB108" s="145">
        <v>27.180527273951547</v>
      </c>
      <c r="BB108" s="136">
        <v>121.35</v>
      </c>
      <c r="BC108" s="136">
        <v>119.16</v>
      </c>
      <c r="BD108" s="136">
        <v>121.35</v>
      </c>
      <c r="BE108" s="136">
        <v>122.49</v>
      </c>
      <c r="BF108" s="136">
        <v>121.99</v>
      </c>
      <c r="BG108" s="136">
        <v>122.03</v>
      </c>
      <c r="BH108" s="136">
        <v>122.72</v>
      </c>
      <c r="BI108" s="136">
        <v>123.02</v>
      </c>
      <c r="BJ108" s="136">
        <v>122.93</v>
      </c>
      <c r="BK108" s="136">
        <v>122.43</v>
      </c>
      <c r="BM108" s="145">
        <v>9.5273165057234106</v>
      </c>
      <c r="BN108" s="145">
        <v>3.077729803337887</v>
      </c>
      <c r="BO108" s="145">
        <v>9.5273165057234106</v>
      </c>
      <c r="BP108" s="145">
        <v>12.443641339141198</v>
      </c>
      <c r="BQ108" s="145">
        <v>13.233755965106839</v>
      </c>
      <c r="BR108" s="145">
        <v>17.642736127390741</v>
      </c>
      <c r="BS108" s="145">
        <v>20.939765921266581</v>
      </c>
      <c r="BT108" s="145">
        <v>38.14697360950526</v>
      </c>
      <c r="BU108" s="145">
        <v>33.682053988440224</v>
      </c>
      <c r="BV108" s="145">
        <v>27.180527273951547</v>
      </c>
    </row>
    <row r="109" spans="1:74" x14ac:dyDescent="0.25">
      <c r="A109" s="141">
        <v>42837</v>
      </c>
      <c r="B109" s="142">
        <v>0.48541666666666666</v>
      </c>
      <c r="C109" s="143">
        <v>122.47</v>
      </c>
      <c r="E109" s="144">
        <v>121.9</v>
      </c>
      <c r="F109" s="145">
        <v>0.6</v>
      </c>
      <c r="I109" s="143">
        <v>121.42</v>
      </c>
      <c r="J109" s="143">
        <v>119.47</v>
      </c>
      <c r="K109" s="143">
        <v>121.42</v>
      </c>
      <c r="L109" s="143">
        <v>122.58</v>
      </c>
      <c r="M109" s="143">
        <v>122.02</v>
      </c>
      <c r="N109" s="143">
        <v>122.08</v>
      </c>
      <c r="O109" s="143">
        <v>121.83</v>
      </c>
      <c r="P109" s="143">
        <v>122</v>
      </c>
      <c r="Q109" s="143">
        <v>121.89</v>
      </c>
      <c r="S109" s="145">
        <v>10.06554911253833</v>
      </c>
      <c r="T109" s="145">
        <v>3.4212640233450036</v>
      </c>
      <c r="U109" s="145">
        <v>10.06554911253833</v>
      </c>
      <c r="V109" s="145">
        <v>13.146665101206155</v>
      </c>
      <c r="W109" s="145">
        <v>13.851729681829095</v>
      </c>
      <c r="X109" s="145">
        <v>18.26930671486145</v>
      </c>
      <c r="Y109" s="145">
        <v>21.531286699129165</v>
      </c>
      <c r="Z109" s="145">
        <v>38.762107994911453</v>
      </c>
      <c r="AA109" s="145">
        <v>34.281803640014914</v>
      </c>
      <c r="AB109" s="145">
        <v>27.865968157033976</v>
      </c>
      <c r="BB109" s="136">
        <v>121.42</v>
      </c>
      <c r="BC109" s="136">
        <v>119.47</v>
      </c>
      <c r="BD109" s="136">
        <v>121.42</v>
      </c>
      <c r="BE109" s="136">
        <v>122.58</v>
      </c>
      <c r="BF109" s="136">
        <v>122.02</v>
      </c>
      <c r="BG109" s="136">
        <v>122.08</v>
      </c>
      <c r="BH109" s="136">
        <v>121.83</v>
      </c>
      <c r="BI109" s="136">
        <v>122</v>
      </c>
      <c r="BJ109" s="136">
        <v>121.89</v>
      </c>
      <c r="BK109" s="136">
        <v>122.47</v>
      </c>
      <c r="BM109" s="145">
        <v>10.06554911253833</v>
      </c>
      <c r="BN109" s="145">
        <v>3.4212640233450036</v>
      </c>
      <c r="BO109" s="145">
        <v>10.06554911253833</v>
      </c>
      <c r="BP109" s="145">
        <v>13.146665101206155</v>
      </c>
      <c r="BQ109" s="145">
        <v>13.851729681829095</v>
      </c>
      <c r="BR109" s="145">
        <v>18.26930671486145</v>
      </c>
      <c r="BS109" s="145">
        <v>21.531286699129165</v>
      </c>
      <c r="BT109" s="145">
        <v>38.762107994911453</v>
      </c>
      <c r="BU109" s="145">
        <v>34.281803640014914</v>
      </c>
      <c r="BV109" s="145">
        <v>27.865968157033976</v>
      </c>
    </row>
    <row r="110" spans="1:74" x14ac:dyDescent="0.25">
      <c r="A110" s="141">
        <v>42837</v>
      </c>
      <c r="B110" s="142">
        <v>0.48576388888888888</v>
      </c>
      <c r="C110" s="143">
        <v>122.46</v>
      </c>
      <c r="E110" s="144">
        <v>122</v>
      </c>
      <c r="F110" s="145">
        <v>0.5</v>
      </c>
      <c r="I110" s="143">
        <v>121.47</v>
      </c>
      <c r="J110" s="143">
        <v>119.74</v>
      </c>
      <c r="K110" s="143">
        <v>121.47</v>
      </c>
      <c r="L110" s="143">
        <v>122.63</v>
      </c>
      <c r="M110" s="143">
        <v>122.03</v>
      </c>
      <c r="N110" s="143">
        <v>122.07</v>
      </c>
      <c r="O110" s="143">
        <v>122.78</v>
      </c>
      <c r="P110" s="143">
        <v>123.06</v>
      </c>
      <c r="Q110" s="143">
        <v>122.98</v>
      </c>
      <c r="S110" s="145">
        <v>10.610014159205047</v>
      </c>
      <c r="T110" s="145">
        <v>3.7868335650867122</v>
      </c>
      <c r="U110" s="145">
        <v>10.610014159205047</v>
      </c>
      <c r="V110" s="145">
        <v>13.857829494767564</v>
      </c>
      <c r="W110" s="145">
        <v>14.47112797509428</v>
      </c>
      <c r="X110" s="145">
        <v>18.89443622997031</v>
      </c>
      <c r="Y110" s="145">
        <v>22.267442950345526</v>
      </c>
      <c r="Z110" s="145">
        <v>39.547289397078231</v>
      </c>
      <c r="AA110" s="145">
        <v>35.052653866489692</v>
      </c>
      <c r="AB110" s="145">
        <v>28.549832569831899</v>
      </c>
      <c r="BB110" s="136">
        <v>121.47</v>
      </c>
      <c r="BC110" s="136">
        <v>119.74</v>
      </c>
      <c r="BD110" s="136">
        <v>121.47</v>
      </c>
      <c r="BE110" s="136">
        <v>122.63</v>
      </c>
      <c r="BF110" s="136">
        <v>122.03</v>
      </c>
      <c r="BG110" s="136">
        <v>122.07</v>
      </c>
      <c r="BH110" s="136">
        <v>122.78</v>
      </c>
      <c r="BI110" s="136">
        <v>123.06</v>
      </c>
      <c r="BJ110" s="136">
        <v>122.98</v>
      </c>
      <c r="BK110" s="136">
        <v>122.46</v>
      </c>
      <c r="BM110" s="145">
        <v>10.610014159205047</v>
      </c>
      <c r="BN110" s="145">
        <v>3.7868335650867122</v>
      </c>
      <c r="BO110" s="145">
        <v>10.610014159205047</v>
      </c>
      <c r="BP110" s="145">
        <v>13.857829494767564</v>
      </c>
      <c r="BQ110" s="145">
        <v>14.47112797509428</v>
      </c>
      <c r="BR110" s="145">
        <v>18.89443622997031</v>
      </c>
      <c r="BS110" s="145">
        <v>22.267442950345526</v>
      </c>
      <c r="BT110" s="145">
        <v>39.547289397078231</v>
      </c>
      <c r="BU110" s="145">
        <v>35.052653866489692</v>
      </c>
      <c r="BV110" s="145">
        <v>28.549832569831899</v>
      </c>
    </row>
    <row r="111" spans="1:74" x14ac:dyDescent="0.25">
      <c r="A111" s="141">
        <v>42837</v>
      </c>
      <c r="B111" s="142">
        <v>0.4861111111111111</v>
      </c>
      <c r="C111" s="143">
        <v>122.43</v>
      </c>
      <c r="E111" s="144">
        <v>122</v>
      </c>
      <c r="F111" s="145">
        <v>0.4</v>
      </c>
      <c r="I111" s="143">
        <v>121.53</v>
      </c>
      <c r="J111" s="143">
        <v>120.02</v>
      </c>
      <c r="K111" s="143">
        <v>121.53</v>
      </c>
      <c r="L111" s="143">
        <v>122.69</v>
      </c>
      <c r="M111" s="143">
        <v>122.03</v>
      </c>
      <c r="N111" s="143">
        <v>122.09</v>
      </c>
      <c r="O111" s="143">
        <v>121.7</v>
      </c>
      <c r="P111" s="143">
        <v>121.82</v>
      </c>
      <c r="Q111" s="143">
        <v>121.7</v>
      </c>
      <c r="S111" s="145">
        <v>11.162053469156085</v>
      </c>
      <c r="T111" s="145">
        <v>4.1767486203483415</v>
      </c>
      <c r="U111" s="145">
        <v>11.162053469156085</v>
      </c>
      <c r="V111" s="145">
        <v>14.578887170529999</v>
      </c>
      <c r="W111" s="145">
        <v>15.090526268359465</v>
      </c>
      <c r="X111" s="145">
        <v>19.522451211817749</v>
      </c>
      <c r="Y111" s="145">
        <v>22.84151976109397</v>
      </c>
      <c r="Z111" s="145">
        <v>40.137449714904093</v>
      </c>
      <c r="AA111" s="145">
        <v>35.626730677238136</v>
      </c>
      <c r="AB111" s="145">
        <v>29.22898929312548</v>
      </c>
      <c r="BB111" s="136">
        <v>121.53</v>
      </c>
      <c r="BC111" s="136">
        <v>120.02</v>
      </c>
      <c r="BD111" s="136">
        <v>121.53</v>
      </c>
      <c r="BE111" s="136">
        <v>122.69</v>
      </c>
      <c r="BF111" s="136">
        <v>122.03</v>
      </c>
      <c r="BG111" s="136">
        <v>122.09</v>
      </c>
      <c r="BH111" s="136">
        <v>121.7</v>
      </c>
      <c r="BI111" s="136">
        <v>121.82</v>
      </c>
      <c r="BJ111" s="136">
        <v>121.7</v>
      </c>
      <c r="BK111" s="136">
        <v>122.43</v>
      </c>
      <c r="BM111" s="145">
        <v>11.162053469156085</v>
      </c>
      <c r="BN111" s="145">
        <v>4.1767486203483415</v>
      </c>
      <c r="BO111" s="145">
        <v>11.162053469156085</v>
      </c>
      <c r="BP111" s="145">
        <v>14.578887170529999</v>
      </c>
      <c r="BQ111" s="145">
        <v>15.090526268359465</v>
      </c>
      <c r="BR111" s="145">
        <v>19.522451211817749</v>
      </c>
      <c r="BS111" s="145">
        <v>22.84151976109397</v>
      </c>
      <c r="BT111" s="145">
        <v>40.137449714904093</v>
      </c>
      <c r="BU111" s="145">
        <v>35.626730677238136</v>
      </c>
      <c r="BV111" s="145">
        <v>29.22898929312548</v>
      </c>
    </row>
    <row r="112" spans="1:74" x14ac:dyDescent="0.25">
      <c r="A112" s="141">
        <v>42837</v>
      </c>
      <c r="B112" s="142">
        <v>0.48645833333333338</v>
      </c>
      <c r="C112" s="143">
        <v>122.47</v>
      </c>
      <c r="E112" s="144">
        <v>122</v>
      </c>
      <c r="F112" s="145">
        <v>0.5</v>
      </c>
      <c r="I112" s="143">
        <v>121.58</v>
      </c>
      <c r="J112" s="143">
        <v>120.25</v>
      </c>
      <c r="K112" s="143">
        <v>121.58</v>
      </c>
      <c r="L112" s="143">
        <v>122.74</v>
      </c>
      <c r="M112" s="143">
        <v>122.05</v>
      </c>
      <c r="N112" s="143">
        <v>122.07</v>
      </c>
      <c r="O112" s="143">
        <v>122.75</v>
      </c>
      <c r="P112" s="143">
        <v>122.99</v>
      </c>
      <c r="Q112" s="143">
        <v>122.9</v>
      </c>
      <c r="S112" s="145">
        <v>11.720485093046365</v>
      </c>
      <c r="T112" s="145">
        <v>4.5878699453218772</v>
      </c>
      <c r="U112" s="145">
        <v>11.720485093046365</v>
      </c>
      <c r="V112" s="145">
        <v>15.308294300667674</v>
      </c>
      <c r="W112" s="145">
        <v>15.712783574245158</v>
      </c>
      <c r="X112" s="145">
        <v>20.147580726926609</v>
      </c>
      <c r="Y112" s="145">
        <v>23.57260834832233</v>
      </c>
      <c r="Z112" s="145">
        <v>40.910076934673299</v>
      </c>
      <c r="AA112" s="145">
        <v>36.383511301456245</v>
      </c>
      <c r="AB112" s="145">
        <v>29.914430176207908</v>
      </c>
      <c r="BB112" s="136">
        <v>121.58</v>
      </c>
      <c r="BC112" s="136">
        <v>120.25</v>
      </c>
      <c r="BD112" s="136">
        <v>121.58</v>
      </c>
      <c r="BE112" s="136">
        <v>122.74</v>
      </c>
      <c r="BF112" s="136">
        <v>122.05</v>
      </c>
      <c r="BG112" s="136">
        <v>122.07</v>
      </c>
      <c r="BH112" s="136">
        <v>122.75</v>
      </c>
      <c r="BI112" s="136">
        <v>122.99</v>
      </c>
      <c r="BJ112" s="136">
        <v>122.9</v>
      </c>
      <c r="BK112" s="136">
        <v>122.47</v>
      </c>
      <c r="BM112" s="145">
        <v>11.720485093046365</v>
      </c>
      <c r="BN112" s="145">
        <v>4.5878699453218772</v>
      </c>
      <c r="BO112" s="145">
        <v>11.720485093046365</v>
      </c>
      <c r="BP112" s="145">
        <v>15.308294300667674</v>
      </c>
      <c r="BQ112" s="145">
        <v>15.712783574245158</v>
      </c>
      <c r="BR112" s="145">
        <v>20.147580726926609</v>
      </c>
      <c r="BS112" s="145">
        <v>23.57260834832233</v>
      </c>
      <c r="BT112" s="145">
        <v>40.910076934673299</v>
      </c>
      <c r="BU112" s="145">
        <v>36.383511301456245</v>
      </c>
      <c r="BV112" s="145">
        <v>29.914430176207908</v>
      </c>
    </row>
    <row r="113" spans="1:74" x14ac:dyDescent="0.25">
      <c r="A113" s="141">
        <v>42837</v>
      </c>
      <c r="B113" s="142">
        <v>0.48680555555555555</v>
      </c>
      <c r="C113" s="143">
        <v>122.42</v>
      </c>
      <c r="E113" s="144">
        <v>122</v>
      </c>
      <c r="F113" s="145">
        <v>0.4</v>
      </c>
      <c r="I113" s="143">
        <v>121.63</v>
      </c>
      <c r="J113" s="143">
        <v>120.49</v>
      </c>
      <c r="K113" s="143">
        <v>121.63</v>
      </c>
      <c r="L113" s="143">
        <v>122.79</v>
      </c>
      <c r="M113" s="143">
        <v>122.06</v>
      </c>
      <c r="N113" s="143">
        <v>122.09</v>
      </c>
      <c r="O113" s="143">
        <v>121.67</v>
      </c>
      <c r="P113" s="143">
        <v>121.76</v>
      </c>
      <c r="Q113" s="143">
        <v>121.65</v>
      </c>
      <c r="S113" s="145">
        <v>12.285383050382764</v>
      </c>
      <c r="T113" s="145">
        <v>5.0223501599650282</v>
      </c>
      <c r="U113" s="145">
        <v>12.285383050382764</v>
      </c>
      <c r="V113" s="145">
        <v>16.046147567305624</v>
      </c>
      <c r="W113" s="145">
        <v>16.336475331366632</v>
      </c>
      <c r="X113" s="145">
        <v>20.775595708774048</v>
      </c>
      <c r="Y113" s="145">
        <v>24.142733242102913</v>
      </c>
      <c r="Z113" s="145">
        <v>41.492139949378547</v>
      </c>
      <c r="AA113" s="145">
        <v>36.951016709292404</v>
      </c>
      <c r="AB113" s="145">
        <v>30.592024882383427</v>
      </c>
      <c r="BB113" s="136">
        <v>121.63</v>
      </c>
      <c r="BC113" s="136">
        <v>120.49</v>
      </c>
      <c r="BD113" s="136">
        <v>121.63</v>
      </c>
      <c r="BE113" s="136">
        <v>122.79</v>
      </c>
      <c r="BF113" s="136">
        <v>122.06</v>
      </c>
      <c r="BG113" s="136">
        <v>122.09</v>
      </c>
      <c r="BH113" s="136">
        <v>121.67</v>
      </c>
      <c r="BI113" s="136">
        <v>121.76</v>
      </c>
      <c r="BJ113" s="136">
        <v>121.65</v>
      </c>
      <c r="BK113" s="136">
        <v>122.42</v>
      </c>
      <c r="BM113" s="145">
        <v>12.285383050382764</v>
      </c>
      <c r="BN113" s="145">
        <v>5.0223501599650282</v>
      </c>
      <c r="BO113" s="145">
        <v>12.285383050382764</v>
      </c>
      <c r="BP113" s="145">
        <v>16.046147567305624</v>
      </c>
      <c r="BQ113" s="145">
        <v>16.336475331366632</v>
      </c>
      <c r="BR113" s="145">
        <v>20.775595708774048</v>
      </c>
      <c r="BS113" s="145">
        <v>24.142733242102913</v>
      </c>
      <c r="BT113" s="145">
        <v>41.492139949378547</v>
      </c>
      <c r="BU113" s="145">
        <v>36.951016709292404</v>
      </c>
      <c r="BV113" s="145">
        <v>30.592024882383427</v>
      </c>
    </row>
    <row r="114" spans="1:74" x14ac:dyDescent="0.25">
      <c r="A114" s="141">
        <v>42837</v>
      </c>
      <c r="B114" s="142">
        <v>0.48715277777777777</v>
      </c>
      <c r="C114" s="143">
        <v>122.5</v>
      </c>
      <c r="E114" s="144">
        <v>122.1</v>
      </c>
      <c r="F114" s="145">
        <v>0.4</v>
      </c>
      <c r="I114" s="143">
        <v>121.67</v>
      </c>
      <c r="J114" s="143">
        <v>120.69</v>
      </c>
      <c r="K114" s="143">
        <v>121.67</v>
      </c>
      <c r="L114" s="143">
        <v>122.83</v>
      </c>
      <c r="M114" s="143">
        <v>122.06</v>
      </c>
      <c r="N114" s="143">
        <v>122.12</v>
      </c>
      <c r="O114" s="143">
        <v>122.69</v>
      </c>
      <c r="P114" s="143">
        <v>122.9</v>
      </c>
      <c r="Q114" s="143">
        <v>122.78</v>
      </c>
      <c r="S114" s="145">
        <v>12.85550794416335</v>
      </c>
      <c r="T114" s="145">
        <v>5.4773067962811544</v>
      </c>
      <c r="U114" s="145">
        <v>12.85550794416335</v>
      </c>
      <c r="V114" s="145">
        <v>16.790828106161083</v>
      </c>
      <c r="W114" s="145">
        <v>16.960167088488106</v>
      </c>
      <c r="X114" s="145">
        <v>21.407963882509627</v>
      </c>
      <c r="Y114" s="145">
        <v>24.863790917865348</v>
      </c>
      <c r="Z114" s="145">
        <v>42.248920573596656</v>
      </c>
      <c r="AA114" s="145">
        <v>37.687172960508761</v>
      </c>
      <c r="AB114" s="145">
        <v>31.282217014684871</v>
      </c>
      <c r="BB114" s="136">
        <v>121.67</v>
      </c>
      <c r="BC114" s="136">
        <v>120.69</v>
      </c>
      <c r="BD114" s="136">
        <v>121.67</v>
      </c>
      <c r="BE114" s="136">
        <v>122.83</v>
      </c>
      <c r="BF114" s="136">
        <v>122.06</v>
      </c>
      <c r="BG114" s="136">
        <v>122.12</v>
      </c>
      <c r="BH114" s="136">
        <v>122.69</v>
      </c>
      <c r="BI114" s="136">
        <v>122.9</v>
      </c>
      <c r="BJ114" s="136">
        <v>122.78</v>
      </c>
      <c r="BK114" s="136">
        <v>122.5</v>
      </c>
      <c r="BM114" s="145">
        <v>12.85550794416335</v>
      </c>
      <c r="BN114" s="145">
        <v>5.4773067962811544</v>
      </c>
      <c r="BO114" s="145">
        <v>12.85550794416335</v>
      </c>
      <c r="BP114" s="145">
        <v>16.790828106161083</v>
      </c>
      <c r="BQ114" s="145">
        <v>16.960167088488106</v>
      </c>
      <c r="BR114" s="145">
        <v>21.407963882509627</v>
      </c>
      <c r="BS114" s="145">
        <v>24.863790917865348</v>
      </c>
      <c r="BT114" s="145">
        <v>42.248920573596656</v>
      </c>
      <c r="BU114" s="145">
        <v>37.687172960508761</v>
      </c>
      <c r="BV114" s="145">
        <v>31.282217014684871</v>
      </c>
    </row>
    <row r="115" spans="1:74" x14ac:dyDescent="0.25">
      <c r="A115" s="141">
        <v>42837</v>
      </c>
      <c r="B115" s="142">
        <v>0.48749999999999999</v>
      </c>
      <c r="C115" s="143">
        <v>122.4</v>
      </c>
      <c r="E115" s="144">
        <v>122.1</v>
      </c>
      <c r="F115" s="145">
        <v>0.3</v>
      </c>
      <c r="I115" s="143">
        <v>121.7</v>
      </c>
      <c r="J115" s="143">
        <v>120.9</v>
      </c>
      <c r="K115" s="143">
        <v>121.7</v>
      </c>
      <c r="L115" s="143">
        <v>122.88</v>
      </c>
      <c r="M115" s="143">
        <v>122.08</v>
      </c>
      <c r="N115" s="143">
        <v>122.11</v>
      </c>
      <c r="O115" s="143">
        <v>121.76</v>
      </c>
      <c r="P115" s="143">
        <v>121.82</v>
      </c>
      <c r="Q115" s="143">
        <v>121.76</v>
      </c>
      <c r="S115" s="145">
        <v>13.429584754911792</v>
      </c>
      <c r="T115" s="145">
        <v>5.9548030892918735</v>
      </c>
      <c r="U115" s="145">
        <v>13.429584754911792</v>
      </c>
      <c r="V115" s="145">
        <v>17.544131639254456</v>
      </c>
      <c r="W115" s="145">
        <v>17.586737675958815</v>
      </c>
      <c r="X115" s="145">
        <v>22.038877649804963</v>
      </c>
      <c r="Y115" s="145">
        <v>25.445853932570596</v>
      </c>
      <c r="Z115" s="145">
        <v>42.839080891422519</v>
      </c>
      <c r="AA115" s="145">
        <v>38.269235975214009</v>
      </c>
      <c r="AB115" s="145">
        <v>31.9566984559807</v>
      </c>
      <c r="BB115" s="136">
        <v>121.7</v>
      </c>
      <c r="BC115" s="136">
        <v>120.9</v>
      </c>
      <c r="BD115" s="136">
        <v>121.7</v>
      </c>
      <c r="BE115" s="136">
        <v>122.88</v>
      </c>
      <c r="BF115" s="136">
        <v>122.08</v>
      </c>
      <c r="BG115" s="136">
        <v>122.11</v>
      </c>
      <c r="BH115" s="136">
        <v>121.76</v>
      </c>
      <c r="BI115" s="136">
        <v>121.82</v>
      </c>
      <c r="BJ115" s="136">
        <v>121.76</v>
      </c>
      <c r="BK115" s="136">
        <v>122.4</v>
      </c>
      <c r="BM115" s="145">
        <v>13.429584754911792</v>
      </c>
      <c r="BN115" s="145">
        <v>5.9548030892918735</v>
      </c>
      <c r="BO115" s="145">
        <v>13.429584754911792</v>
      </c>
      <c r="BP115" s="145">
        <v>17.544131639254456</v>
      </c>
      <c r="BQ115" s="145">
        <v>17.586737675958815</v>
      </c>
      <c r="BR115" s="145">
        <v>22.038877649804963</v>
      </c>
      <c r="BS115" s="145">
        <v>25.445853932570596</v>
      </c>
      <c r="BT115" s="145">
        <v>42.839080891422519</v>
      </c>
      <c r="BU115" s="145">
        <v>38.269235975214009</v>
      </c>
      <c r="BV115" s="145">
        <v>31.9566984559807</v>
      </c>
    </row>
    <row r="116" spans="1:74" x14ac:dyDescent="0.25">
      <c r="A116" s="141">
        <v>42837</v>
      </c>
      <c r="B116" s="142">
        <v>0.48784722222222227</v>
      </c>
      <c r="C116" s="143">
        <v>122.5</v>
      </c>
      <c r="E116" s="144">
        <v>122.1</v>
      </c>
      <c r="F116" s="145">
        <v>0.4</v>
      </c>
      <c r="I116" s="143">
        <v>121.74</v>
      </c>
      <c r="J116" s="143">
        <v>121.08</v>
      </c>
      <c r="K116" s="143">
        <v>121.74</v>
      </c>
      <c r="L116" s="143">
        <v>122.91</v>
      </c>
      <c r="M116" s="143">
        <v>122.09</v>
      </c>
      <c r="N116" s="143">
        <v>122.12</v>
      </c>
      <c r="O116" s="143">
        <v>122.59</v>
      </c>
      <c r="P116" s="143">
        <v>122.78</v>
      </c>
      <c r="Q116" s="143">
        <v>122.67</v>
      </c>
      <c r="S116" s="145">
        <v>14.008973432989356</v>
      </c>
      <c r="T116" s="145">
        <v>6.4525057979676372</v>
      </c>
      <c r="U116" s="145">
        <v>14.008973432989356</v>
      </c>
      <c r="V116" s="145">
        <v>18.302656822984126</v>
      </c>
      <c r="W116" s="145">
        <v>18.214752657806255</v>
      </c>
      <c r="X116" s="145">
        <v>22.671245823540541</v>
      </c>
      <c r="Y116" s="145">
        <v>26.150498331781534</v>
      </c>
      <c r="Z116" s="145">
        <v>43.575237142638876</v>
      </c>
      <c r="AA116" s="145">
        <v>38.986980691890835</v>
      </c>
      <c r="AB116" s="145">
        <v>32.64689058828214</v>
      </c>
      <c r="BB116" s="136">
        <v>121.74</v>
      </c>
      <c r="BC116" s="136">
        <v>121.08</v>
      </c>
      <c r="BD116" s="136">
        <v>121.74</v>
      </c>
      <c r="BE116" s="136">
        <v>122.91</v>
      </c>
      <c r="BF116" s="136">
        <v>122.09</v>
      </c>
      <c r="BG116" s="136">
        <v>122.12</v>
      </c>
      <c r="BH116" s="136">
        <v>122.59</v>
      </c>
      <c r="BI116" s="136">
        <v>122.78</v>
      </c>
      <c r="BJ116" s="136">
        <v>122.67</v>
      </c>
      <c r="BK116" s="136">
        <v>122.5</v>
      </c>
      <c r="BM116" s="145">
        <v>14.008973432989356</v>
      </c>
      <c r="BN116" s="145">
        <v>6.4525057979676372</v>
      </c>
      <c r="BO116" s="145">
        <v>14.008973432989356</v>
      </c>
      <c r="BP116" s="145">
        <v>18.302656822984126</v>
      </c>
      <c r="BQ116" s="145">
        <v>18.214752657806255</v>
      </c>
      <c r="BR116" s="145">
        <v>22.671245823540541</v>
      </c>
      <c r="BS116" s="145">
        <v>26.150498331781534</v>
      </c>
      <c r="BT116" s="145">
        <v>43.575237142638876</v>
      </c>
      <c r="BU116" s="145">
        <v>38.986980691890835</v>
      </c>
      <c r="BV116" s="145">
        <v>32.64689058828214</v>
      </c>
    </row>
    <row r="117" spans="1:74" x14ac:dyDescent="0.25">
      <c r="A117" s="141">
        <v>42837</v>
      </c>
      <c r="B117" s="142">
        <v>0.48819444444444443</v>
      </c>
      <c r="C117" s="143">
        <v>122.38</v>
      </c>
      <c r="E117" s="144">
        <v>122.1</v>
      </c>
      <c r="F117" s="145">
        <v>0.3</v>
      </c>
      <c r="I117" s="143">
        <v>121.78</v>
      </c>
      <c r="J117" s="143">
        <v>121.26</v>
      </c>
      <c r="K117" s="143">
        <v>121.78</v>
      </c>
      <c r="L117" s="143">
        <v>122.96</v>
      </c>
      <c r="M117" s="143">
        <v>122.1</v>
      </c>
      <c r="N117" s="143">
        <v>122.1</v>
      </c>
      <c r="O117" s="143">
        <v>122.15</v>
      </c>
      <c r="P117" s="143">
        <v>122.23</v>
      </c>
      <c r="Q117" s="143">
        <v>122.26</v>
      </c>
      <c r="S117" s="145">
        <v>14.593723128499292</v>
      </c>
      <c r="T117" s="145">
        <v>6.9712700058766446</v>
      </c>
      <c r="U117" s="145">
        <v>14.593723128499292</v>
      </c>
      <c r="V117" s="145">
        <v>19.069965314383772</v>
      </c>
      <c r="W117" s="145">
        <v>18.844215363703338</v>
      </c>
      <c r="X117" s="145">
        <v>23.300708529437625</v>
      </c>
      <c r="Y117" s="145">
        <v>26.787249872289866</v>
      </c>
      <c r="Z117" s="145">
        <v>44.223826778130856</v>
      </c>
      <c r="AA117" s="145">
        <v>39.640066135956758</v>
      </c>
      <c r="AB117" s="145">
        <v>33.31827306885107</v>
      </c>
      <c r="BB117" s="136">
        <v>121.78</v>
      </c>
      <c r="BC117" s="136">
        <v>121.26</v>
      </c>
      <c r="BD117" s="136">
        <v>121.78</v>
      </c>
      <c r="BE117" s="136">
        <v>122.96</v>
      </c>
      <c r="BF117" s="136">
        <v>122.1</v>
      </c>
      <c r="BG117" s="136">
        <v>122.1</v>
      </c>
      <c r="BH117" s="136">
        <v>122.15</v>
      </c>
      <c r="BI117" s="136">
        <v>122.23</v>
      </c>
      <c r="BJ117" s="136">
        <v>122.26</v>
      </c>
      <c r="BK117" s="136">
        <v>122.38</v>
      </c>
      <c r="BM117" s="145">
        <v>14.593723128499292</v>
      </c>
      <c r="BN117" s="145">
        <v>6.9712700058766446</v>
      </c>
      <c r="BO117" s="145">
        <v>14.593723128499292</v>
      </c>
      <c r="BP117" s="145">
        <v>19.069965314383772</v>
      </c>
      <c r="BQ117" s="145">
        <v>18.844215363703338</v>
      </c>
      <c r="BR117" s="145">
        <v>23.300708529437625</v>
      </c>
      <c r="BS117" s="145">
        <v>26.787249872289866</v>
      </c>
      <c r="BT117" s="145">
        <v>44.223826778130856</v>
      </c>
      <c r="BU117" s="145">
        <v>39.640066135956758</v>
      </c>
      <c r="BV117" s="145">
        <v>33.31827306885107</v>
      </c>
    </row>
    <row r="118" spans="1:74" x14ac:dyDescent="0.25">
      <c r="A118" s="141">
        <v>42837</v>
      </c>
      <c r="B118" s="142">
        <v>0.48854166666666665</v>
      </c>
      <c r="C118" s="143">
        <v>122.51</v>
      </c>
      <c r="E118" s="144">
        <v>122.2</v>
      </c>
      <c r="F118" s="145">
        <v>0.3</v>
      </c>
      <c r="I118" s="143">
        <v>121.79</v>
      </c>
      <c r="J118" s="143">
        <v>121.43</v>
      </c>
      <c r="K118" s="143">
        <v>121.79</v>
      </c>
      <c r="L118" s="143">
        <v>122.99</v>
      </c>
      <c r="M118" s="143">
        <v>122.1</v>
      </c>
      <c r="N118" s="143">
        <v>122.13</v>
      </c>
      <c r="O118" s="143">
        <v>122.53</v>
      </c>
      <c r="P118" s="143">
        <v>122.7</v>
      </c>
      <c r="Q118" s="143">
        <v>122.59</v>
      </c>
      <c r="S118" s="145">
        <v>15.179820811273359</v>
      </c>
      <c r="T118" s="145">
        <v>7.5107433669915604</v>
      </c>
      <c r="U118" s="145">
        <v>15.179820811273359</v>
      </c>
      <c r="V118" s="145">
        <v>19.842592534152978</v>
      </c>
      <c r="W118" s="145">
        <v>19.473678069600421</v>
      </c>
      <c r="X118" s="145">
        <v>23.934534462366546</v>
      </c>
      <c r="Y118" s="145">
        <v>27.482226187896543</v>
      </c>
      <c r="Z118" s="145">
        <v>44.946546663503824</v>
      </c>
      <c r="AA118" s="145">
        <v>40.3447105351677</v>
      </c>
      <c r="AB118" s="145">
        <v>34.010056258336959</v>
      </c>
      <c r="BB118" s="136">
        <v>121.79</v>
      </c>
      <c r="BC118" s="136">
        <v>121.43</v>
      </c>
      <c r="BD118" s="136">
        <v>121.79</v>
      </c>
      <c r="BE118" s="136">
        <v>122.99</v>
      </c>
      <c r="BF118" s="136">
        <v>122.1</v>
      </c>
      <c r="BG118" s="136">
        <v>122.13</v>
      </c>
      <c r="BH118" s="136">
        <v>122.53</v>
      </c>
      <c r="BI118" s="136">
        <v>122.7</v>
      </c>
      <c r="BJ118" s="136">
        <v>122.59</v>
      </c>
      <c r="BK118" s="136">
        <v>122.51</v>
      </c>
      <c r="BM118" s="145">
        <v>15.179820811273359</v>
      </c>
      <c r="BN118" s="145">
        <v>7.5107433669915604</v>
      </c>
      <c r="BO118" s="145">
        <v>15.179820811273359</v>
      </c>
      <c r="BP118" s="145">
        <v>19.842592534152978</v>
      </c>
      <c r="BQ118" s="145">
        <v>19.473678069600421</v>
      </c>
      <c r="BR118" s="145">
        <v>23.934534462366546</v>
      </c>
      <c r="BS118" s="145">
        <v>27.482226187896543</v>
      </c>
      <c r="BT118" s="145">
        <v>44.946546663503824</v>
      </c>
      <c r="BU118" s="145">
        <v>40.3447105351677</v>
      </c>
      <c r="BV118" s="145">
        <v>34.010056258336959</v>
      </c>
    </row>
    <row r="119" spans="1:74" x14ac:dyDescent="0.25">
      <c r="A119" s="141">
        <v>42837</v>
      </c>
      <c r="B119" s="142">
        <v>0.48888888888888887</v>
      </c>
      <c r="C119" s="143">
        <v>122.37</v>
      </c>
      <c r="E119" s="144">
        <v>122.1</v>
      </c>
      <c r="F119" s="145">
        <v>0.3</v>
      </c>
      <c r="I119" s="143">
        <v>121.84</v>
      </c>
      <c r="J119" s="143">
        <v>121.59</v>
      </c>
      <c r="K119" s="143">
        <v>121.84</v>
      </c>
      <c r="L119" s="143">
        <v>123.01</v>
      </c>
      <c r="M119" s="143">
        <v>122.11</v>
      </c>
      <c r="N119" s="143">
        <v>122.12</v>
      </c>
      <c r="O119" s="143">
        <v>122.33</v>
      </c>
      <c r="P119" s="143">
        <v>122.42</v>
      </c>
      <c r="Q119" s="143">
        <v>122.46</v>
      </c>
      <c r="S119" s="145">
        <v>15.772705185356941</v>
      </c>
      <c r="T119" s="145">
        <v>8.070462308725137</v>
      </c>
      <c r="U119" s="145">
        <v>15.772705185356941</v>
      </c>
      <c r="V119" s="145">
        <v>20.618786039132022</v>
      </c>
      <c r="W119" s="145">
        <v>20.104591836895757</v>
      </c>
      <c r="X119" s="145">
        <v>24.566902636102125</v>
      </c>
      <c r="Y119" s="145">
        <v>28.145923416761413</v>
      </c>
      <c r="Z119" s="145">
        <v>45.624141369679343</v>
      </c>
      <c r="AA119" s="145">
        <v>41.028574947965623</v>
      </c>
      <c r="AB119" s="145">
        <v>34.679894602049927</v>
      </c>
      <c r="BB119" s="136">
        <v>121.84</v>
      </c>
      <c r="BC119" s="136">
        <v>121.59</v>
      </c>
      <c r="BD119" s="136">
        <v>121.84</v>
      </c>
      <c r="BE119" s="136">
        <v>123.01</v>
      </c>
      <c r="BF119" s="136">
        <v>122.11</v>
      </c>
      <c r="BG119" s="136">
        <v>122.12</v>
      </c>
      <c r="BH119" s="136">
        <v>122.33</v>
      </c>
      <c r="BI119" s="136">
        <v>122.42</v>
      </c>
      <c r="BJ119" s="136">
        <v>122.46</v>
      </c>
      <c r="BK119" s="136">
        <v>122.37</v>
      </c>
      <c r="BM119" s="145">
        <v>15.772705185356941</v>
      </c>
      <c r="BN119" s="145">
        <v>8.070462308725137</v>
      </c>
      <c r="BO119" s="145">
        <v>15.772705185356941</v>
      </c>
      <c r="BP119" s="145">
        <v>20.618786039132022</v>
      </c>
      <c r="BQ119" s="145">
        <v>20.104591836895757</v>
      </c>
      <c r="BR119" s="145">
        <v>24.566902636102125</v>
      </c>
      <c r="BS119" s="145">
        <v>28.145923416761413</v>
      </c>
      <c r="BT119" s="145">
        <v>45.624141369679343</v>
      </c>
      <c r="BU119" s="145">
        <v>41.028574947965623</v>
      </c>
      <c r="BV119" s="145">
        <v>34.679894602049927</v>
      </c>
    </row>
    <row r="120" spans="1:74" x14ac:dyDescent="0.25">
      <c r="A120" s="141">
        <v>42837</v>
      </c>
      <c r="B120" s="142">
        <v>0.48923611111111115</v>
      </c>
      <c r="C120" s="143">
        <v>122.52</v>
      </c>
      <c r="E120" s="144">
        <v>122.2</v>
      </c>
      <c r="F120" s="145">
        <v>0.3</v>
      </c>
      <c r="I120" s="143">
        <v>121.86</v>
      </c>
      <c r="J120" s="143">
        <v>121.73</v>
      </c>
      <c r="K120" s="143">
        <v>121.86</v>
      </c>
      <c r="L120" s="143">
        <v>123.04</v>
      </c>
      <c r="M120" s="143">
        <v>122.12</v>
      </c>
      <c r="N120" s="143">
        <v>122.15</v>
      </c>
      <c r="O120" s="143">
        <v>122.46</v>
      </c>
      <c r="P120" s="143">
        <v>122.6</v>
      </c>
      <c r="Q120" s="143">
        <v>122.48</v>
      </c>
      <c r="S120" s="145">
        <v>16.368326189370627</v>
      </c>
      <c r="T120" s="145">
        <v>8.6485184298211877</v>
      </c>
      <c r="U120" s="145">
        <v>16.368326189370627</v>
      </c>
      <c r="V120" s="145">
        <v>21.4003598604525</v>
      </c>
      <c r="W120" s="145">
        <v>20.736960010631336</v>
      </c>
      <c r="X120" s="145">
        <v>25.203654176610456</v>
      </c>
      <c r="Y120" s="145">
        <v>28.829787829559336</v>
      </c>
      <c r="Z120" s="145">
        <v>46.330410141990718</v>
      </c>
      <c r="AA120" s="145">
        <v>41.715595935471882</v>
      </c>
      <c r="AB120" s="145">
        <v>35.373272516485869</v>
      </c>
      <c r="BB120" s="136">
        <v>121.86</v>
      </c>
      <c r="BC120" s="136">
        <v>121.73</v>
      </c>
      <c r="BD120" s="136">
        <v>121.86</v>
      </c>
      <c r="BE120" s="136">
        <v>123.04</v>
      </c>
      <c r="BF120" s="136">
        <v>122.12</v>
      </c>
      <c r="BG120" s="136">
        <v>122.15</v>
      </c>
      <c r="BH120" s="136">
        <v>122.46</v>
      </c>
      <c r="BI120" s="136">
        <v>122.6</v>
      </c>
      <c r="BJ120" s="136">
        <v>122.48</v>
      </c>
      <c r="BK120" s="136">
        <v>122.52</v>
      </c>
      <c r="BM120" s="145">
        <v>16.368326189370627</v>
      </c>
      <c r="BN120" s="145">
        <v>8.6485184298211877</v>
      </c>
      <c r="BO120" s="145">
        <v>16.368326189370627</v>
      </c>
      <c r="BP120" s="145">
        <v>21.4003598604525</v>
      </c>
      <c r="BQ120" s="145">
        <v>20.736960010631336</v>
      </c>
      <c r="BR120" s="145">
        <v>25.203654176610456</v>
      </c>
      <c r="BS120" s="145">
        <v>28.829787829559336</v>
      </c>
      <c r="BT120" s="145">
        <v>46.330410141990718</v>
      </c>
      <c r="BU120" s="145">
        <v>41.715595935471882</v>
      </c>
      <c r="BV120" s="145">
        <v>35.373272516485869</v>
      </c>
    </row>
    <row r="121" spans="1:74" x14ac:dyDescent="0.25">
      <c r="A121" s="141">
        <v>42837</v>
      </c>
      <c r="B121" s="142">
        <v>0.48958333333333331</v>
      </c>
      <c r="C121" s="143">
        <v>122.37</v>
      </c>
      <c r="E121" s="144">
        <v>122.1</v>
      </c>
      <c r="F121" s="145">
        <v>0.3</v>
      </c>
      <c r="I121" s="143">
        <v>121.89</v>
      </c>
      <c r="J121" s="143">
        <v>121.87</v>
      </c>
      <c r="K121" s="143">
        <v>121.89</v>
      </c>
      <c r="L121" s="143">
        <v>123.08</v>
      </c>
      <c r="M121" s="143">
        <v>122.13</v>
      </c>
      <c r="N121" s="143">
        <v>122.14</v>
      </c>
      <c r="O121" s="143">
        <v>122.85</v>
      </c>
      <c r="P121" s="143">
        <v>123.01</v>
      </c>
      <c r="Q121" s="143">
        <v>122.98</v>
      </c>
      <c r="S121" s="145">
        <v>16.968075840945318</v>
      </c>
      <c r="T121" s="145">
        <v>9.245512482053325</v>
      </c>
      <c r="U121" s="145">
        <v>16.968075840945318</v>
      </c>
      <c r="V121" s="145">
        <v>22.189165495302177</v>
      </c>
      <c r="W121" s="145">
        <v>21.370785943560257</v>
      </c>
      <c r="X121" s="145">
        <v>25.838941229214729</v>
      </c>
      <c r="Y121" s="145">
        <v>29.577905657606554</v>
      </c>
      <c r="Z121" s="145">
        <v>47.106603646969759</v>
      </c>
      <c r="AA121" s="145">
        <v>42.48644616194666</v>
      </c>
      <c r="AB121" s="145">
        <v>36.043110860198837</v>
      </c>
      <c r="BB121" s="136">
        <v>121.89</v>
      </c>
      <c r="BC121" s="136">
        <v>121.87</v>
      </c>
      <c r="BD121" s="136">
        <v>121.89</v>
      </c>
      <c r="BE121" s="136">
        <v>123.08</v>
      </c>
      <c r="BF121" s="136">
        <v>122.13</v>
      </c>
      <c r="BG121" s="136">
        <v>122.14</v>
      </c>
      <c r="BH121" s="136">
        <v>122.85</v>
      </c>
      <c r="BI121" s="136">
        <v>123.01</v>
      </c>
      <c r="BJ121" s="136">
        <v>122.98</v>
      </c>
      <c r="BK121" s="136">
        <v>122.37</v>
      </c>
      <c r="BM121" s="145">
        <v>16.968075840945318</v>
      </c>
      <c r="BN121" s="145">
        <v>9.245512482053325</v>
      </c>
      <c r="BO121" s="145">
        <v>16.968075840945318</v>
      </c>
      <c r="BP121" s="145">
        <v>22.189165495302177</v>
      </c>
      <c r="BQ121" s="145">
        <v>21.370785943560257</v>
      </c>
      <c r="BR121" s="145">
        <v>25.838941229214729</v>
      </c>
      <c r="BS121" s="145">
        <v>29.577905657606554</v>
      </c>
      <c r="BT121" s="145">
        <v>47.106603646969759</v>
      </c>
      <c r="BU121" s="145">
        <v>42.48644616194666</v>
      </c>
      <c r="BV121" s="145">
        <v>36.043110860198837</v>
      </c>
    </row>
    <row r="122" spans="1:74" x14ac:dyDescent="0.25">
      <c r="A122" s="141">
        <v>42837</v>
      </c>
      <c r="B122" s="142">
        <v>0.48993055555555554</v>
      </c>
      <c r="C122" s="143">
        <v>122.52</v>
      </c>
      <c r="E122" s="144">
        <v>122.2</v>
      </c>
      <c r="F122" s="145">
        <v>0.3</v>
      </c>
      <c r="I122" s="143">
        <v>121.91</v>
      </c>
      <c r="J122" s="143">
        <v>122.01</v>
      </c>
      <c r="K122" s="143">
        <v>121.91</v>
      </c>
      <c r="L122" s="143">
        <v>123.11</v>
      </c>
      <c r="M122" s="143">
        <v>122.14</v>
      </c>
      <c r="N122" s="143">
        <v>122.18</v>
      </c>
      <c r="O122" s="143">
        <v>122.33</v>
      </c>
      <c r="P122" s="143">
        <v>122.45</v>
      </c>
      <c r="Q122" s="143">
        <v>122.34</v>
      </c>
      <c r="S122" s="145">
        <v>17.570593811131218</v>
      </c>
      <c r="T122" s="145">
        <v>9.8620648986677804</v>
      </c>
      <c r="U122" s="145">
        <v>17.570593811131218</v>
      </c>
      <c r="V122" s="145">
        <v>22.983438869601066</v>
      </c>
      <c r="W122" s="145">
        <v>22.00607299616453</v>
      </c>
      <c r="X122" s="145">
        <v>26.480106520542741</v>
      </c>
      <c r="Y122" s="145">
        <v>30.241602886471423</v>
      </c>
      <c r="Z122" s="145">
        <v>47.788895215264226</v>
      </c>
      <c r="AA122" s="145">
        <v>43.151673370935704</v>
      </c>
      <c r="AB122" s="145">
        <v>36.736488774634779</v>
      </c>
      <c r="BB122" s="136">
        <v>121.91</v>
      </c>
      <c r="BC122" s="136">
        <v>122.01</v>
      </c>
      <c r="BD122" s="136">
        <v>121.91</v>
      </c>
      <c r="BE122" s="136">
        <v>123.11</v>
      </c>
      <c r="BF122" s="136">
        <v>122.14</v>
      </c>
      <c r="BG122" s="136">
        <v>122.18</v>
      </c>
      <c r="BH122" s="136">
        <v>122.33</v>
      </c>
      <c r="BI122" s="136">
        <v>122.45</v>
      </c>
      <c r="BJ122" s="136">
        <v>122.34</v>
      </c>
      <c r="BK122" s="136">
        <v>122.52</v>
      </c>
      <c r="BM122" s="145">
        <v>17.570593811131218</v>
      </c>
      <c r="BN122" s="145">
        <v>9.8620648986677804</v>
      </c>
      <c r="BO122" s="145">
        <v>17.570593811131218</v>
      </c>
      <c r="BP122" s="145">
        <v>22.983438869601066</v>
      </c>
      <c r="BQ122" s="145">
        <v>22.00607299616453</v>
      </c>
      <c r="BR122" s="145">
        <v>26.480106520542741</v>
      </c>
      <c r="BS122" s="145">
        <v>30.241602886471423</v>
      </c>
      <c r="BT122" s="145">
        <v>47.788895215264226</v>
      </c>
      <c r="BU122" s="145">
        <v>43.151673370935704</v>
      </c>
      <c r="BV122" s="145">
        <v>36.736488774634779</v>
      </c>
    </row>
    <row r="123" spans="1:74" x14ac:dyDescent="0.25">
      <c r="A123" s="141">
        <v>42837</v>
      </c>
      <c r="B123" s="142">
        <v>0.49027777777777781</v>
      </c>
      <c r="C123" s="143">
        <v>122.4</v>
      </c>
      <c r="E123" s="144">
        <v>122.2</v>
      </c>
      <c r="F123" s="145">
        <v>0.2</v>
      </c>
      <c r="I123" s="143">
        <v>121.93</v>
      </c>
      <c r="J123" s="143">
        <v>122.13</v>
      </c>
      <c r="K123" s="143">
        <v>121.93</v>
      </c>
      <c r="L123" s="143">
        <v>123.13</v>
      </c>
      <c r="M123" s="143">
        <v>122.15</v>
      </c>
      <c r="N123" s="143">
        <v>122.13</v>
      </c>
      <c r="O123" s="143">
        <v>122.85</v>
      </c>
      <c r="P123" s="143">
        <v>123.01</v>
      </c>
      <c r="Q123" s="143">
        <v>122.96</v>
      </c>
      <c r="S123" s="145">
        <v>18.17589287790646</v>
      </c>
      <c r="T123" s="145">
        <v>10.495890831596704</v>
      </c>
      <c r="U123" s="145">
        <v>18.17589287790646</v>
      </c>
      <c r="V123" s="145">
        <v>23.781378443219435</v>
      </c>
      <c r="W123" s="145">
        <v>22.642824536672862</v>
      </c>
      <c r="X123" s="145">
        <v>27.113932453471662</v>
      </c>
      <c r="Y123" s="145">
        <v>30.98972071451864</v>
      </c>
      <c r="Z123" s="145">
        <v>48.565088720243267</v>
      </c>
      <c r="AA123" s="145">
        <v>43.91898186233535</v>
      </c>
      <c r="AB123" s="145">
        <v>37.410970215930611</v>
      </c>
      <c r="BB123" s="136">
        <v>121.93</v>
      </c>
      <c r="BC123" s="136">
        <v>122.13</v>
      </c>
      <c r="BD123" s="136">
        <v>121.93</v>
      </c>
      <c r="BE123" s="136">
        <v>123.13</v>
      </c>
      <c r="BF123" s="136">
        <v>122.15</v>
      </c>
      <c r="BG123" s="136">
        <v>122.13</v>
      </c>
      <c r="BH123" s="136">
        <v>122.85</v>
      </c>
      <c r="BI123" s="136">
        <v>123.01</v>
      </c>
      <c r="BJ123" s="136">
        <v>122.96</v>
      </c>
      <c r="BK123" s="136">
        <v>122.4</v>
      </c>
      <c r="BM123" s="145">
        <v>18.17589287790646</v>
      </c>
      <c r="BN123" s="145">
        <v>10.495890831596704</v>
      </c>
      <c r="BO123" s="145">
        <v>18.17589287790646</v>
      </c>
      <c r="BP123" s="145">
        <v>23.781378443219435</v>
      </c>
      <c r="BQ123" s="145">
        <v>22.642824536672862</v>
      </c>
      <c r="BR123" s="145">
        <v>27.113932453471662</v>
      </c>
      <c r="BS123" s="145">
        <v>30.98972071451864</v>
      </c>
      <c r="BT123" s="145">
        <v>48.565088720243267</v>
      </c>
      <c r="BU123" s="145">
        <v>43.91898186233535</v>
      </c>
      <c r="BV123" s="145">
        <v>37.410970215930611</v>
      </c>
    </row>
    <row r="124" spans="1:74" x14ac:dyDescent="0.25">
      <c r="A124" s="141">
        <v>42837</v>
      </c>
      <c r="B124" s="142">
        <v>0.49062500000000003</v>
      </c>
      <c r="C124" s="143">
        <v>122.5</v>
      </c>
      <c r="E124" s="144">
        <v>122.2</v>
      </c>
      <c r="F124" s="145">
        <v>0.3</v>
      </c>
      <c r="I124" s="143">
        <v>121.95</v>
      </c>
      <c r="J124" s="143">
        <v>122.25</v>
      </c>
      <c r="K124" s="143">
        <v>121.95</v>
      </c>
      <c r="L124" s="143">
        <v>123.15</v>
      </c>
      <c r="M124" s="143">
        <v>122.16</v>
      </c>
      <c r="N124" s="143">
        <v>122.17</v>
      </c>
      <c r="O124" s="143">
        <v>122.16</v>
      </c>
      <c r="P124" s="143">
        <v>122.25</v>
      </c>
      <c r="Q124" s="143">
        <v>122.14</v>
      </c>
      <c r="S124" s="145">
        <v>18.783985878229643</v>
      </c>
      <c r="T124" s="145">
        <v>11.147474220822854</v>
      </c>
      <c r="U124" s="145">
        <v>18.783985878229643</v>
      </c>
      <c r="V124" s="145">
        <v>24.583001138564459</v>
      </c>
      <c r="W124" s="145">
        <v>23.281043941078533</v>
      </c>
      <c r="X124" s="145">
        <v>27.753623105550425</v>
      </c>
      <c r="Y124" s="145">
        <v>31.627940118924311</v>
      </c>
      <c r="Z124" s="145">
        <v>49.216672109469421</v>
      </c>
      <c r="AA124" s="145">
        <v>44.55426891493962</v>
      </c>
      <c r="AB124" s="145">
        <v>38.101162348232052</v>
      </c>
      <c r="BB124" s="136">
        <v>121.95</v>
      </c>
      <c r="BC124" s="136">
        <v>122.25</v>
      </c>
      <c r="BD124" s="136">
        <v>121.95</v>
      </c>
      <c r="BE124" s="136">
        <v>123.15</v>
      </c>
      <c r="BF124" s="136">
        <v>122.16</v>
      </c>
      <c r="BG124" s="136">
        <v>122.17</v>
      </c>
      <c r="BH124" s="136">
        <v>122.16</v>
      </c>
      <c r="BI124" s="136">
        <v>122.25</v>
      </c>
      <c r="BJ124" s="136">
        <v>122.14</v>
      </c>
      <c r="BK124" s="136">
        <v>122.5</v>
      </c>
      <c r="BM124" s="145">
        <v>18.783985878229643</v>
      </c>
      <c r="BN124" s="145">
        <v>11.147474220822854</v>
      </c>
      <c r="BO124" s="145">
        <v>18.783985878229643</v>
      </c>
      <c r="BP124" s="145">
        <v>24.583001138564459</v>
      </c>
      <c r="BQ124" s="145">
        <v>23.281043941078533</v>
      </c>
      <c r="BR124" s="145">
        <v>27.753623105550425</v>
      </c>
      <c r="BS124" s="145">
        <v>31.627940118924311</v>
      </c>
      <c r="BT124" s="145">
        <v>49.216672109469421</v>
      </c>
      <c r="BU124" s="145">
        <v>44.55426891493962</v>
      </c>
      <c r="BV124" s="145">
        <v>38.101162348232052</v>
      </c>
    </row>
    <row r="125" spans="1:74" x14ac:dyDescent="0.25">
      <c r="A125" s="141">
        <v>42837</v>
      </c>
      <c r="B125" s="142">
        <v>0.4909722222222222</v>
      </c>
      <c r="C125" s="143">
        <v>122.41</v>
      </c>
      <c r="E125" s="144">
        <v>122.2</v>
      </c>
      <c r="F125" s="145">
        <v>0.2</v>
      </c>
      <c r="I125" s="143">
        <v>121.98</v>
      </c>
      <c r="J125" s="143">
        <v>122.36</v>
      </c>
      <c r="K125" s="143">
        <v>121.98</v>
      </c>
      <c r="L125" s="143">
        <v>123.18</v>
      </c>
      <c r="M125" s="143">
        <v>122.16</v>
      </c>
      <c r="N125" s="143">
        <v>122.15</v>
      </c>
      <c r="O125" s="143">
        <v>122.89</v>
      </c>
      <c r="P125" s="143">
        <v>123.04</v>
      </c>
      <c r="Q125" s="143">
        <v>122.97</v>
      </c>
      <c r="S125" s="145">
        <v>19.396293977862168</v>
      </c>
      <c r="T125" s="145">
        <v>11.815771979096077</v>
      </c>
      <c r="U125" s="145">
        <v>19.396293977862168</v>
      </c>
      <c r="V125" s="145">
        <v>25.390180416977703</v>
      </c>
      <c r="W125" s="145">
        <v>23.919263345484204</v>
      </c>
      <c r="X125" s="145">
        <v>28.390374646058756</v>
      </c>
      <c r="Y125" s="145">
        <v>32.382980196006386</v>
      </c>
      <c r="Z125" s="145">
        <v>49.998245930789899</v>
      </c>
      <c r="AA125" s="145">
        <v>45.323346235091137</v>
      </c>
      <c r="AB125" s="145">
        <v>38.777198629829194</v>
      </c>
      <c r="BB125" s="136">
        <v>121.98</v>
      </c>
      <c r="BC125" s="136">
        <v>122.36</v>
      </c>
      <c r="BD125" s="136">
        <v>121.98</v>
      </c>
      <c r="BE125" s="136">
        <v>123.18</v>
      </c>
      <c r="BF125" s="136">
        <v>122.16</v>
      </c>
      <c r="BG125" s="136">
        <v>122.15</v>
      </c>
      <c r="BH125" s="136">
        <v>122.89</v>
      </c>
      <c r="BI125" s="136">
        <v>123.04</v>
      </c>
      <c r="BJ125" s="136">
        <v>122.97</v>
      </c>
      <c r="BK125" s="136">
        <v>122.41</v>
      </c>
      <c r="BM125" s="145">
        <v>19.396293977862168</v>
      </c>
      <c r="BN125" s="145">
        <v>11.815771979096077</v>
      </c>
      <c r="BO125" s="145">
        <v>19.396293977862168</v>
      </c>
      <c r="BP125" s="145">
        <v>25.390180416977703</v>
      </c>
      <c r="BQ125" s="145">
        <v>23.919263345484204</v>
      </c>
      <c r="BR125" s="145">
        <v>28.390374646058756</v>
      </c>
      <c r="BS125" s="145">
        <v>32.382980196006386</v>
      </c>
      <c r="BT125" s="145">
        <v>49.998245930789899</v>
      </c>
      <c r="BU125" s="145">
        <v>45.323346235091137</v>
      </c>
      <c r="BV125" s="145">
        <v>38.777198629829194</v>
      </c>
    </row>
    <row r="126" spans="1:74" x14ac:dyDescent="0.25">
      <c r="A126" s="141">
        <v>42837</v>
      </c>
      <c r="B126" s="142">
        <v>0.49131944444444442</v>
      </c>
      <c r="C126" s="143">
        <v>122.48</v>
      </c>
      <c r="E126" s="144">
        <v>122.2</v>
      </c>
      <c r="F126" s="145">
        <v>0.3</v>
      </c>
      <c r="I126" s="143">
        <v>121.99</v>
      </c>
      <c r="J126" s="143">
        <v>122.46</v>
      </c>
      <c r="K126" s="143">
        <v>121.99</v>
      </c>
      <c r="L126" s="143">
        <v>123.19</v>
      </c>
      <c r="M126" s="143">
        <v>122.17</v>
      </c>
      <c r="N126" s="143">
        <v>122.17</v>
      </c>
      <c r="O126" s="143">
        <v>122.05</v>
      </c>
      <c r="P126" s="143">
        <v>122.12</v>
      </c>
      <c r="Q126" s="143">
        <v>122.01</v>
      </c>
      <c r="S126" s="145">
        <v>20.010013593441371</v>
      </c>
      <c r="T126" s="145">
        <v>12.499636391894001</v>
      </c>
      <c r="U126" s="145">
        <v>20.010013593441371</v>
      </c>
      <c r="V126" s="145">
        <v>26.199220435799237</v>
      </c>
      <c r="W126" s="145">
        <v>24.558953997562966</v>
      </c>
      <c r="X126" s="145">
        <v>29.030065298137519</v>
      </c>
      <c r="Y126" s="145">
        <v>33.005237501892076</v>
      </c>
      <c r="Z126" s="145">
        <v>50.630614104525478</v>
      </c>
      <c r="AA126" s="145">
        <v>45.93989865170559</v>
      </c>
      <c r="AB126" s="145">
        <v>39.464219617335452</v>
      </c>
      <c r="BB126" s="136">
        <v>121.99</v>
      </c>
      <c r="BC126" s="136">
        <v>122.46</v>
      </c>
      <c r="BD126" s="136">
        <v>121.99</v>
      </c>
      <c r="BE126" s="136">
        <v>123.19</v>
      </c>
      <c r="BF126" s="136">
        <v>122.17</v>
      </c>
      <c r="BG126" s="136">
        <v>122.17</v>
      </c>
      <c r="BH126" s="136">
        <v>122.05</v>
      </c>
      <c r="BI126" s="136">
        <v>122.12</v>
      </c>
      <c r="BJ126" s="136">
        <v>122.01</v>
      </c>
      <c r="BK126" s="136">
        <v>122.48</v>
      </c>
      <c r="BM126" s="145">
        <v>20.010013593441371</v>
      </c>
      <c r="BN126" s="145">
        <v>12.499636391894001</v>
      </c>
      <c r="BO126" s="145">
        <v>20.010013593441371</v>
      </c>
      <c r="BP126" s="145">
        <v>26.199220435799237</v>
      </c>
      <c r="BQ126" s="145">
        <v>24.558953997562966</v>
      </c>
      <c r="BR126" s="145">
        <v>29.030065298137519</v>
      </c>
      <c r="BS126" s="145">
        <v>33.005237501892076</v>
      </c>
      <c r="BT126" s="145">
        <v>50.630614104525478</v>
      </c>
      <c r="BU126" s="145">
        <v>45.93989865170559</v>
      </c>
      <c r="BV126" s="145">
        <v>39.464219617335452</v>
      </c>
    </row>
    <row r="127" spans="1:74" x14ac:dyDescent="0.25">
      <c r="A127" s="141">
        <v>42837</v>
      </c>
      <c r="B127" s="142">
        <v>0.4916666666666667</v>
      </c>
      <c r="C127" s="143">
        <v>122.43</v>
      </c>
      <c r="E127" s="144">
        <v>122.2</v>
      </c>
      <c r="F127" s="145">
        <v>0.2</v>
      </c>
      <c r="I127" s="143">
        <v>122.01</v>
      </c>
      <c r="J127" s="143">
        <v>122.57</v>
      </c>
      <c r="K127" s="143">
        <v>122.01</v>
      </c>
      <c r="L127" s="143">
        <v>123.22</v>
      </c>
      <c r="M127" s="143">
        <v>122.17</v>
      </c>
      <c r="N127" s="143">
        <v>122.13</v>
      </c>
      <c r="O127" s="143">
        <v>122.78</v>
      </c>
      <c r="P127" s="143">
        <v>122.93</v>
      </c>
      <c r="Q127" s="143">
        <v>122.83</v>
      </c>
      <c r="S127" s="145">
        <v>20.626566010055829</v>
      </c>
      <c r="T127" s="145">
        <v>13.201043244174979</v>
      </c>
      <c r="U127" s="145">
        <v>20.626566010055829</v>
      </c>
      <c r="V127" s="145">
        <v>27.013868452119098</v>
      </c>
      <c r="W127" s="145">
        <v>25.198644649641729</v>
      </c>
      <c r="X127" s="145">
        <v>29.66389123106644</v>
      </c>
      <c r="Y127" s="145">
        <v>33.741393753108433</v>
      </c>
      <c r="Z127" s="145">
        <v>51.392640481424124</v>
      </c>
      <c r="AA127" s="145">
        <v>46.684579190561045</v>
      </c>
      <c r="AB127" s="145">
        <v>40.143376340629032</v>
      </c>
      <c r="BB127" s="136">
        <v>122.01</v>
      </c>
      <c r="BC127" s="136">
        <v>122.57</v>
      </c>
      <c r="BD127" s="136">
        <v>122.01</v>
      </c>
      <c r="BE127" s="136">
        <v>123.22</v>
      </c>
      <c r="BF127" s="136">
        <v>122.17</v>
      </c>
      <c r="BG127" s="136">
        <v>122.13</v>
      </c>
      <c r="BH127" s="136">
        <v>122.78</v>
      </c>
      <c r="BI127" s="136">
        <v>122.93</v>
      </c>
      <c r="BJ127" s="136">
        <v>122.83</v>
      </c>
      <c r="BK127" s="136">
        <v>122.43</v>
      </c>
      <c r="BM127" s="145">
        <v>20.626566010055829</v>
      </c>
      <c r="BN127" s="145">
        <v>13.201043244174979</v>
      </c>
      <c r="BO127" s="145">
        <v>20.626566010055829</v>
      </c>
      <c r="BP127" s="145">
        <v>27.013868452119098</v>
      </c>
      <c r="BQ127" s="145">
        <v>25.198644649641729</v>
      </c>
      <c r="BR127" s="145">
        <v>29.66389123106644</v>
      </c>
      <c r="BS127" s="145">
        <v>33.741393753108433</v>
      </c>
      <c r="BT127" s="145">
        <v>51.392640481424124</v>
      </c>
      <c r="BU127" s="145">
        <v>46.684579190561045</v>
      </c>
      <c r="BV127" s="145">
        <v>40.143376340629032</v>
      </c>
    </row>
    <row r="128" spans="1:74" x14ac:dyDescent="0.25">
      <c r="A128" s="141">
        <v>42837</v>
      </c>
      <c r="B128" s="142">
        <v>0.49201388888888892</v>
      </c>
      <c r="C128" s="143">
        <v>122.46</v>
      </c>
      <c r="E128" s="144">
        <v>122.2</v>
      </c>
      <c r="F128" s="145">
        <v>0.3</v>
      </c>
      <c r="I128" s="143">
        <v>122.03</v>
      </c>
      <c r="J128" s="143">
        <v>122.67</v>
      </c>
      <c r="K128" s="143">
        <v>122.03</v>
      </c>
      <c r="L128" s="143">
        <v>123.23</v>
      </c>
      <c r="M128" s="143">
        <v>122.18</v>
      </c>
      <c r="N128" s="143">
        <v>122.2</v>
      </c>
      <c r="O128" s="143">
        <v>121.96</v>
      </c>
      <c r="P128" s="143">
        <v>122.02</v>
      </c>
      <c r="Q128" s="143">
        <v>121.92</v>
      </c>
      <c r="S128" s="145">
        <v>21.245964303321013</v>
      </c>
      <c r="T128" s="145">
        <v>13.918787960851809</v>
      </c>
      <c r="U128" s="145">
        <v>21.245964303321013</v>
      </c>
      <c r="V128" s="145">
        <v>27.830394426066267</v>
      </c>
      <c r="W128" s="145">
        <v>25.83980994096974</v>
      </c>
      <c r="X128" s="145">
        <v>30.308016006913007</v>
      </c>
      <c r="Y128" s="145">
        <v>34.350888552570865</v>
      </c>
      <c r="Z128" s="145">
        <v>52.010614198146378</v>
      </c>
      <c r="AA128" s="145">
        <v>47.288486108114434</v>
      </c>
      <c r="AB128" s="145">
        <v>40.827240753426956</v>
      </c>
      <c r="BB128" s="136">
        <v>122.03</v>
      </c>
      <c r="BC128" s="136">
        <v>122.67</v>
      </c>
      <c r="BD128" s="136">
        <v>122.03</v>
      </c>
      <c r="BE128" s="136">
        <v>123.23</v>
      </c>
      <c r="BF128" s="136">
        <v>122.18</v>
      </c>
      <c r="BG128" s="136">
        <v>122.2</v>
      </c>
      <c r="BH128" s="136">
        <v>121.96</v>
      </c>
      <c r="BI128" s="136">
        <v>122.02</v>
      </c>
      <c r="BJ128" s="136">
        <v>121.92</v>
      </c>
      <c r="BK128" s="136">
        <v>122.46</v>
      </c>
      <c r="BM128" s="145">
        <v>21.245964303321013</v>
      </c>
      <c r="BN128" s="145">
        <v>13.918787960851809</v>
      </c>
      <c r="BO128" s="145">
        <v>21.245964303321013</v>
      </c>
      <c r="BP128" s="145">
        <v>27.830394426066267</v>
      </c>
      <c r="BQ128" s="145">
        <v>25.83980994096974</v>
      </c>
      <c r="BR128" s="145">
        <v>30.308016006913007</v>
      </c>
      <c r="BS128" s="145">
        <v>34.350888552570865</v>
      </c>
      <c r="BT128" s="145">
        <v>52.010614198146378</v>
      </c>
      <c r="BU128" s="145">
        <v>47.288486108114434</v>
      </c>
      <c r="BV128" s="145">
        <v>40.827240753426956</v>
      </c>
    </row>
    <row r="129" spans="1:74" x14ac:dyDescent="0.25">
      <c r="A129" s="141">
        <v>42837</v>
      </c>
      <c r="B129" s="142">
        <v>0.49236111111111108</v>
      </c>
      <c r="C129" s="143">
        <v>122.45</v>
      </c>
      <c r="E129" s="144">
        <v>122.2</v>
      </c>
      <c r="F129" s="145">
        <v>0.3</v>
      </c>
      <c r="I129" s="143">
        <v>122.04</v>
      </c>
      <c r="J129" s="143">
        <v>122.74</v>
      </c>
      <c r="K129" s="143">
        <v>122.04</v>
      </c>
      <c r="L129" s="143">
        <v>123.25</v>
      </c>
      <c r="M129" s="143">
        <v>122.17</v>
      </c>
      <c r="N129" s="143">
        <v>122.14</v>
      </c>
      <c r="O129" s="143">
        <v>122.65</v>
      </c>
      <c r="P129" s="143">
        <v>122.79</v>
      </c>
      <c r="Q129" s="143">
        <v>122.66</v>
      </c>
      <c r="S129" s="145">
        <v>21.866790457117222</v>
      </c>
      <c r="T129" s="145">
        <v>14.648195090989484</v>
      </c>
      <c r="U129" s="145">
        <v>21.866790457117222</v>
      </c>
      <c r="V129" s="145">
        <v>28.650689312666039</v>
      </c>
      <c r="W129" s="145">
        <v>26.479500593048503</v>
      </c>
      <c r="X129" s="145">
        <v>30.94330305951728</v>
      </c>
      <c r="Y129" s="145">
        <v>35.06533553182642</v>
      </c>
      <c r="Z129" s="145">
        <v>52.748467464784326</v>
      </c>
      <c r="AA129" s="145">
        <v>48.004580057751205</v>
      </c>
      <c r="AB129" s="145">
        <v>41.509532321721423</v>
      </c>
      <c r="BB129" s="136">
        <v>122.04</v>
      </c>
      <c r="BC129" s="136">
        <v>122.74</v>
      </c>
      <c r="BD129" s="136">
        <v>122.04</v>
      </c>
      <c r="BE129" s="136">
        <v>123.25</v>
      </c>
      <c r="BF129" s="136">
        <v>122.17</v>
      </c>
      <c r="BG129" s="136">
        <v>122.14</v>
      </c>
      <c r="BH129" s="136">
        <v>122.65</v>
      </c>
      <c r="BI129" s="136">
        <v>122.79</v>
      </c>
      <c r="BJ129" s="136">
        <v>122.66</v>
      </c>
      <c r="BK129" s="136">
        <v>122.45</v>
      </c>
      <c r="BM129" s="145">
        <v>21.866790457117222</v>
      </c>
      <c r="BN129" s="145">
        <v>14.648195090989484</v>
      </c>
      <c r="BO129" s="145">
        <v>21.866790457117222</v>
      </c>
      <c r="BP129" s="145">
        <v>28.650689312666039</v>
      </c>
      <c r="BQ129" s="145">
        <v>26.479500593048503</v>
      </c>
      <c r="BR129" s="145">
        <v>30.94330305951728</v>
      </c>
      <c r="BS129" s="145">
        <v>35.06533553182642</v>
      </c>
      <c r="BT129" s="145">
        <v>52.748467464784326</v>
      </c>
      <c r="BU129" s="145">
        <v>48.004580057751205</v>
      </c>
      <c r="BV129" s="145">
        <v>41.509532321721423</v>
      </c>
    </row>
    <row r="130" spans="1:74" x14ac:dyDescent="0.25">
      <c r="A130" s="137">
        <v>42837</v>
      </c>
      <c r="B130" s="138">
        <v>0.4927083333333333</v>
      </c>
      <c r="C130" s="139">
        <v>121.72</v>
      </c>
      <c r="E130" s="140">
        <v>120.9</v>
      </c>
      <c r="F130" s="139">
        <v>0.8</v>
      </c>
      <c r="I130" s="139">
        <v>119.99</v>
      </c>
      <c r="J130" s="139">
        <v>122.2</v>
      </c>
      <c r="K130" s="139">
        <v>119.99</v>
      </c>
      <c r="L130" s="139">
        <v>121.27</v>
      </c>
      <c r="M130" s="139">
        <v>120.49</v>
      </c>
      <c r="N130" s="139">
        <v>118.55</v>
      </c>
      <c r="O130" s="139">
        <v>117.34</v>
      </c>
      <c r="P130" s="139">
        <v>116.9</v>
      </c>
      <c r="Q130" s="139">
        <v>116.66</v>
      </c>
      <c r="S130" s="139">
        <v>22.25402135601848</v>
      </c>
      <c r="T130" s="139">
        <v>15.292319866836053</v>
      </c>
      <c r="U130" s="139">
        <v>22.25402135601848</v>
      </c>
      <c r="V130" s="139">
        <v>29.170649395580568</v>
      </c>
      <c r="W130" s="139">
        <v>26.913980807691654</v>
      </c>
      <c r="X130" s="139">
        <v>31.221255188152483</v>
      </c>
      <c r="Y130" s="139">
        <v>35.275698846018642</v>
      </c>
      <c r="Z130" s="139">
        <v>52.938562162944606</v>
      </c>
      <c r="AA130" s="139">
        <v>48.184454725329076</v>
      </c>
      <c r="AB130" s="139">
        <v>42.086258950631972</v>
      </c>
      <c r="BB130" s="136">
        <v>119.99</v>
      </c>
      <c r="BC130" s="136">
        <v>122.2</v>
      </c>
      <c r="BD130" s="136">
        <v>119.99</v>
      </c>
      <c r="BE130" s="136">
        <v>121.27</v>
      </c>
      <c r="BF130" s="136">
        <v>120.49</v>
      </c>
      <c r="BG130" s="136">
        <v>118.55</v>
      </c>
      <c r="BH130" s="136">
        <v>117.34</v>
      </c>
      <c r="BI130" s="136">
        <v>116.9</v>
      </c>
      <c r="BJ130" s="136">
        <v>116.66</v>
      </c>
      <c r="BK130" s="136">
        <v>121.72</v>
      </c>
      <c r="BM130" s="139">
        <v>22.25402135601848</v>
      </c>
      <c r="BN130" s="139">
        <v>15.292319866836053</v>
      </c>
      <c r="BO130" s="139">
        <v>22.25402135601848</v>
      </c>
      <c r="BP130" s="139">
        <v>29.170649395580568</v>
      </c>
      <c r="BQ130" s="139">
        <v>26.913980807691654</v>
      </c>
      <c r="BR130" s="139">
        <v>31.221255188152483</v>
      </c>
      <c r="BS130" s="139">
        <v>35.275698846018642</v>
      </c>
      <c r="BT130" s="139">
        <v>52.938562162944606</v>
      </c>
      <c r="BU130" s="139">
        <v>48.184454725329076</v>
      </c>
      <c r="BV130" s="139">
        <v>42.086258950631972</v>
      </c>
    </row>
    <row r="131" spans="1:74" x14ac:dyDescent="0.25">
      <c r="A131" s="137">
        <v>42837</v>
      </c>
      <c r="B131" s="138">
        <v>0.49305555555555558</v>
      </c>
      <c r="C131" s="139">
        <v>119.53</v>
      </c>
      <c r="E131" s="140">
        <v>117</v>
      </c>
      <c r="F131" s="139">
        <v>2.5</v>
      </c>
      <c r="I131" s="139">
        <v>114.47</v>
      </c>
      <c r="J131" s="139">
        <v>117.5</v>
      </c>
      <c r="K131" s="139">
        <v>114.47</v>
      </c>
      <c r="L131" s="139">
        <v>116.16</v>
      </c>
      <c r="M131" s="139">
        <v>115.35</v>
      </c>
      <c r="N131" s="139">
        <v>112.77</v>
      </c>
      <c r="O131" s="139">
        <v>111.34</v>
      </c>
      <c r="P131" s="139">
        <v>110.96</v>
      </c>
      <c r="Q131" s="139">
        <v>110.7</v>
      </c>
      <c r="S131" s="139">
        <v>22.362656414961666</v>
      </c>
      <c r="T131" s="139">
        <v>15.510577782956137</v>
      </c>
      <c r="U131" s="139">
        <v>22.362656414961666</v>
      </c>
      <c r="V131" s="139">
        <v>29.33096286180584</v>
      </c>
      <c r="W131" s="139">
        <v>27.047017060681593</v>
      </c>
      <c r="X131" s="139">
        <v>31.294701502034677</v>
      </c>
      <c r="Y131" s="139">
        <v>35.328539721479324</v>
      </c>
      <c r="Z131" s="139">
        <v>52.986976055757665</v>
      </c>
      <c r="AA131" s="139">
        <v>48.230055267296869</v>
      </c>
      <c r="AB131" s="139">
        <v>42.43457220768736</v>
      </c>
      <c r="BB131" s="136">
        <v>114.47</v>
      </c>
      <c r="BC131" s="136">
        <v>117.5</v>
      </c>
      <c r="BD131" s="136">
        <v>114.47</v>
      </c>
      <c r="BE131" s="136">
        <v>116.16</v>
      </c>
      <c r="BF131" s="136">
        <v>115.35</v>
      </c>
      <c r="BG131" s="136">
        <v>112.77</v>
      </c>
      <c r="BH131" s="136">
        <v>111.34</v>
      </c>
      <c r="BI131" s="136">
        <v>110.96</v>
      </c>
      <c r="BJ131" s="136">
        <v>110.7</v>
      </c>
      <c r="BK131" s="136">
        <v>119.53</v>
      </c>
      <c r="BM131" s="139">
        <v>22.362656414961666</v>
      </c>
      <c r="BN131" s="139">
        <v>15.510577782956137</v>
      </c>
      <c r="BO131" s="139">
        <v>22.362656414961666</v>
      </c>
      <c r="BP131" s="139">
        <v>29.33096286180584</v>
      </c>
      <c r="BQ131" s="139">
        <v>27.047017060681593</v>
      </c>
      <c r="BR131" s="139">
        <v>31.294701502034677</v>
      </c>
      <c r="BS131" s="139">
        <v>35.328539721479324</v>
      </c>
      <c r="BT131" s="139">
        <v>52.986976055757665</v>
      </c>
      <c r="BU131" s="139">
        <v>48.230055267296869</v>
      </c>
      <c r="BV131" s="139">
        <v>42.43457220768736</v>
      </c>
    </row>
    <row r="132" spans="1:74" x14ac:dyDescent="0.25">
      <c r="A132" s="137">
        <v>42837</v>
      </c>
      <c r="B132" s="138">
        <v>0.4934027777777778</v>
      </c>
      <c r="C132" s="139">
        <v>116.51</v>
      </c>
      <c r="E132" s="140">
        <v>112.7</v>
      </c>
      <c r="F132" s="139">
        <v>3.8</v>
      </c>
      <c r="I132" s="139">
        <v>108.94</v>
      </c>
      <c r="J132" s="139">
        <v>112.19</v>
      </c>
      <c r="K132" s="139">
        <v>108.94</v>
      </c>
      <c r="L132" s="139">
        <v>110.62</v>
      </c>
      <c r="M132" s="139">
        <v>111.11</v>
      </c>
      <c r="N132" s="139">
        <v>107.25</v>
      </c>
      <c r="O132" s="139">
        <v>105.97</v>
      </c>
      <c r="P132" s="139">
        <v>105.95</v>
      </c>
      <c r="Q132" s="139">
        <v>105.37</v>
      </c>
      <c r="S132" s="139">
        <v>22.393063165025602</v>
      </c>
      <c r="T132" s="139">
        <v>15.574842115953318</v>
      </c>
      <c r="U132" s="139">
        <v>22.393063165025602</v>
      </c>
      <c r="V132" s="139">
        <v>29.375731100083321</v>
      </c>
      <c r="W132" s="139">
        <v>27.097132322585487</v>
      </c>
      <c r="X132" s="139">
        <v>31.315306377989543</v>
      </c>
      <c r="Y132" s="139">
        <v>35.343884831421278</v>
      </c>
      <c r="Z132" s="139">
        <v>53.002250661323743</v>
      </c>
      <c r="AA132" s="139">
        <v>48.243420299340187</v>
      </c>
      <c r="AB132" s="139">
        <v>42.608340288408961</v>
      </c>
      <c r="BB132" s="136">
        <v>108.94</v>
      </c>
      <c r="BC132" s="136">
        <v>112.19</v>
      </c>
      <c r="BD132" s="136">
        <v>108.94</v>
      </c>
      <c r="BE132" s="136">
        <v>110.62</v>
      </c>
      <c r="BF132" s="136">
        <v>111.11</v>
      </c>
      <c r="BG132" s="136">
        <v>107.25</v>
      </c>
      <c r="BH132" s="136">
        <v>105.97</v>
      </c>
      <c r="BI132" s="136">
        <v>105.95</v>
      </c>
      <c r="BJ132" s="136">
        <v>105.37</v>
      </c>
      <c r="BK132" s="136">
        <v>116.51</v>
      </c>
      <c r="BM132" s="139">
        <v>22.393063165025602</v>
      </c>
      <c r="BN132" s="139">
        <v>15.574842115953318</v>
      </c>
      <c r="BO132" s="139">
        <v>22.393063165025602</v>
      </c>
      <c r="BP132" s="139">
        <v>29.375731100083321</v>
      </c>
      <c r="BQ132" s="139">
        <v>27.097132322585487</v>
      </c>
      <c r="BR132" s="139">
        <v>31.315306377989543</v>
      </c>
      <c r="BS132" s="139">
        <v>35.343884831421278</v>
      </c>
      <c r="BT132" s="139">
        <v>53.002250661323743</v>
      </c>
      <c r="BU132" s="139">
        <v>48.243420299340187</v>
      </c>
      <c r="BV132" s="139">
        <v>42.608340288408961</v>
      </c>
    </row>
    <row r="133" spans="1:74" x14ac:dyDescent="0.25">
      <c r="A133" s="137">
        <v>42837</v>
      </c>
      <c r="B133" s="138">
        <v>0.49374999999999997</v>
      </c>
      <c r="C133" s="139">
        <v>113.18</v>
      </c>
      <c r="E133" s="140">
        <v>108.8</v>
      </c>
      <c r="F133" s="139">
        <v>4.4000000000000004</v>
      </c>
      <c r="I133" s="139">
        <v>104.34</v>
      </c>
      <c r="J133" s="139">
        <v>107.83</v>
      </c>
      <c r="K133" s="139">
        <v>104.34</v>
      </c>
      <c r="L133" s="139">
        <v>105.72</v>
      </c>
      <c r="M133" s="139">
        <v>107.41</v>
      </c>
      <c r="N133" s="139">
        <v>102.66</v>
      </c>
      <c r="O133" s="139">
        <v>101.57</v>
      </c>
      <c r="P133" s="139">
        <v>103.38</v>
      </c>
      <c r="Q133" s="139">
        <v>101.09</v>
      </c>
      <c r="S133" s="139">
        <v>22.40360630577527</v>
      </c>
      <c r="T133" s="139">
        <v>15.598390982273166</v>
      </c>
      <c r="U133" s="139">
        <v>22.40360630577527</v>
      </c>
      <c r="V133" s="139">
        <v>29.390217818021828</v>
      </c>
      <c r="W133" s="139">
        <v>27.118510466893067</v>
      </c>
      <c r="X133" s="139">
        <v>31.322467317485913</v>
      </c>
      <c r="Y133" s="139">
        <v>35.349456304089237</v>
      </c>
      <c r="Z133" s="139">
        <v>53.010702865981962</v>
      </c>
      <c r="AA133" s="139">
        <v>48.248408799659302</v>
      </c>
      <c r="AB133" s="139">
        <v>42.689058216250288</v>
      </c>
      <c r="BB133" s="136">
        <v>104.34</v>
      </c>
      <c r="BC133" s="136">
        <v>107.83</v>
      </c>
      <c r="BD133" s="136">
        <v>104.34</v>
      </c>
      <c r="BE133" s="136">
        <v>105.72</v>
      </c>
      <c r="BF133" s="136">
        <v>107.41</v>
      </c>
      <c r="BG133" s="136">
        <v>102.66</v>
      </c>
      <c r="BH133" s="136">
        <v>101.57</v>
      </c>
      <c r="BI133" s="136">
        <v>103.38</v>
      </c>
      <c r="BJ133" s="136">
        <v>101.09</v>
      </c>
      <c r="BK133" s="136">
        <v>113.18</v>
      </c>
      <c r="BM133" s="139">
        <v>22.40360630577527</v>
      </c>
      <c r="BN133" s="139">
        <v>15.598390982273166</v>
      </c>
      <c r="BO133" s="139">
        <v>22.40360630577527</v>
      </c>
      <c r="BP133" s="139">
        <v>29.390217818021828</v>
      </c>
      <c r="BQ133" s="139">
        <v>27.118510466893067</v>
      </c>
      <c r="BR133" s="139">
        <v>31.322467317485913</v>
      </c>
      <c r="BS133" s="139">
        <v>35.349456304089237</v>
      </c>
      <c r="BT133" s="139">
        <v>53.010702865981962</v>
      </c>
      <c r="BU133" s="139">
        <v>48.248408799659302</v>
      </c>
      <c r="BV133" s="139">
        <v>42.689058216250288</v>
      </c>
    </row>
    <row r="134" spans="1:74" x14ac:dyDescent="0.25">
      <c r="A134" s="137">
        <v>42837</v>
      </c>
      <c r="B134" s="138">
        <v>0.49409722222222219</v>
      </c>
      <c r="C134" s="139">
        <v>110.15</v>
      </c>
      <c r="E134" s="140">
        <v>105.5</v>
      </c>
      <c r="F134" s="139">
        <v>4.7</v>
      </c>
      <c r="I134" s="139">
        <v>100.83</v>
      </c>
      <c r="J134" s="139">
        <v>104.01</v>
      </c>
      <c r="K134" s="139">
        <v>100.83</v>
      </c>
      <c r="L134" s="139">
        <v>101.73</v>
      </c>
      <c r="M134" s="139">
        <v>103.79</v>
      </c>
      <c r="N134" s="139">
        <v>99.1</v>
      </c>
      <c r="O134" s="139">
        <v>98.13</v>
      </c>
      <c r="P134" s="139">
        <v>101.27</v>
      </c>
      <c r="Q134" s="139">
        <v>98.03</v>
      </c>
      <c r="S134" s="139">
        <v>22.408304922328092</v>
      </c>
      <c r="T134" s="139">
        <v>15.608162679552043</v>
      </c>
      <c r="U134" s="139">
        <v>22.408304922328092</v>
      </c>
      <c r="V134" s="139">
        <v>29.39599837923279</v>
      </c>
      <c r="W134" s="139">
        <v>27.127799489168524</v>
      </c>
      <c r="X134" s="139">
        <v>31.325622104208314</v>
      </c>
      <c r="Y134" s="139">
        <v>35.351979610577054</v>
      </c>
      <c r="Z134" s="139">
        <v>53.015902466811106</v>
      </c>
      <c r="AA134" s="139">
        <v>48.250874668679074</v>
      </c>
      <c r="AB134" s="139">
        <v>42.729234522359569</v>
      </c>
      <c r="BB134" s="136">
        <v>100.83</v>
      </c>
      <c r="BC134" s="136">
        <v>104.01</v>
      </c>
      <c r="BD134" s="136">
        <v>100.83</v>
      </c>
      <c r="BE134" s="136">
        <v>101.73</v>
      </c>
      <c r="BF134" s="136">
        <v>103.79</v>
      </c>
      <c r="BG134" s="136">
        <v>99.1</v>
      </c>
      <c r="BH134" s="136">
        <v>98.13</v>
      </c>
      <c r="BI134" s="136">
        <v>101.27</v>
      </c>
      <c r="BJ134" s="136">
        <v>98.03</v>
      </c>
      <c r="BK134" s="136">
        <v>110.15</v>
      </c>
      <c r="BM134" s="139">
        <v>22.408304922328092</v>
      </c>
      <c r="BN134" s="139">
        <v>15.608162679552043</v>
      </c>
      <c r="BO134" s="139">
        <v>22.408304922328092</v>
      </c>
      <c r="BP134" s="139">
        <v>29.39599837923279</v>
      </c>
      <c r="BQ134" s="139">
        <v>27.127799489168524</v>
      </c>
      <c r="BR134" s="139">
        <v>31.325622104208314</v>
      </c>
      <c r="BS134" s="139">
        <v>35.351979610577054</v>
      </c>
      <c r="BT134" s="139">
        <v>53.015902466811106</v>
      </c>
      <c r="BU134" s="139">
        <v>48.250874668679074</v>
      </c>
      <c r="BV134" s="139">
        <v>42.729234522359569</v>
      </c>
    </row>
    <row r="135" spans="1:74" x14ac:dyDescent="0.25">
      <c r="A135" s="137">
        <v>42837</v>
      </c>
      <c r="B135" s="138">
        <v>0.49444444444444446</v>
      </c>
      <c r="C135" s="139">
        <v>107.76</v>
      </c>
      <c r="E135" s="140">
        <v>102.9</v>
      </c>
      <c r="F135" s="139">
        <v>4.9000000000000004</v>
      </c>
      <c r="I135" s="139">
        <v>98.1</v>
      </c>
      <c r="J135" s="139">
        <v>101.35</v>
      </c>
      <c r="K135" s="139">
        <v>98.1</v>
      </c>
      <c r="L135" s="139">
        <v>98.78</v>
      </c>
      <c r="M135" s="139">
        <v>100.12</v>
      </c>
      <c r="N135" s="139">
        <v>96.5</v>
      </c>
      <c r="O135" s="139">
        <v>95.62</v>
      </c>
      <c r="P135" s="139">
        <v>100.14</v>
      </c>
      <c r="Q135" s="139">
        <v>95.7</v>
      </c>
      <c r="S135" s="139">
        <v>22.41081085849623</v>
      </c>
      <c r="T135" s="139">
        <v>15.61345894817793</v>
      </c>
      <c r="U135" s="139">
        <v>22.41081085849623</v>
      </c>
      <c r="V135" s="139">
        <v>29.39892907005536</v>
      </c>
      <c r="W135" s="139">
        <v>27.131789462604864</v>
      </c>
      <c r="X135" s="139">
        <v>31.327355788460576</v>
      </c>
      <c r="Y135" s="139">
        <v>35.353395306574953</v>
      </c>
      <c r="Z135" s="139">
        <v>53.019910857128046</v>
      </c>
      <c r="AA135" s="139">
        <v>48.252316684430639</v>
      </c>
      <c r="AB135" s="139">
        <v>42.752406868346384</v>
      </c>
      <c r="BB135" s="136">
        <v>98.1</v>
      </c>
      <c r="BC135" s="136">
        <v>101.35</v>
      </c>
      <c r="BD135" s="136">
        <v>98.1</v>
      </c>
      <c r="BE135" s="136">
        <v>98.78</v>
      </c>
      <c r="BF135" s="136">
        <v>100.12</v>
      </c>
      <c r="BG135" s="136">
        <v>96.5</v>
      </c>
      <c r="BH135" s="136">
        <v>95.62</v>
      </c>
      <c r="BI135" s="136">
        <v>100.14</v>
      </c>
      <c r="BJ135" s="136">
        <v>95.7</v>
      </c>
      <c r="BK135" s="136">
        <v>107.76</v>
      </c>
      <c r="BM135" s="139">
        <v>22.41081085849623</v>
      </c>
      <c r="BN135" s="139">
        <v>15.61345894817793</v>
      </c>
      <c r="BO135" s="139">
        <v>22.41081085849623</v>
      </c>
      <c r="BP135" s="139">
        <v>29.39892907005536</v>
      </c>
      <c r="BQ135" s="139">
        <v>27.131789462604864</v>
      </c>
      <c r="BR135" s="139">
        <v>31.327355788460576</v>
      </c>
      <c r="BS135" s="139">
        <v>35.353395306574953</v>
      </c>
      <c r="BT135" s="139">
        <v>53.019910857128046</v>
      </c>
      <c r="BU135" s="139">
        <v>48.252316684430639</v>
      </c>
      <c r="BV135" s="139">
        <v>42.752406868346384</v>
      </c>
    </row>
    <row r="136" spans="1:74" x14ac:dyDescent="0.25">
      <c r="A136" s="137">
        <v>42837</v>
      </c>
      <c r="B136" s="138">
        <v>0.49479166666666669</v>
      </c>
      <c r="C136" s="139">
        <v>105.88</v>
      </c>
      <c r="E136" s="140">
        <v>101</v>
      </c>
      <c r="F136" s="139">
        <v>4.9000000000000004</v>
      </c>
      <c r="I136" s="139">
        <v>96.12</v>
      </c>
      <c r="J136" s="139">
        <v>99.7</v>
      </c>
      <c r="K136" s="139">
        <v>96.12</v>
      </c>
      <c r="L136" s="139">
        <v>96.74</v>
      </c>
      <c r="M136" s="139">
        <v>96.94</v>
      </c>
      <c r="N136" s="139">
        <v>94.75</v>
      </c>
      <c r="O136" s="139">
        <v>94.06</v>
      </c>
      <c r="P136" s="139">
        <v>102.85</v>
      </c>
      <c r="Q136" s="139">
        <v>94.23</v>
      </c>
      <c r="S136" s="139">
        <v>22.412399295531554</v>
      </c>
      <c r="T136" s="139">
        <v>15.617081127978306</v>
      </c>
      <c r="U136" s="139">
        <v>22.412399295531554</v>
      </c>
      <c r="V136" s="139">
        <v>29.4007612579286</v>
      </c>
      <c r="W136" s="139">
        <v>27.133707998832325</v>
      </c>
      <c r="X136" s="139">
        <v>31.328514485785561</v>
      </c>
      <c r="Y136" s="139">
        <v>35.354383791395009</v>
      </c>
      <c r="Z136" s="139">
        <v>53.027392035408518</v>
      </c>
      <c r="AA136" s="139">
        <v>48.25334462972863</v>
      </c>
      <c r="AB136" s="139">
        <v>42.767437249859526</v>
      </c>
      <c r="BB136" s="136">
        <v>96.12</v>
      </c>
      <c r="BC136" s="136">
        <v>99.7</v>
      </c>
      <c r="BD136" s="136">
        <v>96.12</v>
      </c>
      <c r="BE136" s="136">
        <v>96.74</v>
      </c>
      <c r="BF136" s="136">
        <v>96.94</v>
      </c>
      <c r="BG136" s="136">
        <v>94.75</v>
      </c>
      <c r="BH136" s="136">
        <v>94.06</v>
      </c>
      <c r="BI136" s="136">
        <v>102.85</v>
      </c>
      <c r="BJ136" s="136">
        <v>94.23</v>
      </c>
      <c r="BK136" s="136">
        <v>105.88</v>
      </c>
      <c r="BM136" s="139">
        <v>22.412399295531554</v>
      </c>
      <c r="BN136" s="139">
        <v>15.617081127978306</v>
      </c>
      <c r="BO136" s="139">
        <v>22.412399295531554</v>
      </c>
      <c r="BP136" s="139">
        <v>29.4007612579286</v>
      </c>
      <c r="BQ136" s="139">
        <v>27.133707998832325</v>
      </c>
      <c r="BR136" s="139">
        <v>31.328514485785561</v>
      </c>
      <c r="BS136" s="139">
        <v>35.354383791395009</v>
      </c>
      <c r="BT136" s="139">
        <v>53.027392035408518</v>
      </c>
      <c r="BU136" s="139">
        <v>48.25334462972863</v>
      </c>
      <c r="BV136" s="139">
        <v>42.767437249859526</v>
      </c>
    </row>
    <row r="137" spans="1:74" x14ac:dyDescent="0.25">
      <c r="A137" s="137">
        <v>42837</v>
      </c>
      <c r="B137" s="138">
        <v>0.49513888888888885</v>
      </c>
      <c r="C137" s="139">
        <v>104.47</v>
      </c>
      <c r="E137" s="140">
        <v>99.7</v>
      </c>
      <c r="F137" s="139">
        <v>4.8</v>
      </c>
      <c r="I137" s="139">
        <v>94.93</v>
      </c>
      <c r="J137" s="139">
        <v>98.51</v>
      </c>
      <c r="K137" s="139">
        <v>94.93</v>
      </c>
      <c r="L137" s="139">
        <v>95.63</v>
      </c>
      <c r="M137" s="139">
        <v>95.28</v>
      </c>
      <c r="N137" s="139">
        <v>93.67</v>
      </c>
      <c r="O137" s="139">
        <v>93.04</v>
      </c>
      <c r="P137" s="139">
        <v>103.89</v>
      </c>
      <c r="Q137" s="139">
        <v>93.36</v>
      </c>
      <c r="S137" s="139">
        <v>22.413607025948775</v>
      </c>
      <c r="T137" s="139">
        <v>15.619835166460334</v>
      </c>
      <c r="U137" s="139">
        <v>22.413607025948775</v>
      </c>
      <c r="V137" s="139">
        <v>29.402180217442822</v>
      </c>
      <c r="W137" s="139">
        <v>27.135017090336433</v>
      </c>
      <c r="X137" s="139">
        <v>31.329418072848568</v>
      </c>
      <c r="Y137" s="139">
        <v>35.35516536521633</v>
      </c>
      <c r="Z137" s="139">
        <v>53.036897426808132</v>
      </c>
      <c r="AA137" s="139">
        <v>48.254185966759167</v>
      </c>
      <c r="AB137" s="139">
        <v>42.778300755753847</v>
      </c>
      <c r="BB137" s="136">
        <v>94.93</v>
      </c>
      <c r="BC137" s="136">
        <v>98.51</v>
      </c>
      <c r="BD137" s="136">
        <v>94.93</v>
      </c>
      <c r="BE137" s="136">
        <v>95.63</v>
      </c>
      <c r="BF137" s="136">
        <v>95.28</v>
      </c>
      <c r="BG137" s="136">
        <v>93.67</v>
      </c>
      <c r="BH137" s="136">
        <v>93.04</v>
      </c>
      <c r="BI137" s="136">
        <v>103.89</v>
      </c>
      <c r="BJ137" s="136">
        <v>93.36</v>
      </c>
      <c r="BK137" s="136">
        <v>104.47</v>
      </c>
      <c r="BM137" s="139">
        <v>22.413607025948775</v>
      </c>
      <c r="BN137" s="139">
        <v>15.619835166460334</v>
      </c>
      <c r="BO137" s="139">
        <v>22.413607025948775</v>
      </c>
      <c r="BP137" s="139">
        <v>29.402180217442822</v>
      </c>
      <c r="BQ137" s="139">
        <v>27.135017090336433</v>
      </c>
      <c r="BR137" s="139">
        <v>31.329418072848568</v>
      </c>
      <c r="BS137" s="139">
        <v>35.35516536521633</v>
      </c>
      <c r="BT137" s="139">
        <v>53.036897426808132</v>
      </c>
      <c r="BU137" s="139">
        <v>48.254185966759167</v>
      </c>
      <c r="BV137" s="139">
        <v>42.778300755753847</v>
      </c>
    </row>
    <row r="138" spans="1:74" x14ac:dyDescent="0.25">
      <c r="A138" s="137">
        <v>42837</v>
      </c>
      <c r="B138" s="138">
        <v>0.49548611111111113</v>
      </c>
      <c r="C138" s="139">
        <v>103.34</v>
      </c>
      <c r="E138" s="140">
        <v>98.9</v>
      </c>
      <c r="F138" s="139">
        <v>4.4000000000000004</v>
      </c>
      <c r="I138" s="139">
        <v>94.38</v>
      </c>
      <c r="J138" s="139">
        <v>97.4</v>
      </c>
      <c r="K138" s="139">
        <v>94.38</v>
      </c>
      <c r="L138" s="139">
        <v>95.06</v>
      </c>
      <c r="M138" s="139">
        <v>94.37</v>
      </c>
      <c r="N138" s="139">
        <v>93.13</v>
      </c>
      <c r="O138" s="139">
        <v>92.67</v>
      </c>
      <c r="P138" s="139">
        <v>104.64</v>
      </c>
      <c r="Q138" s="139">
        <v>93.06</v>
      </c>
      <c r="S138" s="139">
        <v>22.414671095471768</v>
      </c>
      <c r="T138" s="139">
        <v>15.621968064054341</v>
      </c>
      <c r="U138" s="139">
        <v>22.414671095471768</v>
      </c>
      <c r="V138" s="139">
        <v>29.403424646101964</v>
      </c>
      <c r="W138" s="139">
        <v>27.136078712567432</v>
      </c>
      <c r="X138" s="139">
        <v>31.330216012422188</v>
      </c>
      <c r="Y138" s="139">
        <v>35.355883109933004</v>
      </c>
      <c r="Z138" s="139">
        <v>53.048194605659234</v>
      </c>
      <c r="AA138" s="139">
        <v>48.254971148161331</v>
      </c>
      <c r="AB138" s="139">
        <v>42.786675470133979</v>
      </c>
      <c r="BB138" s="136">
        <v>94.38</v>
      </c>
      <c r="BC138" s="136">
        <v>97.4</v>
      </c>
      <c r="BD138" s="136">
        <v>94.38</v>
      </c>
      <c r="BE138" s="136">
        <v>95.06</v>
      </c>
      <c r="BF138" s="136">
        <v>94.37</v>
      </c>
      <c r="BG138" s="136">
        <v>93.13</v>
      </c>
      <c r="BH138" s="136">
        <v>92.67</v>
      </c>
      <c r="BI138" s="136">
        <v>104.64</v>
      </c>
      <c r="BJ138" s="136">
        <v>93.06</v>
      </c>
      <c r="BK138" s="136">
        <v>103.34</v>
      </c>
      <c r="BM138" s="139">
        <v>22.414671095471768</v>
      </c>
      <c r="BN138" s="139">
        <v>15.621968064054341</v>
      </c>
      <c r="BO138" s="139">
        <v>22.414671095471768</v>
      </c>
      <c r="BP138" s="139">
        <v>29.403424646101964</v>
      </c>
      <c r="BQ138" s="139">
        <v>27.136078712567432</v>
      </c>
      <c r="BR138" s="139">
        <v>31.330216012422188</v>
      </c>
      <c r="BS138" s="139">
        <v>35.355883109933004</v>
      </c>
      <c r="BT138" s="139">
        <v>53.048194605659234</v>
      </c>
      <c r="BU138" s="139">
        <v>48.254971148161331</v>
      </c>
      <c r="BV138" s="139">
        <v>42.786675470133979</v>
      </c>
    </row>
    <row r="139" spans="1:74" x14ac:dyDescent="0.25">
      <c r="A139" s="137">
        <v>42837</v>
      </c>
      <c r="B139" s="138">
        <v>0.49583333333333335</v>
      </c>
      <c r="C139" s="139">
        <v>102.39</v>
      </c>
      <c r="E139" s="140">
        <v>98.3</v>
      </c>
      <c r="F139" s="139">
        <v>4.0999999999999996</v>
      </c>
      <c r="I139" s="139">
        <v>94.11</v>
      </c>
      <c r="J139" s="139">
        <v>96.71</v>
      </c>
      <c r="K139" s="139">
        <v>94.11</v>
      </c>
      <c r="L139" s="139">
        <v>94.73</v>
      </c>
      <c r="M139" s="139">
        <v>93.98</v>
      </c>
      <c r="N139" s="139">
        <v>92.9</v>
      </c>
      <c r="O139" s="139">
        <v>92.5</v>
      </c>
      <c r="P139" s="139">
        <v>105.13</v>
      </c>
      <c r="Q139" s="139">
        <v>92.92</v>
      </c>
      <c r="S139" s="139">
        <v>22.415671026406585</v>
      </c>
      <c r="T139" s="139">
        <v>15.623787639234978</v>
      </c>
      <c r="U139" s="139">
        <v>22.415671026406585</v>
      </c>
      <c r="V139" s="139">
        <v>29.404578019696324</v>
      </c>
      <c r="W139" s="139">
        <v>27.137049155506229</v>
      </c>
      <c r="X139" s="139">
        <v>31.330972793046406</v>
      </c>
      <c r="Y139" s="139">
        <v>35.356573302065307</v>
      </c>
      <c r="Z139" s="139">
        <v>53.060841095641464</v>
      </c>
      <c r="AA139" s="139">
        <v>48.2557314219262</v>
      </c>
      <c r="AB139" s="139">
        <v>42.793404771904257</v>
      </c>
      <c r="BB139" s="136">
        <v>94.11</v>
      </c>
      <c r="BC139" s="136">
        <v>96.71</v>
      </c>
      <c r="BD139" s="136">
        <v>94.11</v>
      </c>
      <c r="BE139" s="136">
        <v>94.73</v>
      </c>
      <c r="BF139" s="136">
        <v>93.98</v>
      </c>
      <c r="BG139" s="136">
        <v>92.9</v>
      </c>
      <c r="BH139" s="136">
        <v>92.5</v>
      </c>
      <c r="BI139" s="136">
        <v>105.13</v>
      </c>
      <c r="BJ139" s="136">
        <v>92.92</v>
      </c>
      <c r="BK139" s="136">
        <v>102.39</v>
      </c>
      <c r="BM139" s="139">
        <v>22.415671026406585</v>
      </c>
      <c r="BN139" s="139">
        <v>15.623787639234978</v>
      </c>
      <c r="BO139" s="139">
        <v>22.415671026406585</v>
      </c>
      <c r="BP139" s="139">
        <v>29.404578019696324</v>
      </c>
      <c r="BQ139" s="139">
        <v>27.137049155506229</v>
      </c>
      <c r="BR139" s="139">
        <v>31.330972793046406</v>
      </c>
      <c r="BS139" s="139">
        <v>35.356573302065307</v>
      </c>
      <c r="BT139" s="139">
        <v>53.060841095641464</v>
      </c>
      <c r="BU139" s="139">
        <v>48.2557314219262</v>
      </c>
      <c r="BV139" s="139">
        <v>42.793404771904257</v>
      </c>
    </row>
    <row r="140" spans="1:74" x14ac:dyDescent="0.25">
      <c r="A140" s="137">
        <v>42837</v>
      </c>
      <c r="B140" s="138">
        <v>0.49618055555555557</v>
      </c>
      <c r="C140" s="139">
        <v>101.56</v>
      </c>
      <c r="E140" s="140">
        <v>97.7</v>
      </c>
      <c r="F140" s="139">
        <v>3.9</v>
      </c>
      <c r="I140" s="139">
        <v>93.93</v>
      </c>
      <c r="J140" s="139">
        <v>96.41</v>
      </c>
      <c r="K140" s="139">
        <v>93.93</v>
      </c>
      <c r="L140" s="139">
        <v>94.61</v>
      </c>
      <c r="M140" s="139">
        <v>93.72</v>
      </c>
      <c r="N140" s="139">
        <v>92.81</v>
      </c>
      <c r="O140" s="139">
        <v>92.42</v>
      </c>
      <c r="P140" s="139">
        <v>105.4</v>
      </c>
      <c r="Q140" s="139">
        <v>92.89</v>
      </c>
      <c r="S140" s="139">
        <v>22.416630360776921</v>
      </c>
      <c r="T140" s="139">
        <v>15.625485765597929</v>
      </c>
      <c r="U140" s="139">
        <v>22.416630360776921</v>
      </c>
      <c r="V140" s="139">
        <v>29.405699960658215</v>
      </c>
      <c r="W140" s="139">
        <v>27.137963205614302</v>
      </c>
      <c r="X140" s="139">
        <v>31.33171405208898</v>
      </c>
      <c r="Y140" s="139">
        <v>35.357250896771482</v>
      </c>
      <c r="Z140" s="139">
        <v>53.074298769661098</v>
      </c>
      <c r="AA140" s="139">
        <v>48.256486462003281</v>
      </c>
      <c r="AB140" s="139">
        <v>42.798963430540667</v>
      </c>
      <c r="BB140" s="136">
        <v>93.93</v>
      </c>
      <c r="BC140" s="136">
        <v>96.41</v>
      </c>
      <c r="BD140" s="136">
        <v>93.93</v>
      </c>
      <c r="BE140" s="136">
        <v>94.61</v>
      </c>
      <c r="BF140" s="136">
        <v>93.72</v>
      </c>
      <c r="BG140" s="136">
        <v>92.81</v>
      </c>
      <c r="BH140" s="136">
        <v>92.42</v>
      </c>
      <c r="BI140" s="136">
        <v>105.4</v>
      </c>
      <c r="BJ140" s="136">
        <v>92.89</v>
      </c>
      <c r="BK140" s="136">
        <v>101.56</v>
      </c>
      <c r="BM140" s="139">
        <v>22.416630360776921</v>
      </c>
      <c r="BN140" s="139">
        <v>15.625485765597929</v>
      </c>
      <c r="BO140" s="139">
        <v>22.416630360776921</v>
      </c>
      <c r="BP140" s="139">
        <v>29.405699960658215</v>
      </c>
      <c r="BQ140" s="139">
        <v>27.137963205614302</v>
      </c>
      <c r="BR140" s="139">
        <v>31.33171405208898</v>
      </c>
      <c r="BS140" s="139">
        <v>35.357250896771482</v>
      </c>
      <c r="BT140" s="139">
        <v>53.074298769661098</v>
      </c>
      <c r="BU140" s="139">
        <v>48.256486462003281</v>
      </c>
      <c r="BV140" s="139">
        <v>42.798963430540667</v>
      </c>
    </row>
    <row r="141" spans="1:74" x14ac:dyDescent="0.25">
      <c r="A141" s="137">
        <v>42837</v>
      </c>
      <c r="B141" s="138">
        <v>0.49652777777777773</v>
      </c>
      <c r="C141" s="139">
        <v>100.83</v>
      </c>
      <c r="E141" s="140">
        <v>97.3</v>
      </c>
      <c r="F141" s="139">
        <v>3.5</v>
      </c>
      <c r="I141" s="139">
        <v>93.81</v>
      </c>
      <c r="J141" s="139">
        <v>96.09</v>
      </c>
      <c r="K141" s="139">
        <v>93.81</v>
      </c>
      <c r="L141" s="139">
        <v>94.46</v>
      </c>
      <c r="M141" s="139">
        <v>93.63</v>
      </c>
      <c r="N141" s="139">
        <v>92.7</v>
      </c>
      <c r="O141" s="139">
        <v>92.35</v>
      </c>
      <c r="P141" s="139">
        <v>105.53</v>
      </c>
      <c r="Q141" s="139">
        <v>93.12</v>
      </c>
      <c r="S141" s="139">
        <v>22.417563550622337</v>
      </c>
      <c r="T141" s="139">
        <v>15.627063267909616</v>
      </c>
      <c r="U141" s="139">
        <v>22.417563550622337</v>
      </c>
      <c r="V141" s="139">
        <v>29.406783812710625</v>
      </c>
      <c r="W141" s="139">
        <v>27.138858508541318</v>
      </c>
      <c r="X141" s="139">
        <v>31.332436771974354</v>
      </c>
      <c r="Y141" s="139">
        <v>35.357917657487562</v>
      </c>
      <c r="Z141" s="139">
        <v>53.088165370184356</v>
      </c>
      <c r="AA141" s="139">
        <v>48.257282566366804</v>
      </c>
      <c r="AB141" s="139">
        <v>42.803662047093489</v>
      </c>
      <c r="BB141" s="136">
        <v>93.81</v>
      </c>
      <c r="BC141" s="136">
        <v>96.09</v>
      </c>
      <c r="BD141" s="136">
        <v>93.81</v>
      </c>
      <c r="BE141" s="136">
        <v>94.46</v>
      </c>
      <c r="BF141" s="136">
        <v>93.63</v>
      </c>
      <c r="BG141" s="136">
        <v>92.7</v>
      </c>
      <c r="BH141" s="136">
        <v>92.35</v>
      </c>
      <c r="BI141" s="136">
        <v>105.53</v>
      </c>
      <c r="BJ141" s="136">
        <v>93.12</v>
      </c>
      <c r="BK141" s="136">
        <v>100.83</v>
      </c>
      <c r="BM141" s="139">
        <v>22.417563550622337</v>
      </c>
      <c r="BN141" s="139">
        <v>15.627063267909616</v>
      </c>
      <c r="BO141" s="139">
        <v>22.417563550622337</v>
      </c>
      <c r="BP141" s="139">
        <v>29.406783812710625</v>
      </c>
      <c r="BQ141" s="139">
        <v>27.138858508541318</v>
      </c>
      <c r="BR141" s="139">
        <v>31.332436771974354</v>
      </c>
      <c r="BS141" s="139">
        <v>35.357917657487562</v>
      </c>
      <c r="BT141" s="139">
        <v>53.088165370184356</v>
      </c>
      <c r="BU141" s="139">
        <v>48.257282566366804</v>
      </c>
      <c r="BV141" s="139">
        <v>42.803662047093489</v>
      </c>
    </row>
    <row r="142" spans="1:74" x14ac:dyDescent="0.25">
      <c r="A142" s="137">
        <v>42837</v>
      </c>
      <c r="B142" s="138">
        <v>0.49687500000000001</v>
      </c>
      <c r="C142" s="139">
        <v>100.17</v>
      </c>
      <c r="E142" s="140">
        <v>96.9</v>
      </c>
      <c r="F142" s="139">
        <v>3.3</v>
      </c>
      <c r="I142" s="139">
        <v>93.69</v>
      </c>
      <c r="J142" s="139">
        <v>95.97</v>
      </c>
      <c r="K142" s="139">
        <v>93.69</v>
      </c>
      <c r="L142" s="139">
        <v>94.33</v>
      </c>
      <c r="M142" s="139">
        <v>93.51</v>
      </c>
      <c r="N142" s="139">
        <v>92.64</v>
      </c>
      <c r="O142" s="139">
        <v>92.27</v>
      </c>
      <c r="P142" s="139">
        <v>105.55</v>
      </c>
      <c r="Q142" s="139">
        <v>100.1</v>
      </c>
      <c r="S142" s="139">
        <v>22.418471308453721</v>
      </c>
      <c r="T142" s="139">
        <v>15.628597778903812</v>
      </c>
      <c r="U142" s="139">
        <v>22.418471308453721</v>
      </c>
      <c r="V142" s="139">
        <v>29.407835701930509</v>
      </c>
      <c r="W142" s="139">
        <v>27.139729411978013</v>
      </c>
      <c r="X142" s="139">
        <v>31.333149575771156</v>
      </c>
      <c r="Y142" s="139">
        <v>35.358572248449065</v>
      </c>
      <c r="Z142" s="139">
        <v>53.102095976027506</v>
      </c>
      <c r="AA142" s="139">
        <v>48.261254207540425</v>
      </c>
      <c r="AB142" s="139">
        <v>42.807698222244731</v>
      </c>
      <c r="BB142" s="136">
        <v>93.69</v>
      </c>
      <c r="BC142" s="136">
        <v>95.97</v>
      </c>
      <c r="BD142" s="136">
        <v>93.69</v>
      </c>
      <c r="BE142" s="136">
        <v>94.33</v>
      </c>
      <c r="BF142" s="136">
        <v>93.51</v>
      </c>
      <c r="BG142" s="136">
        <v>92.64</v>
      </c>
      <c r="BH142" s="136">
        <v>92.27</v>
      </c>
      <c r="BI142" s="136">
        <v>105.55</v>
      </c>
      <c r="BJ142" s="136">
        <v>100.1</v>
      </c>
      <c r="BK142" s="136">
        <v>100.17</v>
      </c>
      <c r="BM142" s="139">
        <v>22.418471308453721</v>
      </c>
      <c r="BN142" s="139">
        <v>15.628597778903812</v>
      </c>
      <c r="BO142" s="139">
        <v>22.418471308453721</v>
      </c>
      <c r="BP142" s="139">
        <v>29.407835701930509</v>
      </c>
      <c r="BQ142" s="139">
        <v>27.139729411978013</v>
      </c>
      <c r="BR142" s="139">
        <v>31.333149575771156</v>
      </c>
      <c r="BS142" s="139">
        <v>35.358572248449065</v>
      </c>
      <c r="BT142" s="139">
        <v>53.102095976027506</v>
      </c>
      <c r="BU142" s="139">
        <v>48.261254207540425</v>
      </c>
      <c r="BV142" s="139">
        <v>42.807698222244731</v>
      </c>
    </row>
    <row r="143" spans="1:74" x14ac:dyDescent="0.25">
      <c r="A143" s="137">
        <v>42837</v>
      </c>
      <c r="B143" s="138">
        <v>0.49722222222222223</v>
      </c>
      <c r="C143" s="139">
        <v>99.57</v>
      </c>
      <c r="E143" s="140">
        <v>96.6</v>
      </c>
      <c r="F143" s="139">
        <v>3</v>
      </c>
      <c r="I143" s="139">
        <v>93.58</v>
      </c>
      <c r="J143" s="139">
        <v>95.75</v>
      </c>
      <c r="K143" s="139">
        <v>93.58</v>
      </c>
      <c r="L143" s="139">
        <v>94.22</v>
      </c>
      <c r="M143" s="139">
        <v>93.43</v>
      </c>
      <c r="N143" s="139">
        <v>92.62</v>
      </c>
      <c r="O143" s="139">
        <v>92.33</v>
      </c>
      <c r="P143" s="139">
        <v>105.56</v>
      </c>
      <c r="Q143" s="139">
        <v>103.73</v>
      </c>
      <c r="S143" s="139">
        <v>22.419356362932881</v>
      </c>
      <c r="T143" s="139">
        <v>15.630056492410812</v>
      </c>
      <c r="U143" s="139">
        <v>22.419356362932881</v>
      </c>
      <c r="V143" s="139">
        <v>29.40886128301992</v>
      </c>
      <c r="W143" s="139">
        <v>27.140584419635559</v>
      </c>
      <c r="X143" s="139">
        <v>31.333859104531999</v>
      </c>
      <c r="Y143" s="139">
        <v>35.359235945677931</v>
      </c>
      <c r="Z143" s="139">
        <v>53.11605869523369</v>
      </c>
      <c r="AA143" s="139">
        <v>48.270415779652282</v>
      </c>
      <c r="AB143" s="139">
        <v>42.81121358384415</v>
      </c>
      <c r="BB143" s="136">
        <v>93.58</v>
      </c>
      <c r="BC143" s="136">
        <v>95.75</v>
      </c>
      <c r="BD143" s="136">
        <v>93.58</v>
      </c>
      <c r="BE143" s="136">
        <v>94.22</v>
      </c>
      <c r="BF143" s="136">
        <v>93.43</v>
      </c>
      <c r="BG143" s="136">
        <v>92.62</v>
      </c>
      <c r="BH143" s="136">
        <v>92.33</v>
      </c>
      <c r="BI143" s="136">
        <v>105.56</v>
      </c>
      <c r="BJ143" s="136">
        <v>103.73</v>
      </c>
      <c r="BK143" s="136">
        <v>99.57</v>
      </c>
      <c r="BM143" s="139">
        <v>22.419356362932881</v>
      </c>
      <c r="BN143" s="139">
        <v>15.630056492410812</v>
      </c>
      <c r="BO143" s="139">
        <v>22.419356362932881</v>
      </c>
      <c r="BP143" s="139">
        <v>29.40886128301992</v>
      </c>
      <c r="BQ143" s="139">
        <v>27.140584419635559</v>
      </c>
      <c r="BR143" s="139">
        <v>31.333859104531999</v>
      </c>
      <c r="BS143" s="139">
        <v>35.359235945677931</v>
      </c>
      <c r="BT143" s="139">
        <v>53.11605869523369</v>
      </c>
      <c r="BU143" s="139">
        <v>48.270415779652282</v>
      </c>
      <c r="BV143" s="139">
        <v>42.81121358384415</v>
      </c>
    </row>
    <row r="144" spans="1:74" x14ac:dyDescent="0.25">
      <c r="A144" s="137">
        <v>42837</v>
      </c>
      <c r="B144" s="138">
        <v>0.49756944444444445</v>
      </c>
      <c r="C144" s="139">
        <v>99.01</v>
      </c>
      <c r="E144" s="140">
        <v>96.3</v>
      </c>
      <c r="F144" s="139">
        <v>2.7</v>
      </c>
      <c r="I144" s="139">
        <v>93.5</v>
      </c>
      <c r="J144" s="139">
        <v>95.59</v>
      </c>
      <c r="K144" s="139">
        <v>93.5</v>
      </c>
      <c r="L144" s="139">
        <v>94.15</v>
      </c>
      <c r="M144" s="139">
        <v>93.36</v>
      </c>
      <c r="N144" s="139">
        <v>92.61</v>
      </c>
      <c r="O144" s="139">
        <v>92.3</v>
      </c>
      <c r="P144" s="139">
        <v>105.49</v>
      </c>
      <c r="Q144" s="139">
        <v>104.82</v>
      </c>
      <c r="S144" s="139">
        <v>22.420225263347255</v>
      </c>
      <c r="T144" s="139">
        <v>15.631462442826011</v>
      </c>
      <c r="U144" s="139">
        <v>22.420225263347255</v>
      </c>
      <c r="V144" s="139">
        <v>29.40987046620176</v>
      </c>
      <c r="W144" s="139">
        <v>27.141425756666095</v>
      </c>
      <c r="X144" s="139">
        <v>31.334567001421977</v>
      </c>
      <c r="Y144" s="139">
        <v>35.359895074047209</v>
      </c>
      <c r="Z144" s="139">
        <v>53.129798165999205</v>
      </c>
      <c r="AA144" s="139">
        <v>48.282191026071764</v>
      </c>
      <c r="AB144" s="139">
        <v>42.814303665844839</v>
      </c>
      <c r="BB144" s="136">
        <v>93.5</v>
      </c>
      <c r="BC144" s="136">
        <v>95.59</v>
      </c>
      <c r="BD144" s="136">
        <v>93.5</v>
      </c>
      <c r="BE144" s="136">
        <v>94.15</v>
      </c>
      <c r="BF144" s="136">
        <v>93.36</v>
      </c>
      <c r="BG144" s="136">
        <v>92.61</v>
      </c>
      <c r="BH144" s="136">
        <v>92.3</v>
      </c>
      <c r="BI144" s="136">
        <v>105.49</v>
      </c>
      <c r="BJ144" s="136">
        <v>104.82</v>
      </c>
      <c r="BK144" s="136">
        <v>99.01</v>
      </c>
      <c r="BM144" s="139">
        <v>22.420225263347255</v>
      </c>
      <c r="BN144" s="139">
        <v>15.631462442826011</v>
      </c>
      <c r="BO144" s="139">
        <v>22.420225263347255</v>
      </c>
      <c r="BP144" s="139">
        <v>29.40987046620176</v>
      </c>
      <c r="BQ144" s="139">
        <v>27.141425756666095</v>
      </c>
      <c r="BR144" s="139">
        <v>31.334567001421977</v>
      </c>
      <c r="BS144" s="139">
        <v>35.359895074047209</v>
      </c>
      <c r="BT144" s="139">
        <v>53.129798165999205</v>
      </c>
      <c r="BU144" s="139">
        <v>48.282191026071764</v>
      </c>
      <c r="BV144" s="139">
        <v>42.814303665844839</v>
      </c>
    </row>
    <row r="145" spans="1:74" x14ac:dyDescent="0.25">
      <c r="A145" s="137">
        <v>42837</v>
      </c>
      <c r="B145" s="138">
        <v>0.49791666666666662</v>
      </c>
      <c r="C145" s="139">
        <v>98.52</v>
      </c>
      <c r="E145" s="140">
        <v>96</v>
      </c>
      <c r="F145" s="139">
        <v>2.5</v>
      </c>
      <c r="I145" s="139">
        <v>93.45</v>
      </c>
      <c r="J145" s="139">
        <v>95.48</v>
      </c>
      <c r="K145" s="139">
        <v>93.45</v>
      </c>
      <c r="L145" s="139">
        <v>94.08</v>
      </c>
      <c r="M145" s="139">
        <v>93.32</v>
      </c>
      <c r="N145" s="139">
        <v>92.61</v>
      </c>
      <c r="O145" s="139">
        <v>92.25</v>
      </c>
      <c r="P145" s="139">
        <v>105.38</v>
      </c>
      <c r="Q145" s="139">
        <v>105.15</v>
      </c>
      <c r="S145" s="139">
        <v>22.421084217540834</v>
      </c>
      <c r="T145" s="139">
        <v>15.632833229911975</v>
      </c>
      <c r="U145" s="139">
        <v>22.421084217540834</v>
      </c>
      <c r="V145" s="139">
        <v>29.410863513660438</v>
      </c>
      <c r="W145" s="139">
        <v>27.142259380272371</v>
      </c>
      <c r="X145" s="139">
        <v>31.335274898311955</v>
      </c>
      <c r="Y145" s="139">
        <v>35.360546657436437</v>
      </c>
      <c r="Z145" s="139">
        <v>53.1431940076233</v>
      </c>
      <c r="AA145" s="139">
        <v>48.294895889599509</v>
      </c>
      <c r="AB145" s="139">
        <v>42.817064053041243</v>
      </c>
      <c r="BB145" s="136">
        <v>93.45</v>
      </c>
      <c r="BC145" s="136">
        <v>95.48</v>
      </c>
      <c r="BD145" s="136">
        <v>93.45</v>
      </c>
      <c r="BE145" s="136">
        <v>94.08</v>
      </c>
      <c r="BF145" s="136">
        <v>93.32</v>
      </c>
      <c r="BG145" s="136">
        <v>92.61</v>
      </c>
      <c r="BH145" s="136">
        <v>92.25</v>
      </c>
      <c r="BI145" s="136">
        <v>105.38</v>
      </c>
      <c r="BJ145" s="136">
        <v>105.15</v>
      </c>
      <c r="BK145" s="136">
        <v>98.52</v>
      </c>
      <c r="BM145" s="139">
        <v>22.421084217540834</v>
      </c>
      <c r="BN145" s="139">
        <v>15.632833229911975</v>
      </c>
      <c r="BO145" s="139">
        <v>22.421084217540834</v>
      </c>
      <c r="BP145" s="139">
        <v>29.410863513660438</v>
      </c>
      <c r="BQ145" s="139">
        <v>27.142259380272371</v>
      </c>
      <c r="BR145" s="139">
        <v>31.335274898311955</v>
      </c>
      <c r="BS145" s="139">
        <v>35.360546657436437</v>
      </c>
      <c r="BT145" s="139">
        <v>53.1431940076233</v>
      </c>
      <c r="BU145" s="139">
        <v>48.294895889599509</v>
      </c>
      <c r="BV145" s="139">
        <v>42.817064053041243</v>
      </c>
    </row>
    <row r="146" spans="1:74" x14ac:dyDescent="0.25">
      <c r="A146" s="137">
        <v>42837</v>
      </c>
      <c r="B146" s="138">
        <v>0.4982638888888889</v>
      </c>
      <c r="C146" s="139">
        <v>98.06</v>
      </c>
      <c r="E146" s="140">
        <v>95.7</v>
      </c>
      <c r="F146" s="139">
        <v>2.4</v>
      </c>
      <c r="I146" s="139">
        <v>93.37</v>
      </c>
      <c r="J146" s="139">
        <v>95.4</v>
      </c>
      <c r="K146" s="139">
        <v>93.37</v>
      </c>
      <c r="L146" s="139">
        <v>94.05</v>
      </c>
      <c r="M146" s="139">
        <v>93.27</v>
      </c>
      <c r="N146" s="139">
        <v>92.56</v>
      </c>
      <c r="O146" s="139">
        <v>92.21</v>
      </c>
      <c r="P146" s="139">
        <v>105.27</v>
      </c>
      <c r="Q146" s="139">
        <v>105.29</v>
      </c>
      <c r="S146" s="139">
        <v>22.421927494053527</v>
      </c>
      <c r="T146" s="139">
        <v>15.634178997313938</v>
      </c>
      <c r="U146" s="139">
        <v>22.421927494053527</v>
      </c>
      <c r="V146" s="139">
        <v>29.411849725028496</v>
      </c>
      <c r="W146" s="139">
        <v>27.143083461468134</v>
      </c>
      <c r="X146" s="139">
        <v>31.335974691973242</v>
      </c>
      <c r="Y146" s="139">
        <v>35.361192267073243</v>
      </c>
      <c r="Z146" s="139">
        <v>53.156254814395297</v>
      </c>
      <c r="AA146" s="139">
        <v>48.308016982316431</v>
      </c>
      <c r="AB146" s="139">
        <v>42.819547014648492</v>
      </c>
      <c r="BB146" s="136">
        <v>93.37</v>
      </c>
      <c r="BC146" s="136">
        <v>95.4</v>
      </c>
      <c r="BD146" s="136">
        <v>93.37</v>
      </c>
      <c r="BE146" s="136">
        <v>94.05</v>
      </c>
      <c r="BF146" s="136">
        <v>93.27</v>
      </c>
      <c r="BG146" s="136">
        <v>92.56</v>
      </c>
      <c r="BH146" s="136">
        <v>92.21</v>
      </c>
      <c r="BI146" s="136">
        <v>105.27</v>
      </c>
      <c r="BJ146" s="136">
        <v>105.29</v>
      </c>
      <c r="BK146" s="136">
        <v>98.06</v>
      </c>
      <c r="BM146" s="139">
        <v>22.421927494053527</v>
      </c>
      <c r="BN146" s="139">
        <v>15.634178997313938</v>
      </c>
      <c r="BO146" s="139">
        <v>22.421927494053527</v>
      </c>
      <c r="BP146" s="139">
        <v>29.411849725028496</v>
      </c>
      <c r="BQ146" s="139">
        <v>27.143083461468134</v>
      </c>
      <c r="BR146" s="139">
        <v>31.335974691973242</v>
      </c>
      <c r="BS146" s="139">
        <v>35.361192267073243</v>
      </c>
      <c r="BT146" s="139">
        <v>53.156254814395297</v>
      </c>
      <c r="BU146" s="139">
        <v>48.308016982316431</v>
      </c>
      <c r="BV146" s="139">
        <v>42.819547014648492</v>
      </c>
    </row>
    <row r="147" spans="1:74" x14ac:dyDescent="0.25">
      <c r="A147" s="137">
        <v>42837</v>
      </c>
      <c r="B147" s="138">
        <v>0.49861111111111112</v>
      </c>
      <c r="C147" s="139">
        <v>97.64</v>
      </c>
      <c r="E147" s="140">
        <v>95.5</v>
      </c>
      <c r="F147" s="139">
        <v>2.1</v>
      </c>
      <c r="I147" s="139">
        <v>93.3</v>
      </c>
      <c r="J147" s="139">
        <v>95.31</v>
      </c>
      <c r="K147" s="139">
        <v>93.3</v>
      </c>
      <c r="L147" s="139">
        <v>93.98</v>
      </c>
      <c r="M147" s="139">
        <v>93.23</v>
      </c>
      <c r="N147" s="139">
        <v>92.43</v>
      </c>
      <c r="O147" s="139">
        <v>91.97</v>
      </c>
      <c r="P147" s="139">
        <v>90.62</v>
      </c>
      <c r="Q147" s="139">
        <v>81.59</v>
      </c>
      <c r="S147" s="139">
        <v>22.422757287507245</v>
      </c>
      <c r="T147" s="139">
        <v>15.635497163006852</v>
      </c>
      <c r="U147" s="139">
        <v>22.422757287507245</v>
      </c>
      <c r="V147" s="139">
        <v>29.412820167967293</v>
      </c>
      <c r="W147" s="139">
        <v>27.143899987442079</v>
      </c>
      <c r="X147" s="139">
        <v>31.336653848696535</v>
      </c>
      <c r="Y147" s="139">
        <v>35.361803166903321</v>
      </c>
      <c r="Z147" s="139">
        <v>53.156702496778074</v>
      </c>
      <c r="AA147" s="139">
        <v>48.308072954210601</v>
      </c>
      <c r="AB147" s="139">
        <v>42.8218010981712</v>
      </c>
      <c r="BB147" s="136">
        <v>93.3</v>
      </c>
      <c r="BC147" s="136">
        <v>95.31</v>
      </c>
      <c r="BD147" s="136">
        <v>93.3</v>
      </c>
      <c r="BE147" s="136">
        <v>93.98</v>
      </c>
      <c r="BF147" s="136">
        <v>93.23</v>
      </c>
      <c r="BG147" s="136">
        <v>92.43</v>
      </c>
      <c r="BH147" s="136">
        <v>91.97</v>
      </c>
      <c r="BI147" s="136">
        <v>90.62</v>
      </c>
      <c r="BJ147" s="136">
        <v>81.59</v>
      </c>
      <c r="BK147" s="136">
        <v>97.64</v>
      </c>
      <c r="BM147" s="139">
        <v>22.422757287507245</v>
      </c>
      <c r="BN147" s="139">
        <v>15.635497163006852</v>
      </c>
      <c r="BO147" s="139">
        <v>22.422757287507245</v>
      </c>
      <c r="BP147" s="139">
        <v>29.412820167967293</v>
      </c>
      <c r="BQ147" s="139">
        <v>27.143899987442079</v>
      </c>
      <c r="BR147" s="139">
        <v>31.336653848696535</v>
      </c>
      <c r="BS147" s="139">
        <v>35.361803166903321</v>
      </c>
      <c r="BT147" s="139">
        <v>53.156702496778074</v>
      </c>
      <c r="BU147" s="139">
        <v>48.308072954210601</v>
      </c>
      <c r="BV147" s="139">
        <v>42.8218010981712</v>
      </c>
    </row>
    <row r="148" spans="1:74" x14ac:dyDescent="0.25">
      <c r="A148" s="137">
        <v>42837</v>
      </c>
      <c r="B148" s="138">
        <v>0.49895833333333334</v>
      </c>
      <c r="C148" s="139">
        <v>96.41</v>
      </c>
      <c r="E148" s="140">
        <v>94.7</v>
      </c>
      <c r="F148" s="139">
        <v>1.7</v>
      </c>
      <c r="I148" s="139">
        <v>93.04</v>
      </c>
      <c r="J148" s="139">
        <v>95.19</v>
      </c>
      <c r="K148" s="139">
        <v>93.04</v>
      </c>
      <c r="L148" s="139">
        <v>93.82</v>
      </c>
      <c r="M148" s="139">
        <v>93.09</v>
      </c>
      <c r="N148" s="139">
        <v>92.23</v>
      </c>
      <c r="O148" s="139">
        <v>91.94</v>
      </c>
      <c r="P148" s="139">
        <v>44.35</v>
      </c>
      <c r="Q148" s="139">
        <v>36.99</v>
      </c>
      <c r="S148" s="139">
        <v>22.423538861328566</v>
      </c>
      <c r="T148" s="139">
        <v>15.636779405025111</v>
      </c>
      <c r="U148" s="139">
        <v>22.423538861328566</v>
      </c>
      <c r="V148" s="139">
        <v>29.413755509037475</v>
      </c>
      <c r="W148" s="139">
        <v>27.144690611461716</v>
      </c>
      <c r="X148" s="139">
        <v>31.337302438332028</v>
      </c>
      <c r="Y148" s="139">
        <v>35.362409861328551</v>
      </c>
      <c r="Z148" s="139">
        <v>53.156702507345521</v>
      </c>
      <c r="AA148" s="139">
        <v>48.308072956151356</v>
      </c>
      <c r="AB148" s="139">
        <v>42.823499224534153</v>
      </c>
      <c r="BB148" s="136">
        <v>93.04</v>
      </c>
      <c r="BC148" s="136">
        <v>95.19</v>
      </c>
      <c r="BD148" s="136">
        <v>93.04</v>
      </c>
      <c r="BE148" s="136">
        <v>93.82</v>
      </c>
      <c r="BF148" s="136">
        <v>93.09</v>
      </c>
      <c r="BG148" s="136">
        <v>92.23</v>
      </c>
      <c r="BH148" s="136">
        <v>91.94</v>
      </c>
      <c r="BI148" s="136">
        <v>44.35</v>
      </c>
      <c r="BJ148" s="136">
        <v>36.99</v>
      </c>
      <c r="BK148" s="136">
        <v>96.41</v>
      </c>
      <c r="BM148" s="139">
        <v>22.423538861328566</v>
      </c>
      <c r="BN148" s="139">
        <v>15.636779405025111</v>
      </c>
      <c r="BO148" s="139">
        <v>22.423538861328566</v>
      </c>
      <c r="BP148" s="139">
        <v>29.413755509037475</v>
      </c>
      <c r="BQ148" s="139">
        <v>27.144690611461716</v>
      </c>
      <c r="BR148" s="139">
        <v>31.337302438332028</v>
      </c>
      <c r="BS148" s="139">
        <v>35.362409861328551</v>
      </c>
      <c r="BT148" s="139">
        <v>53.156702507345521</v>
      </c>
      <c r="BU148" s="139">
        <v>48.308072956151356</v>
      </c>
      <c r="BV148" s="139">
        <v>42.823499224534153</v>
      </c>
    </row>
    <row r="149" spans="1:74" x14ac:dyDescent="0.25">
      <c r="A149" s="137">
        <v>42837</v>
      </c>
      <c r="B149" s="138">
        <v>0.4993055555555555</v>
      </c>
      <c r="C149" s="139">
        <v>94.01</v>
      </c>
      <c r="E149" s="140">
        <v>93.3</v>
      </c>
      <c r="F149" s="139">
        <v>0.7</v>
      </c>
      <c r="I149" s="139">
        <v>92.66</v>
      </c>
      <c r="J149" s="139">
        <v>94.91</v>
      </c>
      <c r="K149" s="139">
        <v>92.66</v>
      </c>
      <c r="L149" s="139">
        <v>93.41</v>
      </c>
      <c r="M149" s="139">
        <v>92.69</v>
      </c>
      <c r="N149" s="139">
        <v>92.02</v>
      </c>
      <c r="O149" s="139">
        <v>91.62</v>
      </c>
      <c r="P149" s="139">
        <v>32.729999999999997</v>
      </c>
      <c r="Q149" s="139">
        <v>32.450000000000003</v>
      </c>
      <c r="S149" s="139">
        <v>22.424254955278204</v>
      </c>
      <c r="T149" s="139">
        <v>15.637981586425115</v>
      </c>
      <c r="U149" s="139">
        <v>22.424254955278204</v>
      </c>
      <c r="V149" s="139">
        <v>29.414606588291672</v>
      </c>
      <c r="W149" s="139">
        <v>27.145411669137477</v>
      </c>
      <c r="X149" s="139">
        <v>31.337920412048749</v>
      </c>
      <c r="Y149" s="139">
        <v>35.362973460056637</v>
      </c>
      <c r="Z149" s="139">
        <v>53.156702508073252</v>
      </c>
      <c r="AA149" s="139">
        <v>48.308072956833648</v>
      </c>
      <c r="AB149" s="139">
        <v>42.824476394262042</v>
      </c>
      <c r="BB149" s="136">
        <v>92.66</v>
      </c>
      <c r="BC149" s="136">
        <v>94.91</v>
      </c>
      <c r="BD149" s="136">
        <v>92.66</v>
      </c>
      <c r="BE149" s="136">
        <v>93.41</v>
      </c>
      <c r="BF149" s="136">
        <v>92.69</v>
      </c>
      <c r="BG149" s="136">
        <v>92.02</v>
      </c>
      <c r="BH149" s="136">
        <v>91.62</v>
      </c>
      <c r="BI149" s="136">
        <v>32.729999999999997</v>
      </c>
      <c r="BJ149" s="136">
        <v>32.450000000000003</v>
      </c>
      <c r="BK149" s="136">
        <v>94.01</v>
      </c>
      <c r="BM149" s="139">
        <v>22.424254955278204</v>
      </c>
      <c r="BN149" s="139">
        <v>15.637981586425115</v>
      </c>
      <c r="BO149" s="139">
        <v>22.424254955278204</v>
      </c>
      <c r="BP149" s="139">
        <v>29.414606588291672</v>
      </c>
      <c r="BQ149" s="139">
        <v>27.145411669137477</v>
      </c>
      <c r="BR149" s="139">
        <v>31.337920412048749</v>
      </c>
      <c r="BS149" s="139">
        <v>35.362973460056637</v>
      </c>
      <c r="BT149" s="139">
        <v>53.156702508073252</v>
      </c>
      <c r="BU149" s="139">
        <v>48.308072956833648</v>
      </c>
      <c r="BV149" s="139">
        <v>42.824476394262042</v>
      </c>
    </row>
    <row r="150" spans="1:74" x14ac:dyDescent="0.25">
      <c r="A150" s="137">
        <v>42837</v>
      </c>
      <c r="B150" s="138">
        <v>0.49965277777777778</v>
      </c>
      <c r="C150" s="139">
        <v>90.96</v>
      </c>
      <c r="E150" s="140">
        <v>91.6</v>
      </c>
      <c r="F150" s="139">
        <v>-0.6</v>
      </c>
      <c r="I150" s="139">
        <v>92.28</v>
      </c>
      <c r="J150" s="139">
        <v>92.63</v>
      </c>
      <c r="K150" s="139">
        <v>92.28</v>
      </c>
      <c r="L150" s="139">
        <v>92.95</v>
      </c>
      <c r="M150" s="139">
        <v>92.31</v>
      </c>
      <c r="N150" s="139">
        <v>90.59</v>
      </c>
      <c r="O150" s="139">
        <v>90.88</v>
      </c>
      <c r="P150" s="139">
        <v>32.89</v>
      </c>
      <c r="Q150" s="139">
        <v>32.03</v>
      </c>
      <c r="S150" s="139">
        <v>22.424911055227714</v>
      </c>
      <c r="T150" s="139">
        <v>15.638692750818675</v>
      </c>
      <c r="U150" s="139">
        <v>22.424911055227714</v>
      </c>
      <c r="V150" s="139">
        <v>29.415372132022512</v>
      </c>
      <c r="W150" s="139">
        <v>27.146072316954569</v>
      </c>
      <c r="X150" s="139">
        <v>31.338365012607678</v>
      </c>
      <c r="Y150" s="139">
        <v>35.363448762453466</v>
      </c>
      <c r="Z150" s="139">
        <v>53.156702508828289</v>
      </c>
      <c r="AA150" s="139">
        <v>48.308072957453049</v>
      </c>
      <c r="AB150" s="139">
        <v>42.824960533190172</v>
      </c>
      <c r="BB150" s="136">
        <v>92.28</v>
      </c>
      <c r="BC150" s="136">
        <v>92.63</v>
      </c>
      <c r="BD150" s="136">
        <v>92.28</v>
      </c>
      <c r="BE150" s="136">
        <v>92.95</v>
      </c>
      <c r="BF150" s="136">
        <v>92.31</v>
      </c>
      <c r="BG150" s="136">
        <v>90.59</v>
      </c>
      <c r="BH150" s="136">
        <v>90.88</v>
      </c>
      <c r="BI150" s="136">
        <v>32.89</v>
      </c>
      <c r="BJ150" s="136">
        <v>32.03</v>
      </c>
      <c r="BK150" s="136">
        <v>90.96</v>
      </c>
      <c r="BM150" s="139">
        <v>22.424911055227714</v>
      </c>
      <c r="BN150" s="139">
        <v>15.638692750818675</v>
      </c>
      <c r="BO150" s="139">
        <v>22.424911055227714</v>
      </c>
      <c r="BP150" s="139">
        <v>29.415372132022512</v>
      </c>
      <c r="BQ150" s="139">
        <v>27.146072316954569</v>
      </c>
      <c r="BR150" s="139">
        <v>31.338365012607678</v>
      </c>
      <c r="BS150" s="139">
        <v>35.363448762453466</v>
      </c>
      <c r="BT150" s="139">
        <v>53.156702508828289</v>
      </c>
      <c r="BU150" s="139">
        <v>48.308072957453049</v>
      </c>
      <c r="BV150" s="139">
        <v>42.824960533190172</v>
      </c>
    </row>
    <row r="151" spans="1:74" x14ac:dyDescent="0.25">
      <c r="A151" s="137">
        <v>42837</v>
      </c>
      <c r="B151" s="138">
        <v>0.5</v>
      </c>
      <c r="C151" s="139">
        <v>88.01</v>
      </c>
      <c r="E151" s="140">
        <v>90</v>
      </c>
      <c r="F151" s="139">
        <v>-2</v>
      </c>
      <c r="I151" s="139">
        <v>91.91</v>
      </c>
      <c r="J151" s="139">
        <v>92.17</v>
      </c>
      <c r="K151" s="139">
        <v>91.91</v>
      </c>
      <c r="L151" s="139">
        <v>92.26</v>
      </c>
      <c r="M151" s="139">
        <v>91.99</v>
      </c>
      <c r="N151" s="139">
        <v>52.27</v>
      </c>
      <c r="O151" s="139">
        <v>90.38</v>
      </c>
      <c r="P151" s="139">
        <v>32.71</v>
      </c>
      <c r="Q151" s="139">
        <v>31.79</v>
      </c>
      <c r="S151" s="139">
        <v>22.4255135731979</v>
      </c>
      <c r="T151" s="139">
        <v>15.639332441470755</v>
      </c>
      <c r="U151" s="139">
        <v>22.4255135731979</v>
      </c>
      <c r="V151" s="139">
        <v>29.416025217466579</v>
      </c>
      <c r="W151" s="139">
        <v>27.146686036570149</v>
      </c>
      <c r="X151" s="139">
        <v>31.338365078066776</v>
      </c>
      <c r="Y151" s="139">
        <v>35.363872376160536</v>
      </c>
      <c r="Z151" s="139">
        <v>53.156702509552673</v>
      </c>
      <c r="AA151" s="139">
        <v>48.308072958039148</v>
      </c>
      <c r="AB151" s="139">
        <v>42.82520598712825</v>
      </c>
      <c r="BB151" s="136">
        <v>91.91</v>
      </c>
      <c r="BC151" s="136">
        <v>92.17</v>
      </c>
      <c r="BD151" s="136">
        <v>91.91</v>
      </c>
      <c r="BE151" s="136">
        <v>92.26</v>
      </c>
      <c r="BF151" s="136">
        <v>91.99</v>
      </c>
      <c r="BG151" s="136">
        <v>52.27</v>
      </c>
      <c r="BH151" s="136">
        <v>90.38</v>
      </c>
      <c r="BI151" s="136">
        <v>32.71</v>
      </c>
      <c r="BJ151" s="136">
        <v>31.79</v>
      </c>
      <c r="BK151" s="136">
        <v>88.01</v>
      </c>
      <c r="BM151" s="139">
        <v>22.4255135731979</v>
      </c>
      <c r="BN151" s="139">
        <v>15.639332441470755</v>
      </c>
      <c r="BO151" s="139">
        <v>22.4255135731979</v>
      </c>
      <c r="BP151" s="139">
        <v>29.416025217466579</v>
      </c>
      <c r="BQ151" s="139">
        <v>27.146686036570149</v>
      </c>
      <c r="BR151" s="139">
        <v>31.338365078066776</v>
      </c>
      <c r="BS151" s="139">
        <v>35.363872376160536</v>
      </c>
      <c r="BT151" s="139">
        <v>53.156702509552673</v>
      </c>
      <c r="BU151" s="139">
        <v>48.308072958039148</v>
      </c>
      <c r="BV151" s="139">
        <v>42.82520598712825</v>
      </c>
    </row>
    <row r="152" spans="1:74" x14ac:dyDescent="0.25">
      <c r="A152" s="137">
        <v>42837</v>
      </c>
      <c r="B152" s="138">
        <v>0.50034722222222217</v>
      </c>
      <c r="C152" s="139">
        <v>85.1</v>
      </c>
      <c r="E152" s="140">
        <v>88.3</v>
      </c>
      <c r="F152" s="139">
        <v>-3.2</v>
      </c>
      <c r="I152" s="139">
        <v>91.57</v>
      </c>
      <c r="J152" s="139">
        <v>91.8</v>
      </c>
      <c r="K152" s="139">
        <v>91.57</v>
      </c>
      <c r="L152" s="139">
        <v>81.92</v>
      </c>
      <c r="M152" s="139">
        <v>91.26</v>
      </c>
      <c r="N152" s="139">
        <v>42.05</v>
      </c>
      <c r="O152" s="139">
        <v>89.93</v>
      </c>
      <c r="P152" s="139">
        <v>33.4</v>
      </c>
      <c r="Q152" s="139">
        <v>31.81</v>
      </c>
      <c r="S152" s="139">
        <v>22.426070720464697</v>
      </c>
      <c r="T152" s="139">
        <v>15.639919890248224</v>
      </c>
      <c r="U152" s="139">
        <v>22.426070720464697</v>
      </c>
      <c r="V152" s="139">
        <v>29.416085608158333</v>
      </c>
      <c r="W152" s="139">
        <v>27.147204800778059</v>
      </c>
      <c r="X152" s="139">
        <v>31.33836508428935</v>
      </c>
      <c r="Y152" s="139">
        <v>35.364254294052323</v>
      </c>
      <c r="Z152" s="139">
        <v>53.156702510401793</v>
      </c>
      <c r="AA152" s="139">
        <v>48.308072958627953</v>
      </c>
      <c r="AB152" s="139">
        <v>42.825331581449824</v>
      </c>
      <c r="BB152" s="136">
        <v>91.57</v>
      </c>
      <c r="BC152" s="136">
        <v>91.8</v>
      </c>
      <c r="BD152" s="136">
        <v>91.57</v>
      </c>
      <c r="BE152" s="136">
        <v>81.92</v>
      </c>
      <c r="BF152" s="136">
        <v>91.26</v>
      </c>
      <c r="BG152" s="136">
        <v>42.05</v>
      </c>
      <c r="BH152" s="136">
        <v>89.93</v>
      </c>
      <c r="BI152" s="136">
        <v>33.4</v>
      </c>
      <c r="BJ152" s="136">
        <v>31.81</v>
      </c>
      <c r="BK152" s="136">
        <v>85.1</v>
      </c>
      <c r="BM152" s="139">
        <v>22.426070720464697</v>
      </c>
      <c r="BN152" s="139">
        <v>15.639919890248224</v>
      </c>
      <c r="BO152" s="139">
        <v>22.426070720464697</v>
      </c>
      <c r="BP152" s="139">
        <v>29.416085608158333</v>
      </c>
      <c r="BQ152" s="139">
        <v>27.147204800778059</v>
      </c>
      <c r="BR152" s="139">
        <v>31.33836508428935</v>
      </c>
      <c r="BS152" s="139">
        <v>35.364254294052323</v>
      </c>
      <c r="BT152" s="139">
        <v>53.156702510401793</v>
      </c>
      <c r="BU152" s="139">
        <v>48.308072958627953</v>
      </c>
      <c r="BV152" s="139">
        <v>42.825331581449824</v>
      </c>
    </row>
    <row r="153" spans="1:74" x14ac:dyDescent="0.25">
      <c r="A153" s="137">
        <v>42837</v>
      </c>
      <c r="B153" s="138">
        <v>0.50069444444444444</v>
      </c>
      <c r="C153" s="139">
        <v>82.36</v>
      </c>
      <c r="E153" s="140">
        <v>86.8</v>
      </c>
      <c r="F153" s="139">
        <v>-4.4000000000000004</v>
      </c>
      <c r="I153" s="139">
        <v>91.18</v>
      </c>
      <c r="J153" s="139">
        <v>91.45</v>
      </c>
      <c r="K153" s="139">
        <v>91.18</v>
      </c>
      <c r="L153" s="139">
        <v>59.17</v>
      </c>
      <c r="M153" s="139">
        <v>80.760000000000005</v>
      </c>
      <c r="N153" s="139">
        <v>37.04</v>
      </c>
      <c r="O153" s="139">
        <v>89.55</v>
      </c>
      <c r="P153" s="139">
        <v>32.71</v>
      </c>
      <c r="Q153" s="139">
        <v>31.97</v>
      </c>
      <c r="S153" s="139">
        <v>22.426580016158724</v>
      </c>
      <c r="T153" s="139">
        <v>15.640461853705235</v>
      </c>
      <c r="U153" s="139">
        <v>22.426580016158724</v>
      </c>
      <c r="V153" s="139">
        <v>29.41608592876312</v>
      </c>
      <c r="W153" s="139">
        <v>27.147251035686757</v>
      </c>
      <c r="X153" s="139">
        <v>31.338365086252576</v>
      </c>
      <c r="Y153" s="139">
        <v>35.364604215050321</v>
      </c>
      <c r="Z153" s="139">
        <v>53.156702511126177</v>
      </c>
      <c r="AA153" s="139">
        <v>48.308072959238856</v>
      </c>
      <c r="AB153" s="139">
        <v>42.825398411225649</v>
      </c>
      <c r="BB153" s="136">
        <v>91.18</v>
      </c>
      <c r="BC153" s="136">
        <v>91.45</v>
      </c>
      <c r="BD153" s="136">
        <v>91.18</v>
      </c>
      <c r="BE153" s="136">
        <v>59.17</v>
      </c>
      <c r="BF153" s="136">
        <v>80.760000000000005</v>
      </c>
      <c r="BG153" s="136">
        <v>37.04</v>
      </c>
      <c r="BH153" s="136">
        <v>89.55</v>
      </c>
      <c r="BI153" s="136">
        <v>32.71</v>
      </c>
      <c r="BJ153" s="136">
        <v>31.97</v>
      </c>
      <c r="BK153" s="136">
        <v>82.36</v>
      </c>
      <c r="BM153" s="139">
        <v>22.426580016158724</v>
      </c>
      <c r="BN153" s="139">
        <v>15.640461853705235</v>
      </c>
      <c r="BO153" s="139">
        <v>22.426580016158724</v>
      </c>
      <c r="BP153" s="139">
        <v>29.41608592876312</v>
      </c>
      <c r="BQ153" s="139">
        <v>27.147251035686757</v>
      </c>
      <c r="BR153" s="139">
        <v>31.338365086252576</v>
      </c>
      <c r="BS153" s="139">
        <v>35.364604215050321</v>
      </c>
      <c r="BT153" s="139">
        <v>53.156702511126177</v>
      </c>
      <c r="BU153" s="139">
        <v>48.308072959238856</v>
      </c>
      <c r="BV153" s="139">
        <v>42.825398411225649</v>
      </c>
    </row>
    <row r="154" spans="1:74" x14ac:dyDescent="0.25">
      <c r="A154" s="137">
        <v>42837</v>
      </c>
      <c r="B154" s="138">
        <v>0.50104166666666672</v>
      </c>
      <c r="C154" s="139">
        <v>79.75</v>
      </c>
      <c r="E154" s="140">
        <v>85.1</v>
      </c>
      <c r="F154" s="139">
        <v>-5.3</v>
      </c>
      <c r="I154" s="139">
        <v>90.37</v>
      </c>
      <c r="J154" s="139">
        <v>91.11</v>
      </c>
      <c r="K154" s="139">
        <v>90.37</v>
      </c>
      <c r="L154" s="139">
        <v>44.52</v>
      </c>
      <c r="M154" s="139">
        <v>78.209999999999994</v>
      </c>
      <c r="N154" s="139">
        <v>38.950000000000003</v>
      </c>
      <c r="O154" s="139">
        <v>88.93</v>
      </c>
      <c r="P154" s="139">
        <v>31.78</v>
      </c>
      <c r="Q154" s="139">
        <v>35.1</v>
      </c>
      <c r="S154" s="139">
        <v>22.427002655581305</v>
      </c>
      <c r="T154" s="139">
        <v>15.640963006324274</v>
      </c>
      <c r="U154" s="139">
        <v>22.427002655581305</v>
      </c>
      <c r="V154" s="139">
        <v>29.416085939752421</v>
      </c>
      <c r="W154" s="139">
        <v>27.147276737869337</v>
      </c>
      <c r="X154" s="139">
        <v>31.338365089300261</v>
      </c>
      <c r="Y154" s="139">
        <v>35.364907583215114</v>
      </c>
      <c r="Z154" s="139">
        <v>53.156702511710925</v>
      </c>
      <c r="AA154" s="139">
        <v>48.308072960494798</v>
      </c>
      <c r="AB154" s="139">
        <v>42.825435052452306</v>
      </c>
      <c r="BB154" s="136">
        <v>90.37</v>
      </c>
      <c r="BC154" s="136">
        <v>91.11</v>
      </c>
      <c r="BD154" s="136">
        <v>90.37</v>
      </c>
      <c r="BE154" s="136">
        <v>44.52</v>
      </c>
      <c r="BF154" s="136">
        <v>78.209999999999994</v>
      </c>
      <c r="BG154" s="136">
        <v>38.950000000000003</v>
      </c>
      <c r="BH154" s="136">
        <v>88.93</v>
      </c>
      <c r="BI154" s="136">
        <v>31.78</v>
      </c>
      <c r="BJ154" s="136">
        <v>35.1</v>
      </c>
      <c r="BK154" s="136">
        <v>79.75</v>
      </c>
      <c r="BM154" s="139">
        <v>22.427002655581305</v>
      </c>
      <c r="BN154" s="139">
        <v>15.640963006324274</v>
      </c>
      <c r="BO154" s="139">
        <v>22.427002655581305</v>
      </c>
      <c r="BP154" s="139">
        <v>29.416085939752421</v>
      </c>
      <c r="BQ154" s="139">
        <v>27.147276737869337</v>
      </c>
      <c r="BR154" s="139">
        <v>31.338365089300261</v>
      </c>
      <c r="BS154" s="139">
        <v>35.364907583215114</v>
      </c>
      <c r="BT154" s="139">
        <v>53.156702511710925</v>
      </c>
      <c r="BU154" s="139">
        <v>48.308072960494798</v>
      </c>
      <c r="BV154" s="139">
        <v>42.825435052452306</v>
      </c>
    </row>
    <row r="155" spans="1:74" x14ac:dyDescent="0.25">
      <c r="A155" s="137">
        <v>42837</v>
      </c>
      <c r="B155" s="138">
        <v>0.50138888888888888</v>
      </c>
      <c r="C155" s="139">
        <v>77.33</v>
      </c>
      <c r="E155" s="140">
        <v>74.8</v>
      </c>
      <c r="F155" s="139">
        <v>2.5</v>
      </c>
      <c r="I155" s="139">
        <v>72.28</v>
      </c>
      <c r="J155" s="139">
        <v>90.77</v>
      </c>
      <c r="K155" s="139">
        <v>72.28</v>
      </c>
      <c r="L155" s="139">
        <v>41.27</v>
      </c>
      <c r="M155" s="139">
        <v>76.84</v>
      </c>
      <c r="N155" s="139">
        <v>41.26</v>
      </c>
      <c r="O155" s="139">
        <v>86.62</v>
      </c>
      <c r="P155" s="139">
        <v>31.37</v>
      </c>
      <c r="Q155" s="139">
        <v>36.08</v>
      </c>
      <c r="S155" s="139">
        <v>22.427009216580799</v>
      </c>
      <c r="T155" s="139">
        <v>15.641426421235963</v>
      </c>
      <c r="U155" s="139">
        <v>22.427009216580799</v>
      </c>
      <c r="V155" s="139">
        <v>29.416085944952023</v>
      </c>
      <c r="W155" s="139">
        <v>27.14729548651945</v>
      </c>
      <c r="X155" s="139">
        <v>31.338365094487902</v>
      </c>
      <c r="Y155" s="139">
        <v>35.365085808781828</v>
      </c>
      <c r="Z155" s="139">
        <v>53.156702512242994</v>
      </c>
      <c r="AA155" s="139">
        <v>48.308072962068671</v>
      </c>
      <c r="AB155" s="139">
        <v>42.825456040401505</v>
      </c>
      <c r="BB155" s="136">
        <v>72.28</v>
      </c>
      <c r="BC155" s="136">
        <v>90.77</v>
      </c>
      <c r="BD155" s="136">
        <v>72.28</v>
      </c>
      <c r="BE155" s="136">
        <v>41.27</v>
      </c>
      <c r="BF155" s="136">
        <v>76.84</v>
      </c>
      <c r="BG155" s="136">
        <v>41.26</v>
      </c>
      <c r="BH155" s="136">
        <v>86.62</v>
      </c>
      <c r="BI155" s="136">
        <v>31.37</v>
      </c>
      <c r="BJ155" s="136">
        <v>36.08</v>
      </c>
      <c r="BK155" s="136">
        <v>77.33</v>
      </c>
      <c r="BM155" s="139">
        <v>22.427009216580799</v>
      </c>
      <c r="BN155" s="139">
        <v>15.641426421235963</v>
      </c>
      <c r="BO155" s="139">
        <v>22.427009216580799</v>
      </c>
      <c r="BP155" s="139">
        <v>29.416085944952023</v>
      </c>
      <c r="BQ155" s="139">
        <v>27.14729548651945</v>
      </c>
      <c r="BR155" s="139">
        <v>31.338365094487902</v>
      </c>
      <c r="BS155" s="139">
        <v>35.365085808781828</v>
      </c>
      <c r="BT155" s="139">
        <v>53.156702512242994</v>
      </c>
      <c r="BU155" s="139">
        <v>48.308072962068671</v>
      </c>
      <c r="BV155" s="139">
        <v>42.825456040401505</v>
      </c>
    </row>
    <row r="156" spans="1:74" x14ac:dyDescent="0.25">
      <c r="A156" s="137">
        <v>42837</v>
      </c>
      <c r="B156" s="138">
        <v>0.50173611111111105</v>
      </c>
      <c r="C156" s="139">
        <v>75.12</v>
      </c>
      <c r="E156" s="140">
        <v>67.8</v>
      </c>
      <c r="F156" s="139">
        <v>7.3</v>
      </c>
      <c r="I156" s="139">
        <v>60.43</v>
      </c>
      <c r="J156" s="139">
        <v>90.41</v>
      </c>
      <c r="K156" s="139">
        <v>60.43</v>
      </c>
      <c r="L156" s="139">
        <v>38.31</v>
      </c>
      <c r="M156" s="139">
        <v>75.66</v>
      </c>
      <c r="N156" s="139">
        <v>42.06</v>
      </c>
      <c r="O156" s="139">
        <v>36.020000000000003</v>
      </c>
      <c r="P156" s="139">
        <v>32.01</v>
      </c>
      <c r="Q156" s="139">
        <v>35</v>
      </c>
      <c r="S156" s="139">
        <v>22.427009645099723</v>
      </c>
      <c r="T156" s="139">
        <v>15.641852971292971</v>
      </c>
      <c r="U156" s="139">
        <v>22.427009645099723</v>
      </c>
      <c r="V156" s="139">
        <v>29.416085947582108</v>
      </c>
      <c r="W156" s="139">
        <v>27.147309774472166</v>
      </c>
      <c r="X156" s="139">
        <v>31.338365100724818</v>
      </c>
      <c r="Y156" s="139">
        <v>35.365085810334108</v>
      </c>
      <c r="Z156" s="139">
        <v>53.156702512859546</v>
      </c>
      <c r="AA156" s="139">
        <v>48.308072963296027</v>
      </c>
      <c r="AB156" s="139">
        <v>42.825468657805366</v>
      </c>
      <c r="BB156" s="136">
        <v>60.43</v>
      </c>
      <c r="BC156" s="136">
        <v>90.41</v>
      </c>
      <c r="BD156" s="136">
        <v>60.43</v>
      </c>
      <c r="BE156" s="136">
        <v>38.31</v>
      </c>
      <c r="BF156" s="136">
        <v>75.66</v>
      </c>
      <c r="BG156" s="136">
        <v>42.06</v>
      </c>
      <c r="BH156" s="136">
        <v>36.020000000000003</v>
      </c>
      <c r="BI156" s="136">
        <v>32.01</v>
      </c>
      <c r="BJ156" s="136">
        <v>35</v>
      </c>
      <c r="BK156" s="136">
        <v>75.12</v>
      </c>
      <c r="BM156" s="139">
        <v>22.427009645099723</v>
      </c>
      <c r="BN156" s="139">
        <v>15.641852971292971</v>
      </c>
      <c r="BO156" s="139">
        <v>22.427009645099723</v>
      </c>
      <c r="BP156" s="139">
        <v>29.416085947582108</v>
      </c>
      <c r="BQ156" s="139">
        <v>27.147309774472166</v>
      </c>
      <c r="BR156" s="139">
        <v>31.338365100724818</v>
      </c>
      <c r="BS156" s="139">
        <v>35.365085810334108</v>
      </c>
      <c r="BT156" s="139">
        <v>53.156702512859546</v>
      </c>
      <c r="BU156" s="139">
        <v>48.308072963296027</v>
      </c>
      <c r="BV156" s="139">
        <v>42.825468657805366</v>
      </c>
    </row>
    <row r="157" spans="1:74" x14ac:dyDescent="0.25">
      <c r="A157" s="137">
        <v>42837</v>
      </c>
      <c r="B157" s="138">
        <v>0.50208333333333333</v>
      </c>
      <c r="C157" s="139">
        <v>73.11</v>
      </c>
      <c r="E157" s="140">
        <v>62.7</v>
      </c>
      <c r="F157" s="139">
        <v>10.4</v>
      </c>
      <c r="I157" s="139">
        <v>52.31</v>
      </c>
      <c r="J157" s="139">
        <v>90.31</v>
      </c>
      <c r="K157" s="139">
        <v>52.31</v>
      </c>
      <c r="L157" s="139">
        <v>35.97</v>
      </c>
      <c r="M157" s="139">
        <v>72.98</v>
      </c>
      <c r="N157" s="139">
        <v>42.09</v>
      </c>
      <c r="O157" s="139">
        <v>32.61</v>
      </c>
      <c r="P157" s="139">
        <v>31.1</v>
      </c>
      <c r="Q157" s="139">
        <v>33.36</v>
      </c>
      <c r="S157" s="139">
        <v>22.427009711164505</v>
      </c>
      <c r="T157" s="139">
        <v>15.642269811885281</v>
      </c>
      <c r="U157" s="139">
        <v>22.427009711164505</v>
      </c>
      <c r="V157" s="139">
        <v>29.416085949116617</v>
      </c>
      <c r="W157" s="139">
        <v>27.147317482974429</v>
      </c>
      <c r="X157" s="139">
        <v>31.338365107004968</v>
      </c>
      <c r="Y157" s="139">
        <v>35.365085811042007</v>
      </c>
      <c r="Z157" s="139">
        <v>53.156702513359548</v>
      </c>
      <c r="AA157" s="139">
        <v>48.308072964137367</v>
      </c>
      <c r="AB157" s="139">
        <v>42.825476600539112</v>
      </c>
      <c r="BB157" s="136">
        <v>52.31</v>
      </c>
      <c r="BC157" s="136">
        <v>90.31</v>
      </c>
      <c r="BD157" s="136">
        <v>52.31</v>
      </c>
      <c r="BE157" s="136">
        <v>35.97</v>
      </c>
      <c r="BF157" s="136">
        <v>72.98</v>
      </c>
      <c r="BG157" s="136">
        <v>42.09</v>
      </c>
      <c r="BH157" s="136">
        <v>32.61</v>
      </c>
      <c r="BI157" s="136">
        <v>31.1</v>
      </c>
      <c r="BJ157" s="136">
        <v>33.36</v>
      </c>
      <c r="BK157" s="136">
        <v>73.11</v>
      </c>
      <c r="BM157" s="139">
        <v>22.427009711164505</v>
      </c>
      <c r="BN157" s="139">
        <v>15.642269811885281</v>
      </c>
      <c r="BO157" s="139">
        <v>22.427009711164505</v>
      </c>
      <c r="BP157" s="139">
        <v>29.416085949116617</v>
      </c>
      <c r="BQ157" s="139">
        <v>27.147317482974429</v>
      </c>
      <c r="BR157" s="139">
        <v>31.338365107004968</v>
      </c>
      <c r="BS157" s="139">
        <v>35.365085811042007</v>
      </c>
      <c r="BT157" s="139">
        <v>53.156702513359548</v>
      </c>
      <c r="BU157" s="139">
        <v>48.308072964137367</v>
      </c>
      <c r="BV157" s="139">
        <v>42.825476600539112</v>
      </c>
    </row>
    <row r="158" spans="1:74" x14ac:dyDescent="0.25">
      <c r="A158" s="146">
        <v>42837</v>
      </c>
      <c r="B158" s="147">
        <v>0.5024305555555556</v>
      </c>
      <c r="C158" s="148">
        <v>71.28</v>
      </c>
      <c r="E158" s="149">
        <v>58.4</v>
      </c>
      <c r="F158" s="148">
        <v>12.9</v>
      </c>
      <c r="I158" s="148">
        <v>45.52</v>
      </c>
      <c r="J158" s="148">
        <v>90.15</v>
      </c>
      <c r="K158" s="148">
        <v>45.52</v>
      </c>
      <c r="L158" s="148">
        <v>34.03</v>
      </c>
      <c r="M158" s="148">
        <v>44.61</v>
      </c>
      <c r="N158" s="148">
        <v>38.520000000000003</v>
      </c>
      <c r="O158" s="148">
        <v>30.62</v>
      </c>
      <c r="P158" s="148">
        <v>30.8</v>
      </c>
      <c r="Q158" s="148">
        <v>34.22</v>
      </c>
      <c r="S158" s="148">
        <v>22.427009724999213</v>
      </c>
      <c r="T158" s="148">
        <v>15.642671574946375</v>
      </c>
      <c r="U158" s="148">
        <v>22.427009724999213</v>
      </c>
      <c r="V158" s="148">
        <v>29.416085950098296</v>
      </c>
      <c r="W158" s="148">
        <v>27.147317494193839</v>
      </c>
      <c r="X158" s="148">
        <v>31.338365109765355</v>
      </c>
      <c r="Y158" s="148">
        <v>35.365085811489692</v>
      </c>
      <c r="Z158" s="148">
        <v>53.156702513826176</v>
      </c>
      <c r="AA158" s="148">
        <v>48.30807296516295</v>
      </c>
      <c r="AB158" s="148">
        <v>42.825481812126256</v>
      </c>
      <c r="BB158" s="136">
        <v>45.52</v>
      </c>
      <c r="BC158" s="136">
        <v>90.15</v>
      </c>
      <c r="BD158" s="136">
        <v>45.52</v>
      </c>
      <c r="BE158" s="136">
        <v>34.03</v>
      </c>
      <c r="BF158" s="136">
        <v>44.61</v>
      </c>
      <c r="BG158" s="136">
        <v>38.520000000000003</v>
      </c>
      <c r="BH158" s="136">
        <v>30.62</v>
      </c>
      <c r="BI158" s="136">
        <v>30.8</v>
      </c>
      <c r="BJ158" s="136">
        <v>34.22</v>
      </c>
      <c r="BK158" s="136">
        <v>71.28</v>
      </c>
      <c r="BM158" s="148">
        <v>22.427009724999213</v>
      </c>
      <c r="BN158" s="148">
        <v>15.642671574946375</v>
      </c>
      <c r="BO158" s="148">
        <v>22.427009724999213</v>
      </c>
      <c r="BP158" s="148">
        <v>29.416085950098296</v>
      </c>
      <c r="BQ158" s="148">
        <v>27.147317494193839</v>
      </c>
      <c r="BR158" s="148">
        <v>31.338365109765355</v>
      </c>
      <c r="BS158" s="148">
        <v>35.365085811489692</v>
      </c>
      <c r="BT158" s="148">
        <v>53.156702513826176</v>
      </c>
      <c r="BU158" s="148">
        <v>48.30807296516295</v>
      </c>
      <c r="BV158" s="148">
        <v>42.825481812126256</v>
      </c>
    </row>
  </sheetData>
  <mergeCells count="4">
    <mergeCell ref="C1:Q1"/>
    <mergeCell ref="C2:Q2"/>
    <mergeCell ref="C3:Q3"/>
    <mergeCell ref="S28:AB2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3" name="3">
              <controlPr defaultSize="0" print="0" autoFill="0" autoPict="0" macro="[0]!btnS">
                <anchor moveWithCells="1" sizeWithCells="1">
                  <from>
                    <xdr:col>0</xdr:col>
                    <xdr:colOff>0</xdr:colOff>
                    <xdr:row>23</xdr:row>
                    <xdr:rowOff>0</xdr:rowOff>
                  </from>
                  <to>
                    <xdr:col>1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Gráficos</vt:lpstr>
      </vt:variant>
      <vt:variant>
        <vt:i4>6</vt:i4>
      </vt:variant>
    </vt:vector>
  </HeadingPairs>
  <TitlesOfParts>
    <vt:vector size="14" baseType="lpstr">
      <vt:lpstr>Index</vt:lpstr>
      <vt:lpstr>Comparar</vt:lpstr>
      <vt:lpstr>DATASENSOR</vt:lpstr>
      <vt:lpstr>REPRODUCIBILIDAD</vt:lpstr>
      <vt:lpstr>alt</vt:lpstr>
      <vt:lpstr>DESEMPEÑO  TEMP1</vt:lpstr>
      <vt:lpstr>DESEMPEÑO  TEMP2</vt:lpstr>
      <vt:lpstr>DESEMPEÑO  TEMP3</vt:lpstr>
      <vt:lpstr>Grafica DESEMPEÑO  TEMP1</vt:lpstr>
      <vt:lpstr>Periodo E DESEMPEÑO  TEMP1</vt:lpstr>
      <vt:lpstr>Grafica DESEMPEÑO  TEMP2</vt:lpstr>
      <vt:lpstr>Periodo E DESEMPEÑO  TEMP2</vt:lpstr>
      <vt:lpstr>Grafica DESEMPEÑO  TEMP3</vt:lpstr>
      <vt:lpstr>Periodo E DESEMPEÑO  TEMP3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Nicolas Parra Ramos</dc:creator>
  <cp:lastModifiedBy>Nicolas Parra Ramos</cp:lastModifiedBy>
  <dcterms:created xsi:type="dcterms:W3CDTF">2017-06-30T20:42:41Z</dcterms:created>
  <dcterms:modified xsi:type="dcterms:W3CDTF">2018-01-07T22:39:41Z</dcterms:modified>
</cp:coreProperties>
</file>