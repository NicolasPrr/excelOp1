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cuments\F2G MACROS\AUTOCLAVE\"/>
    </mc:Choice>
  </mc:AlternateContent>
  <bookViews>
    <workbookView xWindow="0" yWindow="0" windowWidth="15345" windowHeight="4455" xr2:uid="{00000000-000D-0000-FFFF-FFFF00000000}"/>
  </bookViews>
  <sheets>
    <sheet name="Index" sheetId="5" r:id="rId1"/>
    <sheet name="Comparar" sheetId="6" r:id="rId2"/>
    <sheet name="DATASENSOR" sheetId="201" state="hidden" r:id="rId3"/>
    <sheet name="REPRODUCIBILIDAD" sheetId="272" r:id="rId4"/>
    <sheet name="alt" sheetId="126" state="hidden" r:id="rId5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9" i="272" l="1"/>
  <c r="J12" i="272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<sst xmlns="http://schemas.openxmlformats.org/spreadsheetml/2006/main" count="190" uniqueCount="141">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</sst>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3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15</xdr:row>
      <xdr:rowOff>156883</xdr:rowOff>
    </xdr:from>
    <xdr:to>
      <xdr:col>8</xdr:col>
      <xdr:colOff>1042147</xdr:colOff>
      <xdr:row>16</xdr:row>
      <xdr:rowOff>226360</xdr:rowOff>
    </xdr:to>
    <xdr:sp macro="[0]!delete_sheet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7B26348-7EF5-4E9E-BE74-175D0B679A43}"/>
            </a:ext>
          </a:extLst>
        </xdr:cNvPr>
        <xdr:cNvSpPr/>
      </xdr:nvSpPr>
      <xdr:spPr>
        <a:xfrm>
          <a:off x="5244353" y="5367618"/>
          <a:ext cx="1636059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BORRAR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6" zoomScale="85" zoomScaleNormal="85" workbookViewId="0">
      <selection activeCell="K19" sqref="K19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23" t="s">
        <v>0</v>
      </c>
      <c r="I1" s="124"/>
      <c r="J1" s="123" t="s">
        <v>61</v>
      </c>
      <c r="K1" s="127"/>
      <c r="L1" s="127"/>
      <c r="M1" s="127"/>
      <c r="N1" s="127"/>
      <c r="O1" s="12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23" t="s">
        <v>7</v>
      </c>
      <c r="M2" s="124"/>
      <c r="N2" s="123">
        <v>3</v>
      </c>
      <c r="O2" s="12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100</v>
      </c>
      <c r="M3" s="42" t="s">
        <v>50</v>
      </c>
      <c r="N3" s="123" t="s">
        <v>52</v>
      </c>
      <c r="O3" s="124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97</v>
      </c>
      <c r="J4" s="40"/>
      <c r="K4" s="39" t="s">
        <v>9</v>
      </c>
      <c r="L4" s="39" t="s">
        <v>53</v>
      </c>
      <c r="M4" s="42" t="s">
        <v>37</v>
      </c>
      <c r="N4" s="123">
        <v>3600</v>
      </c>
      <c r="O4" s="12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 t="s">
        <v>101</v>
      </c>
      <c r="M5" s="39" t="s">
        <v>19</v>
      </c>
      <c r="N5" s="47" t="s">
        <v>102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98</v>
      </c>
      <c r="J6" s="40"/>
      <c r="K6" s="39" t="s">
        <v>11</v>
      </c>
      <c r="L6" s="39" t="s">
        <v>54</v>
      </c>
      <c r="M6" s="39" t="s">
        <v>14</v>
      </c>
      <c r="N6" s="123" t="s">
        <v>48</v>
      </c>
      <c r="O6" s="12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99</v>
      </c>
      <c r="J7" s="40"/>
      <c r="K7" s="39" t="s">
        <v>12</v>
      </c>
      <c r="L7" s="39" t="s">
        <v>55</v>
      </c>
      <c r="M7" s="43" t="s">
        <v>13</v>
      </c>
      <c r="N7" s="128" t="s">
        <v>56</v>
      </c>
      <c r="O7" s="12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23" t="s">
        <v>21</v>
      </c>
      <c r="I8" s="124"/>
      <c r="J8" s="125">
        <v>135</v>
      </c>
      <c r="K8" s="129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23" t="s">
        <v>20</v>
      </c>
      <c r="I9" s="124"/>
      <c r="J9" s="125">
        <v>2.2999999999999998</v>
      </c>
      <c r="K9" s="126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23" t="s">
        <v>46</v>
      </c>
      <c r="I10" s="124"/>
      <c r="J10" s="125" t="s">
        <v>58</v>
      </c>
      <c r="K10" s="126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42837</v>
      </c>
      <c r="BJ1" s="45">
        <v>0.47187499999999999</v>
      </c>
      <c r="BK1" s="44">
        <v>42837</v>
      </c>
      <c r="BL1" s="45">
        <v>0.49236111111111108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G12" sqref="G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104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05" t="s">
        <v>84</v>
      </c>
    </row>
    <row r="12" spans="1:2" ht="15.75" thickBot="1" x14ac:dyDescent="0.3">
      <c r="A12" s="108" t="s">
        <v>71</v>
      </c>
      <c r="B12" s="105" t="s">
        <v>84</v>
      </c>
    </row>
    <row r="13" spans="1:2" x14ac:dyDescent="0.25">
      <c r="A13" s="109" t="s">
        <v>85</v>
      </c>
      <c r="B13" s="110" t="s">
        <v>86</v>
      </c>
    </row>
    <row r="14" spans="1:2" x14ac:dyDescent="0.25">
      <c r="A14" s="109" t="s">
        <v>87</v>
      </c>
      <c r="B14" s="110" t="s">
        <v>88</v>
      </c>
    </row>
    <row r="15" spans="1:2" x14ac:dyDescent="0.25">
      <c r="A15" s="109" t="s">
        <v>89</v>
      </c>
      <c r="B15" s="110" t="s">
        <v>90</v>
      </c>
    </row>
    <row r="16" spans="1:2" x14ac:dyDescent="0.25">
      <c r="A16" s="109" t="s">
        <v>91</v>
      </c>
      <c r="B16" s="110" t="s">
        <v>92</v>
      </c>
    </row>
    <row r="17" spans="1:2" x14ac:dyDescent="0.25">
      <c r="A17" s="109" t="s">
        <v>93</v>
      </c>
      <c r="B17" s="110" t="s">
        <v>94</v>
      </c>
    </row>
    <row r="18" spans="1:2" x14ac:dyDescent="0.25">
      <c r="A18" s="109" t="s">
        <v>95</v>
      </c>
      <c r="B18" s="110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L11" sqref="L11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30" t="s">
        <v>119</v>
      </c>
      <c r="C1" s="130"/>
      <c r="D1" s="130"/>
      <c r="E1" s="112" t="s">
        <v>103</v>
      </c>
      <c r="F1" s="112" t="s">
        <v>120</v>
      </c>
      <c r="G1" s="112" t="s">
        <v>121</v>
      </c>
      <c r="H1" s="112" t="s">
        <v>122</v>
      </c>
      <c r="I1" s="112" t="s">
        <v>123</v>
      </c>
      <c r="J1" s="112" t="s">
        <v>124</v>
      </c>
      <c r="K1" s="121" t="s">
        <v>134</v>
      </c>
      <c r="L1" s="121" t="s">
        <v>122</v>
      </c>
      <c r="M1" s="121" t="s">
        <v>136</v>
      </c>
      <c r="N1" s="121" t="s">
        <v>135</v>
      </c>
      <c r="O1" s="121" t="s">
        <v>140</v>
      </c>
    </row>
    <row r="2" spans="1:15" ht="16.5" thickBot="1" x14ac:dyDescent="0.3">
      <c r="A2" s="113" t="s">
        <v>125</v>
      </c>
      <c r="B2" s="114" t="s">
        <v>126</v>
      </c>
      <c r="C2" s="114" t="s">
        <v>127</v>
      </c>
      <c r="D2" s="114" t="s">
        <v>128</v>
      </c>
      <c r="E2" s="115" t="s">
        <v>129</v>
      </c>
      <c r="F2" s="115" t="s">
        <v>129</v>
      </c>
      <c r="G2" s="115" t="s">
        <v>130</v>
      </c>
      <c r="H2" s="115" t="s">
        <v>125</v>
      </c>
      <c r="I2" s="115" t="s">
        <v>129</v>
      </c>
      <c r="J2" s="115" t="s">
        <v>129</v>
      </c>
      <c r="K2" s="103">
        <v>1000000</v>
      </c>
      <c r="L2" s="103">
        <v>1</v>
      </c>
      <c r="M2" s="122">
        <v>5.9999999999999991</v>
      </c>
      <c r="N2" s="103">
        <v>1</v>
      </c>
      <c r="O2" s="122">
        <v>3.2</v>
      </c>
    </row>
    <row r="3" spans="1:15" ht="16.5" thickBot="1" x14ac:dyDescent="0.3">
      <c r="A3" s="119" t="s">
        <v>108</v>
      </c>
      <c r="B3" s="106">
        <v>22.427009728680247</v>
      </c>
      <c r="C3" s="106">
        <v>22.427009728680247</v>
      </c>
      <c r="D3" s="104">
        <v>22.427009728680247</v>
      </c>
      <c r="E3" s="106">
        <f>AVERAGE(B3:D3)</f>
        <v>22.427009728680247</v>
      </c>
      <c r="F3" s="120">
        <f t="shared" ref="F3:F22" si="0">+STDEV(B3:D3)</f>
        <v>0</v>
      </c>
      <c r="G3" s="106">
        <f t="shared" ref="G3" si="1">$O$2</f>
        <v>3.2</v>
      </c>
      <c r="H3" s="106">
        <f>$L$2</f>
        <v>1</v>
      </c>
      <c r="I3" s="120">
        <f>E3-((F3*G3)/(SQRT(H3)))</f>
        <v>22.427009728680247</v>
      </c>
      <c r="J3" s="120">
        <f>E3+((F3*G3)/(SQRT(H3)))</f>
        <v>22.427009728680247</v>
      </c>
    </row>
    <row r="4" spans="1:15" ht="16.5" thickBot="1" x14ac:dyDescent="0.3">
      <c r="A4" s="117" t="s">
        <v>109</v>
      </c>
      <c r="B4" s="107">
        <v>15.643055255691056</v>
      </c>
      <c r="C4" s="107">
        <v>15.643055255691056</v>
      </c>
      <c r="D4" s="105">
        <v>15.643055255691056</v>
      </c>
      <c r="E4" s="106">
        <f t="shared" ref="E4:E22" si="2">AVERAGE(B4:D4)</f>
        <v>15.643055255691058</v>
      </c>
      <c r="F4" s="120">
        <f t="shared" si="0"/>
        <v>2.1755839288168292E-15</v>
      </c>
      <c r="G4" s="106">
        <f>$O$2</f>
        <v>3.2</v>
      </c>
      <c r="H4" s="106">
        <f t="shared" ref="H4:H22" si="3">$L$2</f>
        <v>1</v>
      </c>
      <c r="I4" s="120">
        <f t="shared" ref="I4:I22" si="4">E4-((F4*G4)/(SQRT(H4)))</f>
        <v>15.643055255691051</v>
      </c>
      <c r="J4" s="120">
        <f t="shared" ref="J4:J22" si="5">E4+((F4*G4)/(SQRT(H4)))</f>
        <v>15.643055255691065</v>
      </c>
    </row>
    <row r="5" spans="1:15" ht="16.5" thickBot="1" x14ac:dyDescent="0.3">
      <c r="A5" s="117" t="s">
        <v>110</v>
      </c>
      <c r="B5" s="107">
        <v>22.427009728680247</v>
      </c>
      <c r="C5" s="107">
        <v>22.427009728680247</v>
      </c>
      <c r="D5" s="105">
        <v>22.427009728680247</v>
      </c>
      <c r="E5" s="106">
        <f t="shared" si="2"/>
        <v>22.427009728680247</v>
      </c>
      <c r="F5" s="120">
        <f t="shared" si="0"/>
        <v>0</v>
      </c>
      <c r="G5" s="106">
        <f t="shared" ref="G5:G22" si="6">$O$2</f>
        <v>3.2</v>
      </c>
      <c r="H5" s="106">
        <f t="shared" si="3"/>
        <v>1</v>
      </c>
      <c r="I5" s="120">
        <f t="shared" si="4"/>
        <v>22.427009728680247</v>
      </c>
      <c r="J5" s="120">
        <f t="shared" si="5"/>
        <v>22.427009728680247</v>
      </c>
    </row>
    <row r="6" spans="1:15" ht="16.5" thickBot="1" x14ac:dyDescent="0.3">
      <c r="A6" s="117" t="s">
        <v>111</v>
      </c>
      <c r="B6" s="107">
        <v>29.416085950639012</v>
      </c>
      <c r="C6" s="107">
        <v>29.416085950639012</v>
      </c>
      <c r="D6" s="107">
        <v>29.416085950639012</v>
      </c>
      <c r="E6" s="106">
        <f t="shared" si="2"/>
        <v>29.416085950639012</v>
      </c>
      <c r="F6" s="120">
        <f t="shared" si="0"/>
        <v>0</v>
      </c>
      <c r="G6" s="106">
        <f t="shared" si="6"/>
        <v>3.2</v>
      </c>
      <c r="H6" s="106">
        <f t="shared" si="3"/>
        <v>1</v>
      </c>
      <c r="I6" s="120">
        <f t="shared" si="4"/>
        <v>29.416085950639012</v>
      </c>
      <c r="J6" s="120">
        <f t="shared" si="5"/>
        <v>29.416085950639012</v>
      </c>
    </row>
    <row r="7" spans="1:15" ht="16.5" thickBot="1" x14ac:dyDescent="0.3">
      <c r="A7" s="117" t="s">
        <v>112</v>
      </c>
      <c r="B7" s="107">
        <v>27.147317495963826</v>
      </c>
      <c r="C7" s="107">
        <v>27.147317495963826</v>
      </c>
      <c r="D7" s="105">
        <v>27.147317495963826</v>
      </c>
      <c r="E7" s="106">
        <f t="shared" si="2"/>
        <v>27.147317495963829</v>
      </c>
      <c r="F7" s="120">
        <f t="shared" si="0"/>
        <v>4.3511678576336583E-15</v>
      </c>
      <c r="G7" s="106">
        <f t="shared" si="6"/>
        <v>3.2</v>
      </c>
      <c r="H7" s="106">
        <f t="shared" si="3"/>
        <v>1</v>
      </c>
      <c r="I7" s="120">
        <f t="shared" si="4"/>
        <v>27.147317495963815</v>
      </c>
      <c r="J7" s="120">
        <f t="shared" si="5"/>
        <v>27.147317495963843</v>
      </c>
    </row>
    <row r="8" spans="1:15" ht="16.5" thickBot="1" x14ac:dyDescent="0.3">
      <c r="A8" s="117" t="s">
        <v>113</v>
      </c>
      <c r="B8" s="107">
        <v>31.338365112469127</v>
      </c>
      <c r="C8" s="107">
        <v>31.338365112469127</v>
      </c>
      <c r="D8" s="105">
        <v>31.338365112469127</v>
      </c>
      <c r="E8" s="106">
        <f t="shared" si="2"/>
        <v>31.33836511246913</v>
      </c>
      <c r="F8" s="120">
        <f t="shared" si="0"/>
        <v>4.3511678576336583E-15</v>
      </c>
      <c r="G8" s="106">
        <f t="shared" si="6"/>
        <v>3.2</v>
      </c>
      <c r="H8" s="106">
        <f t="shared" si="3"/>
        <v>1</v>
      </c>
      <c r="I8" s="120">
        <f t="shared" si="4"/>
        <v>31.338365112469116</v>
      </c>
      <c r="J8" s="120">
        <f t="shared" si="5"/>
        <v>31.338365112469145</v>
      </c>
    </row>
    <row r="9" spans="1:15" ht="16.5" thickBot="1" x14ac:dyDescent="0.3">
      <c r="A9" s="117" t="s">
        <v>105</v>
      </c>
      <c r="B9" s="107">
        <v>35.365085811864638</v>
      </c>
      <c r="C9" s="107">
        <v>35.365085811864638</v>
      </c>
      <c r="D9" s="107">
        <v>35.365085811864638</v>
      </c>
      <c r="E9" s="106">
        <f t="shared" si="2"/>
        <v>35.365085811864638</v>
      </c>
      <c r="F9" s="120">
        <f t="shared" si="0"/>
        <v>0</v>
      </c>
      <c r="G9" s="106">
        <f t="shared" si="6"/>
        <v>3.2</v>
      </c>
      <c r="H9" s="106">
        <f t="shared" si="3"/>
        <v>1</v>
      </c>
      <c r="I9" s="120">
        <f t="shared" si="4"/>
        <v>35.365085811864638</v>
      </c>
      <c r="J9" s="120">
        <f t="shared" si="5"/>
        <v>35.365085811864638</v>
      </c>
    </row>
    <row r="10" spans="1:15" ht="16.5" thickBot="1" x14ac:dyDescent="0.3">
      <c r="A10" s="117" t="s">
        <v>106</v>
      </c>
      <c r="B10" s="107">
        <v>53.156702514192588</v>
      </c>
      <c r="C10" s="107">
        <v>53.156702514192588</v>
      </c>
      <c r="D10" s="105">
        <v>53.156702514192588</v>
      </c>
      <c r="E10" s="106">
        <f t="shared" si="2"/>
        <v>53.156702514192581</v>
      </c>
      <c r="F10" s="120">
        <f t="shared" si="0"/>
        <v>8.7023357152673167E-15</v>
      </c>
      <c r="G10" s="106">
        <f t="shared" si="6"/>
        <v>3.2</v>
      </c>
      <c r="H10" s="106">
        <f t="shared" si="3"/>
        <v>1</v>
      </c>
      <c r="I10" s="120">
        <f t="shared" si="4"/>
        <v>53.156702514192553</v>
      </c>
      <c r="J10" s="120">
        <f t="shared" si="5"/>
        <v>53.156702514192609</v>
      </c>
    </row>
    <row r="11" spans="1:15" ht="16.5" thickBot="1" x14ac:dyDescent="0.3">
      <c r="A11" s="117" t="s">
        <v>107</v>
      </c>
      <c r="B11" s="107">
        <v>48.308072965595436</v>
      </c>
      <c r="C11" s="107">
        <v>48.308072965595436</v>
      </c>
      <c r="D11" s="105">
        <v>48.308072965595436</v>
      </c>
      <c r="E11" s="106">
        <f t="shared" si="2"/>
        <v>48.308072965595436</v>
      </c>
      <c r="F11" s="120">
        <f t="shared" si="0"/>
        <v>0</v>
      </c>
      <c r="G11" s="106">
        <f t="shared" si="6"/>
        <v>3.2</v>
      </c>
      <c r="H11" s="106">
        <f t="shared" si="3"/>
        <v>1</v>
      </c>
      <c r="I11" s="120">
        <f t="shared" si="4"/>
        <v>48.308072965595436</v>
      </c>
      <c r="J11" s="120">
        <f t="shared" si="5"/>
        <v>48.308072965595436</v>
      </c>
    </row>
    <row r="12" spans="1:15" ht="16.5" thickBot="1" x14ac:dyDescent="0.3">
      <c r="A12" s="118" t="s">
        <v>114</v>
      </c>
      <c r="B12" s="108">
        <v>42.825485384607887</v>
      </c>
      <c r="C12" s="108">
        <v>42.825485384607887</v>
      </c>
      <c r="D12" s="116">
        <v>42.825485384607887</v>
      </c>
      <c r="E12" s="106">
        <f t="shared" si="2"/>
        <v>42.825485384607894</v>
      </c>
      <c r="F12" s="120">
        <f t="shared" si="0"/>
        <v>8.7023357152673167E-15</v>
      </c>
      <c r="G12" s="106">
        <f t="shared" si="6"/>
        <v>3.2</v>
      </c>
      <c r="H12" s="106">
        <f t="shared" si="3"/>
        <v>1</v>
      </c>
      <c r="I12" s="120">
        <f t="shared" si="4"/>
        <v>42.825485384607866</v>
      </c>
      <c r="J12" s="120">
        <f t="shared" si="5"/>
        <v>42.825485384607923</v>
      </c>
    </row>
    <row r="13" spans="1:15" ht="16.5" thickBot="1" x14ac:dyDescent="0.3">
      <c r="A13" s="117" t="s">
        <v>115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1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137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1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116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1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117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1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118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1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131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1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132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1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133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1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138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1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139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1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Comparar</vt:lpstr>
      <vt:lpstr>DATASENSOR</vt:lpstr>
      <vt:lpstr>REPRODUCIBILIDAD</vt:lpstr>
      <vt:lpstr>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2018-01-08T23:44:09Z</dcterms:modified>
</cp:coreProperties>
</file>