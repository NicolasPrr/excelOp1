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6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2.xml" ContentType="application/vnd.ms-excel.controlproperti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Downloads\"/>
    </mc:Choice>
  </mc:AlternateContent>
  <bookViews>
    <workbookView xWindow="0" yWindow="0" windowWidth="20490" windowHeight="7530" firstSheet="9" activeTab="11" xr2:uid="{00000000-000D-0000-FFFF-FFFF00000000}"/>
  </bookViews>
  <sheets>
    <sheet name="Index" sheetId="5" r:id="rId1"/>
    <sheet name="Comparar" sheetId="6" r:id="rId2"/>
    <sheet name="VELOCIDADES" sheetId="56" state="hidden" r:id="rId3"/>
    <sheet name="DATASENSOR" sheetId="17" state="hidden" r:id="rId4"/>
    <sheet name="Grafica OPERACIONAL 1" sheetId="66" r:id="rId5"/>
    <sheet name="Periodo E OPERACIONAL 1" sheetId="67" r:id="rId6"/>
    <sheet name="OPERACIONAL 1" sheetId="63" r:id="rId7"/>
    <sheet name="Grafica OPERACIONAL 2" sheetId="68" r:id="rId8"/>
    <sheet name="Periodo E OPERACIONAL 2" sheetId="69" r:id="rId9"/>
    <sheet name="OPERACIONAL 2" sheetId="64" r:id="rId10"/>
    <sheet name="Grafica OPERACIONAL 3" sheetId="70" r:id="rId11"/>
    <sheet name="Periodo E OPERACIONAL 3" sheetId="71" r:id="rId12"/>
    <sheet name="OPERACIONAL 3" sheetId="65" r:id="rId13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56" l="1"/>
  <c r="J18" i="56"/>
  <c r="J17" i="56"/>
  <c r="J16" i="56"/>
  <c r="J15" i="56"/>
  <c r="J14" i="56"/>
  <c r="J13" i="56"/>
  <c r="I18" i="56"/>
  <c r="I17" i="56"/>
  <c r="I16" i="56"/>
  <c r="I15" i="56"/>
  <c r="I14" i="56"/>
  <c r="I13" i="56"/>
  <c r="P21" i="6" l="1"/>
  <c r="P14" i="6"/>
  <c r="O1" i="6"/>
  <c r="N24" i="6"/>
  <c r="N23" i="6"/>
  <c r="N22" i="6"/>
  <c r="N21" i="6"/>
  <c r="N14" i="6"/>
  <c r="N13" i="6"/>
  <c r="N12" i="6"/>
  <c r="N11" i="6"/>
  <c r="N4" i="6"/>
  <c r="N3" i="6"/>
  <c r="N2" i="6"/>
  <c r="N1" i="6"/>
  <c r="K17" i="56"/>
  <c r="K14" i="56"/>
  <c r="K18" i="56"/>
  <c r="K16" i="56"/>
  <c r="K15" i="56"/>
</calcChain>
</file>

<file path=xl/sharedStrings.xml><?xml version="1.0" encoding="utf-8"?>
<sst xmlns="http://schemas.openxmlformats.org/spreadsheetml/2006/main" count="270" uniqueCount="118">
  <si>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</si>
  <si>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</si>
  <si>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</si>
  <si>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</si>
  <si>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</si>
  <si>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</si>
  <si>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</si>
  <si>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</si>
  <si>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</si>
  <si>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</si>
  <si>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</si>
  <si>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</si>
  <si>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</si>
  <si>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</si>
  <si>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</si>
  <si>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</si>
  <si>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</si>
  <si>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</si>
  <si>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</si>
  <si>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</si>
  <si>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</si>
  <si>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</si>
  <si>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</si>
  <si>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LABORATORIOS BUSSIE</t>
  </si>
  <si>
    <t>FEDERICO.LOPEZ@BUSSIE.COM.CO</t>
  </si>
  <si>
    <t>ANALOGA</t>
  </si>
  <si>
    <t>MICROBIOLOGIA</t>
  </si>
  <si>
    <t>N.A.</t>
  </si>
  <si>
    <t>V5Y0690249</t>
  </si>
  <si>
    <t>WTD1003D</t>
  </si>
  <si>
    <t>320 LITROS</t>
  </si>
  <si>
    <t>REFRIGERAR-CONGELAR</t>
  </si>
  <si>
    <t>DIAGONAL 19D  N°39-41 BOGOTÁ</t>
  </si>
  <si>
    <t>I-17103101-35</t>
  </si>
  <si>
    <t>Sensor 1 camara temperatura</t>
  </si>
  <si>
    <t>Sensor 2 temperatura</t>
  </si>
  <si>
    <t>Sensor 3 presion</t>
  </si>
  <si>
    <t>Sensor 4 presión</t>
  </si>
  <si>
    <t>Ciclo 1</t>
  </si>
  <si>
    <t xml:space="preserve">Ciclo 2 </t>
  </si>
  <si>
    <t>Ciclo 3</t>
  </si>
  <si>
    <t>OPERACIONAL</t>
  </si>
  <si>
    <t>TANQUE</t>
  </si>
  <si>
    <t>ID SENSOR</t>
  </si>
  <si>
    <t>CODIGO CERTIFICADO</t>
  </si>
  <si>
    <t>Q07967</t>
  </si>
  <si>
    <t>LMS2188</t>
  </si>
  <si>
    <t>Q07518</t>
  </si>
  <si>
    <t>LMS2192</t>
  </si>
  <si>
    <t>Q07521</t>
  </si>
  <si>
    <t>LMS2191</t>
  </si>
  <si>
    <t>Q07970</t>
  </si>
  <si>
    <t>LMS2189</t>
  </si>
  <si>
    <t>Q07972</t>
  </si>
  <si>
    <t>LMS2186</t>
  </si>
  <si>
    <t>Q07974</t>
  </si>
  <si>
    <t>LMS2187</t>
  </si>
  <si>
    <t>Q07977</t>
  </si>
  <si>
    <t>LMS2193</t>
  </si>
  <si>
    <t>Q02726</t>
  </si>
  <si>
    <t>LMS2184</t>
  </si>
  <si>
    <t>Q07513</t>
  </si>
  <si>
    <t>LMS2190</t>
  </si>
  <si>
    <t>Q00749</t>
  </si>
  <si>
    <t>???????</t>
  </si>
  <si>
    <t>Q01421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</si>
  <si>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</si>
  <si>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</si>
  <si>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</si>
  <si>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</si>
  <si>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</si>
  <si>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</si>
  <si>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</si>
  <si>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</si>
  <si>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</si>
  <si>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</si>
  <si>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</si>
  <si>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</si>
  <si>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VELOCIDAD PROGRAMADA</t>
  </si>
  <si>
    <t>VELOCIDAD 1</t>
  </si>
  <si>
    <t>VELOCIDAD 2</t>
  </si>
  <si>
    <t>VELOCIDAD 3</t>
  </si>
  <si>
    <t>PROMEDIO</t>
  </si>
  <si>
    <t xml:space="preserve">DESVIACION </t>
  </si>
  <si>
    <t>RSD</t>
  </si>
  <si>
    <t>RPM</t>
  </si>
  <si>
    <t>ESTANDAR</t>
  </si>
  <si>
    <t>NUMERO VELOCIDADES</t>
  </si>
  <si>
    <t>TABLA 1. CALIFICACIÓN  OPERACIONAL - ESTUDIO DE DISTRIBUCIÓN DE CALOR</t>
  </si>
  <si>
    <t>EQUIPO: TANQUE.SERIAL: V5Y0690249  MARCA: V5Y0690249  UBICACIÓN: MICROBIOLOGIA</t>
  </si>
  <si>
    <t>LABORATORIOS BUSSIE  FECHA CALIFICACIÓN: 21/11/2017</t>
  </si>
  <si>
    <t>Orden numerico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</si>
  <si>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</si>
  <si>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</si>
  <si>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</si>
  <si>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</si>
  <si>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</si>
  <si>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</si>
  <si>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</si>
  <si>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TABLA 2. CALIFICACIÓN  OPERACIONAL - ESTUDIO DE DISTRIBUCIÓN DE CALOR</t>
  </si>
  <si>
    <t>TABLA 3. CALIFICACIÓN  OPERACIONAL - ESTUDIO DE DISTRIBUCIÓN DE CALOR</t>
  </si>
  <si>
    <t>FECHA</t>
  </si>
  <si>
    <t>PUNTO 1</t>
  </si>
  <si>
    <t>PUNTO 2</t>
  </si>
  <si>
    <t>PUNTO 3</t>
  </si>
  <si>
    <t>adasd</t>
  </si>
  <si>
    <t>asdasdadw2</t>
  </si>
  <si>
    <t>sadasd</t>
  </si>
  <si>
    <t>NO</t>
  </si>
  <si>
    <t>HORA</t>
  </si>
  <si>
    <t>X</t>
  </si>
  <si>
    <t>CAMARA</t>
  </si>
  <si>
    <t>Diferencia</t>
  </si>
  <si>
    <t>Maxima diferencia</t>
  </si>
  <si>
    <t xml:space="preserve">SENSORES DEL EQUIPO: </t>
  </si>
  <si>
    <t>maxDifFirst</t>
  </si>
  <si>
    <t>Diferencia con el sensor del equipo 1</t>
  </si>
  <si>
    <t>AUTOMATICO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</si>
</sst>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9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sz val="10"/>
      <name val="Arial"/>
      <family val="2"/>
    </font>
    <font>
      <b/>
      <sz val="12"/>
      <name val="Agency FB"/>
      <family val="2"/>
    </font>
    <font>
      <sz val="10"/>
      <name val="Verdana"/>
      <family val="2"/>
    </font>
    <font>
      <sz val="10"/>
      <color theme="1"/>
      <name val="Calibri"/>
      <family val="2"/>
      <scheme val="minor"/>
    </font>
    <font>
      <b/>
      <i/>
      <sz val="10"/>
      <color rgb="FFFF0000"/>
      <name val="Verdana"/>
      <family val="2"/>
    </font>
    <font>
      <sz val="11"/>
      <color rgb="FF000000"/>
      <name val="Calibri"/>
      <family val="2"/>
    </font>
    <font>
      <b/>
      <sz val="12"/>
      <color theme="1"/>
      <name val="Agency FB"/>
      <family val="2"/>
    </font>
    <font>
      <b/>
      <i/>
      <sz val="12"/>
      <color theme="1"/>
      <name val="Agency FB"/>
      <family val="2"/>
    </font>
    <font>
      <b/>
      <sz val="12"/>
      <color rgb="FFFF0000"/>
      <name val="Agency FB"/>
      <family val="2"/>
    </font>
    <font>
      <b/>
      <sz val="12"/>
      <color indexed="10"/>
      <name val="Agency FB"/>
      <family val="2"/>
    </font>
    <font>
      <b/>
      <sz val="12"/>
      <color theme="0"/>
      <name val="Agency FB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indexed="48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8" fillId="0" borderId="0"/>
  </cellStyleXfs>
  <cellXfs count="191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10" borderId="0" xfId="0" applyFill="1"/>
    <xf numFmtId="0" fontId="3" fillId="4" borderId="12" xfId="0" applyFont="1" applyFill="1" applyBorder="1"/>
    <xf numFmtId="0" fontId="3" fillId="6" borderId="8" xfId="0" applyFont="1" applyFill="1" applyBorder="1"/>
    <xf numFmtId="0" fontId="0" fillId="2" borderId="24" xfId="0" applyFill="1" applyBorder="1"/>
    <xf numFmtId="0" fontId="0" fillId="4" borderId="25" xfId="0" applyFill="1" applyBorder="1"/>
    <xf numFmtId="0" fontId="5" fillId="4" borderId="19" xfId="0" applyFont="1" applyFill="1" applyBorder="1"/>
    <xf numFmtId="0" fontId="0" fillId="6" borderId="19" xfId="0" applyFill="1" applyBorder="1"/>
    <xf numFmtId="0" fontId="0" fillId="2" borderId="4" xfId="0" applyFill="1" applyBorder="1"/>
    <xf numFmtId="0" fontId="0" fillId="4" borderId="16" xfId="0" applyFill="1" applyBorder="1"/>
    <xf numFmtId="0" fontId="0" fillId="6" borderId="16" xfId="0" applyFill="1" applyBorder="1"/>
    <xf numFmtId="0" fontId="0" fillId="2" borderId="0" xfId="0" applyFill="1"/>
    <xf numFmtId="0" fontId="0" fillId="4" borderId="26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7" borderId="27" xfId="0" applyFill="1" applyBorder="1"/>
    <xf numFmtId="0" fontId="0" fillId="7" borderId="25" xfId="0" applyFill="1" applyBorder="1"/>
    <xf numFmtId="0" fontId="0" fillId="4" borderId="28" xfId="0" applyFill="1" applyBorder="1"/>
    <xf numFmtId="0" fontId="0" fillId="4" borderId="29" xfId="0" applyFill="1" applyBorder="1"/>
    <xf numFmtId="0" fontId="0" fillId="5" borderId="29" xfId="0" applyFill="1" applyBorder="1"/>
    <xf numFmtId="0" fontId="0" fillId="5" borderId="30" xfId="0" applyFill="1" applyBorder="1"/>
    <xf numFmtId="0" fontId="0" fillId="5" borderId="28" xfId="0" applyFill="1" applyBorder="1"/>
    <xf numFmtId="0" fontId="0" fillId="6" borderId="31" xfId="0" applyFill="1" applyBorder="1"/>
    <xf numFmtId="0" fontId="0" fillId="6" borderId="32" xfId="0" applyFill="1" applyBorder="1"/>
    <xf numFmtId="0" fontId="0" fillId="6" borderId="33" xfId="0" applyFill="1" applyBorder="1"/>
    <xf numFmtId="0" fontId="0" fillId="7" borderId="32" xfId="0" applyFill="1" applyBorder="1"/>
    <xf numFmtId="0" fontId="0" fillId="7" borderId="33" xfId="0" applyFill="1" applyBorder="1"/>
    <xf numFmtId="0" fontId="0" fillId="2" borderId="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21" fontId="6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0" fontId="9" fillId="2" borderId="21" xfId="1" applyFont="1" applyFill="1" applyBorder="1" applyAlignment="1">
      <alignment horizontal="center"/>
    </xf>
    <xf numFmtId="165" fontId="6" fillId="2" borderId="0" xfId="1" applyNumberFormat="1" applyFont="1" applyFill="1" applyBorder="1" applyAlignment="1">
      <alignment horizontal="center"/>
    </xf>
    <xf numFmtId="165" fontId="6" fillId="2" borderId="22" xfId="1" applyNumberFormat="1" applyFont="1" applyFill="1" applyBorder="1" applyAlignment="1">
      <alignment horizontal="center"/>
    </xf>
    <xf numFmtId="165" fontId="6" fillId="2" borderId="34" xfId="1" applyNumberFormat="1" applyFont="1" applyFill="1" applyBorder="1" applyAlignment="1">
      <alignment horizontal="center"/>
    </xf>
    <xf numFmtId="165" fontId="6" fillId="2" borderId="23" xfId="1" applyNumberFormat="1" applyFont="1" applyFill="1" applyBorder="1" applyAlignment="1">
      <alignment horizontal="center"/>
    </xf>
    <xf numFmtId="2" fontId="0" fillId="0" borderId="0" xfId="0" applyNumberFormat="1"/>
    <xf numFmtId="0" fontId="7" fillId="11" borderId="20" xfId="0" applyFont="1" applyFill="1" applyBorder="1" applyAlignment="1">
      <alignment horizontal="center"/>
    </xf>
    <xf numFmtId="0" fontId="0" fillId="0" borderId="8" xfId="0" applyBorder="1"/>
    <xf numFmtId="0" fontId="0" fillId="0" borderId="11" xfId="0" applyBorder="1"/>
    <xf numFmtId="0" fontId="0" fillId="0" borderId="24" xfId="0" applyBorder="1"/>
    <xf numFmtId="0" fontId="0" fillId="0" borderId="9" xfId="0" applyBorder="1"/>
    <xf numFmtId="0" fontId="0" fillId="0" borderId="4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10" fillId="0" borderId="0" xfId="0" applyFont="1" applyAlignment="1">
      <alignment horizontal="center" vertical="center"/>
    </xf>
    <xf numFmtId="0" fontId="10" fillId="0" borderId="35" xfId="0" applyFont="1" applyBorder="1" applyAlignment="1" applyProtection="1">
      <alignment vertical="center"/>
      <protection hidden="1"/>
    </xf>
    <xf numFmtId="0" fontId="10" fillId="0" borderId="39" xfId="0" applyFont="1" applyBorder="1" applyAlignment="1" applyProtection="1">
      <alignment horizontal="center" vertical="center"/>
      <protection hidden="1"/>
    </xf>
    <xf numFmtId="0" fontId="11" fillId="0" borderId="8" xfId="0" applyFont="1" applyBorder="1"/>
    <xf numFmtId="0" fontId="10" fillId="0" borderId="44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0" fontId="10" fillId="0" borderId="48" xfId="0" applyFont="1" applyBorder="1" applyAlignment="1">
      <alignment horizontal="center" vertical="center"/>
    </xf>
    <xf numFmtId="2" fontId="10" fillId="0" borderId="43" xfId="0" applyNumberFormat="1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0" fillId="0" borderId="0" xfId="0" applyBorder="1"/>
    <xf numFmtId="165" fontId="0" fillId="0" borderId="0" xfId="0" applyNumberFormat="1" applyBorder="1"/>
    <xf numFmtId="1" fontId="0" fillId="0" borderId="0" xfId="0" applyNumberFormat="1" applyBorder="1"/>
    <xf numFmtId="0" fontId="10" fillId="0" borderId="0" xfId="0" applyFont="1" applyAlignment="1">
      <alignment vertical="center"/>
    </xf>
    <xf numFmtId="2" fontId="10" fillId="0" borderId="47" xfId="0" applyNumberFormat="1" applyFont="1" applyBorder="1" applyAlignment="1">
      <alignment vertical="center"/>
    </xf>
    <xf numFmtId="1" fontId="10" fillId="0" borderId="47" xfId="0" applyNumberFormat="1" applyFont="1" applyBorder="1" applyAlignment="1">
      <alignment vertical="center"/>
    </xf>
    <xf numFmtId="2" fontId="10" fillId="0" borderId="45" xfId="0" applyNumberFormat="1" applyFont="1" applyBorder="1" applyAlignment="1">
      <alignment vertical="center"/>
    </xf>
    <xf numFmtId="1" fontId="10" fillId="0" borderId="45" xfId="0" applyNumberFormat="1" applyFont="1" applyBorder="1" applyAlignment="1">
      <alignment vertical="center"/>
    </xf>
    <xf numFmtId="165" fontId="10" fillId="0" borderId="45" xfId="0" applyNumberFormat="1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41" xfId="0" applyFont="1" applyBorder="1" applyAlignment="1">
      <alignment vertical="center"/>
    </xf>
    <xf numFmtId="165" fontId="10" fillId="0" borderId="43" xfId="0" applyNumberFormat="1" applyFont="1" applyBorder="1" applyAlignment="1">
      <alignment vertical="center"/>
    </xf>
    <xf numFmtId="0" fontId="10" fillId="0" borderId="36" xfId="0" applyFont="1" applyBorder="1" applyAlignment="1" applyProtection="1">
      <alignment vertical="center"/>
      <protection hidden="1"/>
    </xf>
    <xf numFmtId="0" fontId="10" fillId="0" borderId="37" xfId="0" applyFont="1" applyBorder="1" applyAlignment="1" applyProtection="1">
      <alignment vertical="center"/>
      <protection hidden="1"/>
    </xf>
    <xf numFmtId="0" fontId="10" fillId="0" borderId="38" xfId="0" applyFont="1" applyBorder="1" applyAlignment="1" applyProtection="1">
      <alignment vertical="center"/>
      <protection hidden="1"/>
    </xf>
    <xf numFmtId="0" fontId="10" fillId="0" borderId="42" xfId="0" applyFont="1" applyBorder="1" applyAlignment="1" applyProtection="1">
      <alignment vertical="center"/>
      <protection hidden="1"/>
    </xf>
    <xf numFmtId="2" fontId="10" fillId="0" borderId="36" xfId="0" applyNumberFormat="1" applyFont="1" applyBorder="1" applyAlignment="1">
      <alignment vertical="center"/>
    </xf>
    <xf numFmtId="2" fontId="10" fillId="0" borderId="49" xfId="0" applyNumberFormat="1" applyFont="1" applyBorder="1" applyAlignment="1">
      <alignment vertical="center"/>
    </xf>
    <xf numFmtId="2" fontId="10" fillId="0" borderId="40" xfId="0" applyNumberFormat="1" applyFont="1" applyBorder="1" applyAlignment="1">
      <alignment vertical="center"/>
    </xf>
    <xf numFmtId="165" fontId="10" fillId="0" borderId="50" xfId="0" applyNumberFormat="1" applyFont="1" applyBorder="1" applyAlignment="1">
      <alignment horizontal="center" vertical="center"/>
    </xf>
    <xf numFmtId="165" fontId="10" fillId="0" borderId="51" xfId="0" applyNumberFormat="1" applyFont="1" applyBorder="1" applyAlignment="1">
      <alignment horizontal="center" vertical="center"/>
    </xf>
    <xf numFmtId="165" fontId="10" fillId="0" borderId="52" xfId="0" applyNumberFormat="1" applyFont="1" applyBorder="1" applyAlignment="1">
      <alignment horizontal="center" vertical="center"/>
    </xf>
    <xf numFmtId="0" fontId="10" fillId="0" borderId="53" xfId="0" applyFont="1" applyBorder="1" applyAlignment="1">
      <alignment vertical="center"/>
    </xf>
    <xf numFmtId="2" fontId="10" fillId="0" borderId="24" xfId="0" applyNumberFormat="1" applyFont="1" applyBorder="1" applyAlignment="1">
      <alignment vertical="center"/>
    </xf>
    <xf numFmtId="2" fontId="10" fillId="0" borderId="4" xfId="0" applyNumberFormat="1" applyFont="1" applyBorder="1" applyAlignment="1">
      <alignment vertical="center"/>
    </xf>
    <xf numFmtId="2" fontId="10" fillId="0" borderId="7" xfId="0" applyNumberFormat="1" applyFont="1" applyBorder="1" applyAlignment="1">
      <alignment vertical="center"/>
    </xf>
    <xf numFmtId="165" fontId="10" fillId="0" borderId="11" xfId="0" applyNumberFormat="1" applyFont="1" applyBorder="1" applyAlignment="1">
      <alignment vertical="center"/>
    </xf>
    <xf numFmtId="165" fontId="10" fillId="0" borderId="9" xfId="0" applyNumberFormat="1" applyFont="1" applyBorder="1" applyAlignment="1">
      <alignment vertical="center"/>
    </xf>
    <xf numFmtId="165" fontId="10" fillId="0" borderId="13" xfId="0" applyNumberFormat="1" applyFont="1" applyBorder="1" applyAlignment="1">
      <alignment vertical="center"/>
    </xf>
    <xf numFmtId="0" fontId="14" fillId="12" borderId="66" xfId="0" applyFont="1" applyFill="1" applyBorder="1" applyAlignment="1">
      <alignment horizontal="center"/>
    </xf>
    <xf numFmtId="0" fontId="16" fillId="12" borderId="67" xfId="0" applyFont="1" applyFill="1" applyBorder="1" applyAlignment="1">
      <alignment horizontal="center"/>
    </xf>
    <xf numFmtId="0" fontId="14" fillId="12" borderId="68" xfId="0" applyFont="1" applyFill="1" applyBorder="1" applyAlignment="1">
      <alignment horizontal="center"/>
    </xf>
    <xf numFmtId="165" fontId="7" fillId="12" borderId="60" xfId="0" applyNumberFormat="1" applyFont="1" applyFill="1" applyBorder="1" applyAlignment="1">
      <alignment horizontal="center"/>
    </xf>
    <xf numFmtId="165" fontId="7" fillId="12" borderId="61" xfId="0" applyNumberFormat="1" applyFont="1" applyFill="1" applyBorder="1" applyAlignment="1">
      <alignment horizontal="center"/>
    </xf>
    <xf numFmtId="165" fontId="7" fillId="12" borderId="62" xfId="0" applyNumberFormat="1" applyFont="1" applyFill="1" applyBorder="1" applyAlignment="1">
      <alignment horizontal="center"/>
    </xf>
    <xf numFmtId="165" fontId="7" fillId="12" borderId="63" xfId="0" applyNumberFormat="1" applyFont="1" applyFill="1" applyBorder="1" applyAlignment="1">
      <alignment horizontal="center"/>
    </xf>
    <xf numFmtId="165" fontId="7" fillId="12" borderId="64" xfId="0" applyNumberFormat="1" applyFont="1" applyFill="1" applyBorder="1" applyAlignment="1">
      <alignment horizontal="center"/>
    </xf>
    <xf numFmtId="165" fontId="7" fillId="12" borderId="65" xfId="0" applyNumberFormat="1" applyFont="1" applyFill="1" applyBorder="1" applyAlignment="1">
      <alignment horizontal="center"/>
    </xf>
    <xf numFmtId="0" fontId="14" fillId="12" borderId="20" xfId="0" applyFont="1" applyFill="1" applyBorder="1" applyAlignment="1">
      <alignment horizontal="center"/>
    </xf>
    <xf numFmtId="164" fontId="7" fillId="12" borderId="69" xfId="0" applyNumberFormat="1" applyFont="1" applyFill="1" applyBorder="1" applyAlignment="1">
      <alignment horizontal="center"/>
    </xf>
    <xf numFmtId="164" fontId="7" fillId="12" borderId="70" xfId="0" applyNumberFormat="1" applyFont="1" applyFill="1" applyBorder="1" applyAlignment="1">
      <alignment horizontal="center"/>
    </xf>
    <xf numFmtId="164" fontId="7" fillId="13" borderId="70" xfId="0" applyNumberFormat="1" applyFont="1" applyFill="1" applyBorder="1" applyAlignment="1">
      <alignment horizontal="center"/>
    </xf>
    <xf numFmtId="164" fontId="7" fillId="12" borderId="71" xfId="0" applyNumberFormat="1" applyFont="1" applyFill="1" applyBorder="1" applyAlignment="1">
      <alignment horizontal="center"/>
    </xf>
    <xf numFmtId="0" fontId="15" fillId="12" borderId="20" xfId="0" applyFont="1" applyFill="1" applyBorder="1" applyAlignment="1">
      <alignment horizontal="center"/>
    </xf>
    <xf numFmtId="20" fontId="7" fillId="12" borderId="69" xfId="0" applyNumberFormat="1" applyFont="1" applyFill="1" applyBorder="1" applyAlignment="1">
      <alignment horizontal="center"/>
    </xf>
    <xf numFmtId="20" fontId="7" fillId="12" borderId="70" xfId="0" applyNumberFormat="1" applyFont="1" applyFill="1" applyBorder="1" applyAlignment="1">
      <alignment horizontal="center"/>
    </xf>
    <xf numFmtId="20" fontId="7" fillId="13" borderId="70" xfId="0" applyNumberFormat="1" applyFont="1" applyFill="1" applyBorder="1" applyAlignment="1">
      <alignment horizontal="center"/>
    </xf>
    <xf numFmtId="20" fontId="7" fillId="12" borderId="71" xfId="0" applyNumberFormat="1" applyFont="1" applyFill="1" applyBorder="1" applyAlignment="1">
      <alignment horizontal="center"/>
    </xf>
    <xf numFmtId="165" fontId="7" fillId="12" borderId="69" xfId="0" applyNumberFormat="1" applyFont="1" applyFill="1" applyBorder="1" applyAlignment="1">
      <alignment horizontal="center"/>
    </xf>
    <xf numFmtId="165" fontId="7" fillId="12" borderId="70" xfId="0" applyNumberFormat="1" applyFont="1" applyFill="1" applyBorder="1" applyAlignment="1">
      <alignment horizontal="center"/>
    </xf>
    <xf numFmtId="165" fontId="7" fillId="13" borderId="70" xfId="0" applyNumberFormat="1" applyFont="1" applyFill="1" applyBorder="1" applyAlignment="1">
      <alignment horizontal="center"/>
    </xf>
    <xf numFmtId="165" fontId="7" fillId="12" borderId="71" xfId="0" applyNumberFormat="1" applyFont="1" applyFill="1" applyBorder="1" applyAlignment="1">
      <alignment horizontal="center"/>
    </xf>
    <xf numFmtId="0" fontId="16" fillId="12" borderId="20" xfId="0" applyFont="1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7" fillId="12" borderId="20" xfId="0" applyFont="1" applyFill="1" applyBorder="1" applyAlignment="1">
      <alignment horizontal="center"/>
    </xf>
    <xf numFmtId="0" fontId="7" fillId="12" borderId="55" xfId="0" applyFont="1" applyFill="1" applyBorder="1" applyAlignment="1">
      <alignment horizontal="center"/>
    </xf>
    <xf numFmtId="14" fontId="7" fillId="12" borderId="55" xfId="0" applyNumberFormat="1" applyFont="1" applyFill="1" applyBorder="1" applyAlignment="1">
      <alignment horizontal="center"/>
    </xf>
    <xf numFmtId="21" fontId="7" fillId="12" borderId="55" xfId="0" applyNumberFormat="1" applyFont="1" applyFill="1" applyBorder="1" applyAlignment="1">
      <alignment horizontal="center"/>
    </xf>
    <xf numFmtId="21" fontId="7" fillId="12" borderId="21" xfId="0" applyNumberFormat="1" applyFont="1" applyFill="1" applyBorder="1" applyAlignment="1">
      <alignment horizontal="center"/>
    </xf>
    <xf numFmtId="0" fontId="7" fillId="12" borderId="54" xfId="0" applyFont="1" applyFill="1" applyBorder="1" applyAlignment="1">
      <alignment horizontal="center"/>
    </xf>
    <xf numFmtId="0" fontId="7" fillId="12" borderId="21" xfId="0" applyFont="1" applyFill="1" applyBorder="1" applyAlignment="1">
      <alignment horizontal="center"/>
    </xf>
    <xf numFmtId="0" fontId="18" fillId="12" borderId="11" xfId="0" applyFont="1" applyFill="1" applyBorder="1" applyAlignment="1">
      <alignment horizontal="center"/>
    </xf>
    <xf numFmtId="0" fontId="7" fillId="12" borderId="72" xfId="0" applyFont="1" applyFill="1" applyBorder="1" applyAlignment="1">
      <alignment horizontal="center"/>
    </xf>
    <xf numFmtId="0" fontId="7" fillId="12" borderId="73" xfId="0" applyFont="1" applyFill="1" applyBorder="1" applyAlignment="1">
      <alignment horizontal="center"/>
    </xf>
    <xf numFmtId="0" fontId="7" fillId="13" borderId="73" xfId="0" applyFont="1" applyFill="1" applyBorder="1" applyAlignment="1">
      <alignment horizontal="center"/>
    </xf>
    <xf numFmtId="0" fontId="7" fillId="12" borderId="74" xfId="0" applyFont="1" applyFill="1" applyBorder="1" applyAlignment="1">
      <alignment horizontal="center"/>
    </xf>
    <xf numFmtId="0" fontId="7" fillId="13" borderId="20" xfId="0" applyFont="1" applyFill="1" applyBorder="1" applyAlignment="1">
      <alignment horizontal="center"/>
    </xf>
    <xf numFmtId="0" fontId="7" fillId="14" borderId="20" xfId="0" applyFont="1" applyFill="1" applyBorder="1" applyAlignment="1">
      <alignment horizontal="center"/>
    </xf>
    <xf numFmtId="0" fontId="7" fillId="15" borderId="20" xfId="0" applyFont="1" applyFill="1" applyBorder="1" applyAlignment="1">
      <alignment horizontal="center"/>
    </xf>
    <xf numFmtId="0" fontId="7" fillId="12" borderId="0" xfId="0" applyFont="1" applyFill="1" applyBorder="1" applyAlignment="1">
      <alignment horizontal="center"/>
    </xf>
    <xf numFmtId="0" fontId="0" fillId="16" borderId="0" xfId="0" applyFill="1"/>
    <xf numFmtId="0" fontId="7" fillId="11" borderId="54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7" fillId="12" borderId="54" xfId="0" applyFont="1" applyFill="1" applyBorder="1" applyAlignment="1">
      <alignment horizontal="center"/>
    </xf>
    <xf numFmtId="0" fontId="7" fillId="12" borderId="55" xfId="0" applyFont="1" applyFill="1" applyBorder="1" applyAlignment="1">
      <alignment horizontal="center"/>
    </xf>
    <xf numFmtId="0" fontId="7" fillId="12" borderId="21" xfId="0" applyFont="1" applyFill="1" applyBorder="1" applyAlignment="1">
      <alignment horizontal="center"/>
    </xf>
    <xf numFmtId="0" fontId="14" fillId="12" borderId="56" xfId="0" applyFont="1" applyFill="1" applyBorder="1" applyAlignment="1">
      <alignment horizontal="center"/>
    </xf>
    <xf numFmtId="0" fontId="7" fillId="12" borderId="57" xfId="0" applyFont="1" applyFill="1" applyBorder="1" applyAlignment="1">
      <alignment horizontal="center"/>
    </xf>
    <xf numFmtId="0" fontId="7" fillId="12" borderId="22" xfId="0" applyFont="1" applyFill="1" applyBorder="1" applyAlignment="1">
      <alignment horizontal="center"/>
    </xf>
    <xf numFmtId="0" fontId="14" fillId="12" borderId="58" xfId="0" applyFont="1" applyFill="1" applyBorder="1" applyAlignment="1">
      <alignment horizontal="center"/>
    </xf>
    <xf numFmtId="0" fontId="7" fillId="12" borderId="59" xfId="0" applyFont="1" applyFill="1" applyBorder="1" applyAlignment="1">
      <alignment horizontal="center"/>
    </xf>
    <xf numFmtId="0" fontId="7" fillId="12" borderId="23" xfId="0" applyFont="1" applyFill="1" applyBorder="1" applyAlignment="1">
      <alignment horizontal="center"/>
    </xf>
  </cellXfs>
  <cellStyles count="2">
    <cellStyle name="Normal" xfId="0" builtinId="0"/>
    <cellStyle name="Normal 2" xfId="1" xr:uid="{EBF8D4E9-E5F5-4DA4-BF4B-EB0473B5F23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worksheet" Target="worksheets/sheet7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chartsheet" Target="chartsheets/sheet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hartsheet" Target="chartsheets/sheet5.xml"/><Relationship Id="rId5" Type="http://schemas.openxmlformats.org/officeDocument/2006/relationships/chartsheet" Target="chartsheets/sheet1.xml"/><Relationship Id="rId15" Type="http://schemas.openxmlformats.org/officeDocument/2006/relationships/styles" Target="styles.xml"/><Relationship Id="rId10" Type="http://schemas.openxmlformats.org/officeDocument/2006/relationships/worksheet" Target="worksheets/sheet6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TANQUE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20978059849924713"/>
          <c:y val="1.2559138792493195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adasd</c:v>
                </c:pt>
              </c:strCache>
            </c:strRef>
          </c:tx>
          <c:marker>
            <c:symbol val="none"/>
          </c:marker>
          <c:cat>
            <c:numRef>
              <c:f>'OPERACIONAL 1'!$B$31:$B$89</c:f>
              <c:numCache>
                <c:formatCode>h:mm</c:formatCode>
                <c:ptCount val="59"/>
                <c:pt idx="0">
                  <c:v>0.48402777777777778</c:v>
                </c:pt>
                <c:pt idx="1">
                  <c:v>0.48472222222222222</c:v>
                </c:pt>
                <c:pt idx="2">
                  <c:v>0.485416666666667</c:v>
                </c:pt>
                <c:pt idx="3">
                  <c:v>0.48611111111111099</c:v>
                </c:pt>
                <c:pt idx="4">
                  <c:v>0.48680555555555599</c:v>
                </c:pt>
                <c:pt idx="5">
                  <c:v>0.48749999999999999</c:v>
                </c:pt>
                <c:pt idx="6">
                  <c:v>0.48819444444444399</c:v>
                </c:pt>
                <c:pt idx="7">
                  <c:v>0.48888888888888898</c:v>
                </c:pt>
                <c:pt idx="8">
                  <c:v>0.48958333333333298</c:v>
                </c:pt>
                <c:pt idx="9">
                  <c:v>0.49027777777777798</c:v>
                </c:pt>
                <c:pt idx="10">
                  <c:v>0.49097222222222198</c:v>
                </c:pt>
                <c:pt idx="11">
                  <c:v>0.49166666666666697</c:v>
                </c:pt>
                <c:pt idx="12">
                  <c:v>0.49236111111111103</c:v>
                </c:pt>
                <c:pt idx="13">
                  <c:v>0.49305555555555602</c:v>
                </c:pt>
                <c:pt idx="14">
                  <c:v>0.49375000000000002</c:v>
                </c:pt>
                <c:pt idx="15">
                  <c:v>0.49444444444444402</c:v>
                </c:pt>
                <c:pt idx="16">
                  <c:v>0.49513888888888902</c:v>
                </c:pt>
                <c:pt idx="17">
                  <c:v>0.49583333333333302</c:v>
                </c:pt>
                <c:pt idx="18">
                  <c:v>0.49652777777777801</c:v>
                </c:pt>
                <c:pt idx="19">
                  <c:v>0.49722222222222201</c:v>
                </c:pt>
                <c:pt idx="20">
                  <c:v>0.49791666666666701</c:v>
                </c:pt>
                <c:pt idx="21">
                  <c:v>0.49861111111111101</c:v>
                </c:pt>
                <c:pt idx="22">
                  <c:v>0.499305555555556</c:v>
                </c:pt>
                <c:pt idx="23">
                  <c:v>0.5</c:v>
                </c:pt>
                <c:pt idx="24">
                  <c:v>0.500694444444444</c:v>
                </c:pt>
                <c:pt idx="25">
                  <c:v>0.50138888888888899</c:v>
                </c:pt>
                <c:pt idx="26">
                  <c:v>0.50208333333333299</c:v>
                </c:pt>
                <c:pt idx="27">
                  <c:v>0.50277777777777799</c:v>
                </c:pt>
                <c:pt idx="28">
                  <c:v>0.50347222222222199</c:v>
                </c:pt>
                <c:pt idx="29">
                  <c:v>0.50416666666666698</c:v>
                </c:pt>
                <c:pt idx="30">
                  <c:v>0.50486111111111098</c:v>
                </c:pt>
                <c:pt idx="31">
                  <c:v>0.50555555555555598</c:v>
                </c:pt>
                <c:pt idx="32">
                  <c:v>0.50624999999999998</c:v>
                </c:pt>
                <c:pt idx="33">
                  <c:v>0.50694444444444398</c:v>
                </c:pt>
                <c:pt idx="34">
                  <c:v>0.50763888888888897</c:v>
                </c:pt>
                <c:pt idx="35">
                  <c:v>0.50833333333333297</c:v>
                </c:pt>
                <c:pt idx="36">
                  <c:v>0.50902777777777797</c:v>
                </c:pt>
                <c:pt idx="37">
                  <c:v>0.50972222222222197</c:v>
                </c:pt>
                <c:pt idx="38">
                  <c:v>0.51041666666666696</c:v>
                </c:pt>
                <c:pt idx="39">
                  <c:v>0.51111111111111096</c:v>
                </c:pt>
                <c:pt idx="40">
                  <c:v>0.51180555555555596</c:v>
                </c:pt>
                <c:pt idx="41">
                  <c:v>0.51249999999999996</c:v>
                </c:pt>
                <c:pt idx="42">
                  <c:v>0.51319444444444395</c:v>
                </c:pt>
                <c:pt idx="43">
                  <c:v>0.51388888888888895</c:v>
                </c:pt>
                <c:pt idx="44">
                  <c:v>0.51458333333333295</c:v>
                </c:pt>
                <c:pt idx="45">
                  <c:v>0.51527777777777795</c:v>
                </c:pt>
                <c:pt idx="46">
                  <c:v>0.51597222222222205</c:v>
                </c:pt>
                <c:pt idx="47">
                  <c:v>0.51666666666666705</c:v>
                </c:pt>
                <c:pt idx="48">
                  <c:v>0.51736111111111105</c:v>
                </c:pt>
                <c:pt idx="49">
                  <c:v>0.51805555555555505</c:v>
                </c:pt>
                <c:pt idx="50">
                  <c:v>0.51875000000000004</c:v>
                </c:pt>
                <c:pt idx="51">
                  <c:v>0.51944444444444404</c:v>
                </c:pt>
                <c:pt idx="52">
                  <c:v>0.52013888888888904</c:v>
                </c:pt>
                <c:pt idx="53">
                  <c:v>0.52083333333333304</c:v>
                </c:pt>
                <c:pt idx="54">
                  <c:v>0.52152777777777803</c:v>
                </c:pt>
                <c:pt idx="55">
                  <c:v>0.52222222222222203</c:v>
                </c:pt>
                <c:pt idx="56">
                  <c:v>0.52291666666666703</c:v>
                </c:pt>
                <c:pt idx="57">
                  <c:v>0.52361111111111103</c:v>
                </c:pt>
                <c:pt idx="58">
                  <c:v>0.52430555555555503</c:v>
                </c:pt>
              </c:numCache>
            </c:numRef>
          </c:cat>
          <c:val>
            <c:numRef>
              <c:f>'OPERACIONAL 1'!$BB$31:$BB$89</c:f>
              <c:numCache>
                <c:formatCode>0.0</c:formatCode>
                <c:ptCount val="59"/>
                <c:pt idx="0">
                  <c:v>16.100000000000001</c:v>
                </c:pt>
                <c:pt idx="1">
                  <c:v>16.45</c:v>
                </c:pt>
                <c:pt idx="2">
                  <c:v>102.07</c:v>
                </c:pt>
                <c:pt idx="3">
                  <c:v>137.74</c:v>
                </c:pt>
                <c:pt idx="4">
                  <c:v>281.89</c:v>
                </c:pt>
                <c:pt idx="5">
                  <c:v>354.84</c:v>
                </c:pt>
                <c:pt idx="6">
                  <c:v>440.44</c:v>
                </c:pt>
                <c:pt idx="7">
                  <c:v>500.48</c:v>
                </c:pt>
                <c:pt idx="8">
                  <c:v>550.74</c:v>
                </c:pt>
                <c:pt idx="9">
                  <c:v>558.16</c:v>
                </c:pt>
                <c:pt idx="10">
                  <c:v>571.99</c:v>
                </c:pt>
                <c:pt idx="11">
                  <c:v>583.24</c:v>
                </c:pt>
                <c:pt idx="12">
                  <c:v>582.92999999999995</c:v>
                </c:pt>
                <c:pt idx="13">
                  <c:v>590.96</c:v>
                </c:pt>
                <c:pt idx="14">
                  <c:v>592.23</c:v>
                </c:pt>
                <c:pt idx="15">
                  <c:v>589.41999999999996</c:v>
                </c:pt>
                <c:pt idx="16">
                  <c:v>586.20000000000005</c:v>
                </c:pt>
                <c:pt idx="17">
                  <c:v>594.70000000000005</c:v>
                </c:pt>
                <c:pt idx="18">
                  <c:v>594.01</c:v>
                </c:pt>
                <c:pt idx="19">
                  <c:v>596.65</c:v>
                </c:pt>
                <c:pt idx="20">
                  <c:v>597.14</c:v>
                </c:pt>
                <c:pt idx="21">
                  <c:v>598.42999999999995</c:v>
                </c:pt>
                <c:pt idx="22">
                  <c:v>598.53</c:v>
                </c:pt>
                <c:pt idx="23">
                  <c:v>599.94000000000005</c:v>
                </c:pt>
                <c:pt idx="24">
                  <c:v>599.91999999999996</c:v>
                </c:pt>
                <c:pt idx="25">
                  <c:v>599.23</c:v>
                </c:pt>
                <c:pt idx="26">
                  <c:v>598.98</c:v>
                </c:pt>
                <c:pt idx="27">
                  <c:v>600.13</c:v>
                </c:pt>
                <c:pt idx="28">
                  <c:v>600.1</c:v>
                </c:pt>
                <c:pt idx="29">
                  <c:v>599.67999999999995</c:v>
                </c:pt>
                <c:pt idx="30">
                  <c:v>599.85</c:v>
                </c:pt>
                <c:pt idx="31">
                  <c:v>599.87</c:v>
                </c:pt>
                <c:pt idx="32">
                  <c:v>599.49</c:v>
                </c:pt>
                <c:pt idx="33">
                  <c:v>600.53</c:v>
                </c:pt>
                <c:pt idx="34">
                  <c:v>600.44000000000005</c:v>
                </c:pt>
                <c:pt idx="35">
                  <c:v>600.6</c:v>
                </c:pt>
                <c:pt idx="36">
                  <c:v>600.37</c:v>
                </c:pt>
                <c:pt idx="37">
                  <c:v>599.21</c:v>
                </c:pt>
                <c:pt idx="38">
                  <c:v>600.15</c:v>
                </c:pt>
                <c:pt idx="39">
                  <c:v>600.72</c:v>
                </c:pt>
                <c:pt idx="40">
                  <c:v>600.92999999999995</c:v>
                </c:pt>
                <c:pt idx="41">
                  <c:v>600.70000000000005</c:v>
                </c:pt>
                <c:pt idx="42">
                  <c:v>600.91</c:v>
                </c:pt>
                <c:pt idx="43">
                  <c:v>600.20000000000005</c:v>
                </c:pt>
                <c:pt idx="44">
                  <c:v>600.66999999999996</c:v>
                </c:pt>
                <c:pt idx="45">
                  <c:v>579.79999999999995</c:v>
                </c:pt>
                <c:pt idx="46">
                  <c:v>559.67999999999995</c:v>
                </c:pt>
                <c:pt idx="47">
                  <c:v>545.91</c:v>
                </c:pt>
                <c:pt idx="48">
                  <c:v>534.08000000000004</c:v>
                </c:pt>
                <c:pt idx="49">
                  <c:v>523.37</c:v>
                </c:pt>
                <c:pt idx="50">
                  <c:v>397.32</c:v>
                </c:pt>
                <c:pt idx="51">
                  <c:v>357.98</c:v>
                </c:pt>
                <c:pt idx="52">
                  <c:v>329.89</c:v>
                </c:pt>
                <c:pt idx="53">
                  <c:v>311.52</c:v>
                </c:pt>
                <c:pt idx="54">
                  <c:v>295.14</c:v>
                </c:pt>
                <c:pt idx="55">
                  <c:v>280.73</c:v>
                </c:pt>
                <c:pt idx="56">
                  <c:v>275.26</c:v>
                </c:pt>
                <c:pt idx="57">
                  <c:v>262.63</c:v>
                </c:pt>
                <c:pt idx="58">
                  <c:v>255.49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D-47D3-A238-A63698F01748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asdasdadw2</c:v>
                </c:pt>
              </c:strCache>
            </c:strRef>
          </c:tx>
          <c:marker>
            <c:symbol val="none"/>
          </c:marker>
          <c:cat>
            <c:numRef>
              <c:f>'OPERACIONAL 1'!$B$31:$B$89</c:f>
              <c:numCache>
                <c:formatCode>h:mm</c:formatCode>
                <c:ptCount val="59"/>
                <c:pt idx="0">
                  <c:v>0.48402777777777778</c:v>
                </c:pt>
                <c:pt idx="1">
                  <c:v>0.48472222222222222</c:v>
                </c:pt>
                <c:pt idx="2">
                  <c:v>0.485416666666667</c:v>
                </c:pt>
                <c:pt idx="3">
                  <c:v>0.48611111111111099</c:v>
                </c:pt>
                <c:pt idx="4">
                  <c:v>0.48680555555555599</c:v>
                </c:pt>
                <c:pt idx="5">
                  <c:v>0.48749999999999999</c:v>
                </c:pt>
                <c:pt idx="6">
                  <c:v>0.48819444444444399</c:v>
                </c:pt>
                <c:pt idx="7">
                  <c:v>0.48888888888888898</c:v>
                </c:pt>
                <c:pt idx="8">
                  <c:v>0.48958333333333298</c:v>
                </c:pt>
                <c:pt idx="9">
                  <c:v>0.49027777777777798</c:v>
                </c:pt>
                <c:pt idx="10">
                  <c:v>0.49097222222222198</c:v>
                </c:pt>
                <c:pt idx="11">
                  <c:v>0.49166666666666697</c:v>
                </c:pt>
                <c:pt idx="12">
                  <c:v>0.49236111111111103</c:v>
                </c:pt>
                <c:pt idx="13">
                  <c:v>0.49305555555555602</c:v>
                </c:pt>
                <c:pt idx="14">
                  <c:v>0.49375000000000002</c:v>
                </c:pt>
                <c:pt idx="15">
                  <c:v>0.49444444444444402</c:v>
                </c:pt>
                <c:pt idx="16">
                  <c:v>0.49513888888888902</c:v>
                </c:pt>
                <c:pt idx="17">
                  <c:v>0.49583333333333302</c:v>
                </c:pt>
                <c:pt idx="18">
                  <c:v>0.49652777777777801</c:v>
                </c:pt>
                <c:pt idx="19">
                  <c:v>0.49722222222222201</c:v>
                </c:pt>
                <c:pt idx="20">
                  <c:v>0.49791666666666701</c:v>
                </c:pt>
                <c:pt idx="21">
                  <c:v>0.49861111111111101</c:v>
                </c:pt>
                <c:pt idx="22">
                  <c:v>0.499305555555556</c:v>
                </c:pt>
                <c:pt idx="23">
                  <c:v>0.5</c:v>
                </c:pt>
                <c:pt idx="24">
                  <c:v>0.500694444444444</c:v>
                </c:pt>
                <c:pt idx="25">
                  <c:v>0.50138888888888899</c:v>
                </c:pt>
                <c:pt idx="26">
                  <c:v>0.50208333333333299</c:v>
                </c:pt>
                <c:pt idx="27">
                  <c:v>0.50277777777777799</c:v>
                </c:pt>
                <c:pt idx="28">
                  <c:v>0.50347222222222199</c:v>
                </c:pt>
                <c:pt idx="29">
                  <c:v>0.50416666666666698</c:v>
                </c:pt>
                <c:pt idx="30">
                  <c:v>0.50486111111111098</c:v>
                </c:pt>
                <c:pt idx="31">
                  <c:v>0.50555555555555598</c:v>
                </c:pt>
                <c:pt idx="32">
                  <c:v>0.50624999999999998</c:v>
                </c:pt>
                <c:pt idx="33">
                  <c:v>0.50694444444444398</c:v>
                </c:pt>
                <c:pt idx="34">
                  <c:v>0.50763888888888897</c:v>
                </c:pt>
                <c:pt idx="35">
                  <c:v>0.50833333333333297</c:v>
                </c:pt>
                <c:pt idx="36">
                  <c:v>0.50902777777777797</c:v>
                </c:pt>
                <c:pt idx="37">
                  <c:v>0.50972222222222197</c:v>
                </c:pt>
                <c:pt idx="38">
                  <c:v>0.51041666666666696</c:v>
                </c:pt>
                <c:pt idx="39">
                  <c:v>0.51111111111111096</c:v>
                </c:pt>
                <c:pt idx="40">
                  <c:v>0.51180555555555596</c:v>
                </c:pt>
                <c:pt idx="41">
                  <c:v>0.51249999999999996</c:v>
                </c:pt>
                <c:pt idx="42">
                  <c:v>0.51319444444444395</c:v>
                </c:pt>
                <c:pt idx="43">
                  <c:v>0.51388888888888895</c:v>
                </c:pt>
                <c:pt idx="44">
                  <c:v>0.51458333333333295</c:v>
                </c:pt>
                <c:pt idx="45">
                  <c:v>0.51527777777777795</c:v>
                </c:pt>
                <c:pt idx="46">
                  <c:v>0.51597222222222205</c:v>
                </c:pt>
                <c:pt idx="47">
                  <c:v>0.51666666666666705</c:v>
                </c:pt>
                <c:pt idx="48">
                  <c:v>0.51736111111111105</c:v>
                </c:pt>
                <c:pt idx="49">
                  <c:v>0.51805555555555505</c:v>
                </c:pt>
                <c:pt idx="50">
                  <c:v>0.51875000000000004</c:v>
                </c:pt>
                <c:pt idx="51">
                  <c:v>0.51944444444444404</c:v>
                </c:pt>
                <c:pt idx="52">
                  <c:v>0.52013888888888904</c:v>
                </c:pt>
                <c:pt idx="53">
                  <c:v>0.52083333333333304</c:v>
                </c:pt>
                <c:pt idx="54">
                  <c:v>0.52152777777777803</c:v>
                </c:pt>
                <c:pt idx="55">
                  <c:v>0.52222222222222203</c:v>
                </c:pt>
                <c:pt idx="56">
                  <c:v>0.52291666666666703</c:v>
                </c:pt>
                <c:pt idx="57">
                  <c:v>0.52361111111111103</c:v>
                </c:pt>
                <c:pt idx="58">
                  <c:v>0.52430555555555503</c:v>
                </c:pt>
              </c:numCache>
            </c:numRef>
          </c:cat>
          <c:val>
            <c:numRef>
              <c:f>'OPERACIONAL 1'!$BC$31:$BC$89</c:f>
              <c:numCache>
                <c:formatCode>0.0</c:formatCode>
                <c:ptCount val="59"/>
                <c:pt idx="0">
                  <c:v>14.820000000000002</c:v>
                </c:pt>
                <c:pt idx="1">
                  <c:v>15.160000000000002</c:v>
                </c:pt>
                <c:pt idx="2">
                  <c:v>98.550000000000011</c:v>
                </c:pt>
                <c:pt idx="3">
                  <c:v>135.51000000000002</c:v>
                </c:pt>
                <c:pt idx="4">
                  <c:v>275.34999999999997</c:v>
                </c:pt>
                <c:pt idx="5">
                  <c:v>335.84999999999997</c:v>
                </c:pt>
                <c:pt idx="6">
                  <c:v>414.63</c:v>
                </c:pt>
                <c:pt idx="7">
                  <c:v>475.38</c:v>
                </c:pt>
                <c:pt idx="8">
                  <c:v>526.37</c:v>
                </c:pt>
                <c:pt idx="9">
                  <c:v>537.59</c:v>
                </c:pt>
                <c:pt idx="10">
                  <c:v>552.47</c:v>
                </c:pt>
                <c:pt idx="11">
                  <c:v>563.66999999999996</c:v>
                </c:pt>
                <c:pt idx="12">
                  <c:v>569.55999999999995</c:v>
                </c:pt>
                <c:pt idx="13">
                  <c:v>575.65</c:v>
                </c:pt>
                <c:pt idx="14">
                  <c:v>578.94999999999993</c:v>
                </c:pt>
                <c:pt idx="15">
                  <c:v>579.25</c:v>
                </c:pt>
                <c:pt idx="16">
                  <c:v>580.04999999999995</c:v>
                </c:pt>
                <c:pt idx="17">
                  <c:v>584.18999999999994</c:v>
                </c:pt>
                <c:pt idx="18">
                  <c:v>585.98</c:v>
                </c:pt>
                <c:pt idx="19">
                  <c:v>587.69999999999993</c:v>
                </c:pt>
                <c:pt idx="20">
                  <c:v>588.30999999999995</c:v>
                </c:pt>
                <c:pt idx="21">
                  <c:v>590.15</c:v>
                </c:pt>
                <c:pt idx="22">
                  <c:v>590.92999999999995</c:v>
                </c:pt>
                <c:pt idx="23">
                  <c:v>592.80999999999995</c:v>
                </c:pt>
                <c:pt idx="24">
                  <c:v>593.35</c:v>
                </c:pt>
                <c:pt idx="25">
                  <c:v>593.69999999999993</c:v>
                </c:pt>
                <c:pt idx="26">
                  <c:v>593.61</c:v>
                </c:pt>
                <c:pt idx="27">
                  <c:v>595.09</c:v>
                </c:pt>
                <c:pt idx="28">
                  <c:v>595.75</c:v>
                </c:pt>
                <c:pt idx="29">
                  <c:v>595.87</c:v>
                </c:pt>
                <c:pt idx="30">
                  <c:v>596.54999999999995</c:v>
                </c:pt>
                <c:pt idx="31">
                  <c:v>596.68999999999994</c:v>
                </c:pt>
                <c:pt idx="32">
                  <c:v>596.54999999999995</c:v>
                </c:pt>
                <c:pt idx="33">
                  <c:v>597.67999999999995</c:v>
                </c:pt>
                <c:pt idx="34">
                  <c:v>597.63</c:v>
                </c:pt>
                <c:pt idx="35">
                  <c:v>597.95999999999992</c:v>
                </c:pt>
                <c:pt idx="36">
                  <c:v>597.72</c:v>
                </c:pt>
                <c:pt idx="37">
                  <c:v>597.13</c:v>
                </c:pt>
                <c:pt idx="38">
                  <c:v>597.81999999999994</c:v>
                </c:pt>
                <c:pt idx="39">
                  <c:v>598.54999999999995</c:v>
                </c:pt>
                <c:pt idx="40">
                  <c:v>598.99</c:v>
                </c:pt>
                <c:pt idx="41">
                  <c:v>598.76</c:v>
                </c:pt>
                <c:pt idx="42">
                  <c:v>599.28</c:v>
                </c:pt>
                <c:pt idx="43">
                  <c:v>598.85</c:v>
                </c:pt>
                <c:pt idx="44">
                  <c:v>599.37</c:v>
                </c:pt>
                <c:pt idx="45">
                  <c:v>577.47</c:v>
                </c:pt>
                <c:pt idx="46">
                  <c:v>557.38</c:v>
                </c:pt>
                <c:pt idx="47">
                  <c:v>543.5</c:v>
                </c:pt>
                <c:pt idx="48">
                  <c:v>531.61</c:v>
                </c:pt>
                <c:pt idx="49">
                  <c:v>520.97</c:v>
                </c:pt>
                <c:pt idx="50">
                  <c:v>286.82</c:v>
                </c:pt>
                <c:pt idx="51">
                  <c:v>256.81</c:v>
                </c:pt>
                <c:pt idx="52">
                  <c:v>231.09</c:v>
                </c:pt>
                <c:pt idx="53">
                  <c:v>211.12</c:v>
                </c:pt>
                <c:pt idx="54">
                  <c:v>206.56</c:v>
                </c:pt>
                <c:pt idx="55">
                  <c:v>195.49</c:v>
                </c:pt>
                <c:pt idx="56">
                  <c:v>190.82</c:v>
                </c:pt>
                <c:pt idx="57">
                  <c:v>183.68</c:v>
                </c:pt>
                <c:pt idx="58">
                  <c:v>177.64000000000001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0D-47D3-A238-A63698F01748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sadasd</c:v>
                </c:pt>
              </c:strCache>
            </c:strRef>
          </c:tx>
          <c:marker>
            <c:symbol val="none"/>
          </c:marker>
          <c:cat>
            <c:numRef>
              <c:f>'OPERACIONAL 1'!$B$31:$B$89</c:f>
              <c:numCache>
                <c:formatCode>h:mm</c:formatCode>
                <c:ptCount val="59"/>
                <c:pt idx="0">
                  <c:v>0.48402777777777778</c:v>
                </c:pt>
                <c:pt idx="1">
                  <c:v>0.48472222222222222</c:v>
                </c:pt>
                <c:pt idx="2">
                  <c:v>0.485416666666667</c:v>
                </c:pt>
                <c:pt idx="3">
                  <c:v>0.48611111111111099</c:v>
                </c:pt>
                <c:pt idx="4">
                  <c:v>0.48680555555555599</c:v>
                </c:pt>
                <c:pt idx="5">
                  <c:v>0.48749999999999999</c:v>
                </c:pt>
                <c:pt idx="6">
                  <c:v>0.48819444444444399</c:v>
                </c:pt>
                <c:pt idx="7">
                  <c:v>0.48888888888888898</c:v>
                </c:pt>
                <c:pt idx="8">
                  <c:v>0.48958333333333298</c:v>
                </c:pt>
                <c:pt idx="9">
                  <c:v>0.49027777777777798</c:v>
                </c:pt>
                <c:pt idx="10">
                  <c:v>0.49097222222222198</c:v>
                </c:pt>
                <c:pt idx="11">
                  <c:v>0.49166666666666697</c:v>
                </c:pt>
                <c:pt idx="12">
                  <c:v>0.49236111111111103</c:v>
                </c:pt>
                <c:pt idx="13">
                  <c:v>0.49305555555555602</c:v>
                </c:pt>
                <c:pt idx="14">
                  <c:v>0.49375000000000002</c:v>
                </c:pt>
                <c:pt idx="15">
                  <c:v>0.49444444444444402</c:v>
                </c:pt>
                <c:pt idx="16">
                  <c:v>0.49513888888888902</c:v>
                </c:pt>
                <c:pt idx="17">
                  <c:v>0.49583333333333302</c:v>
                </c:pt>
                <c:pt idx="18">
                  <c:v>0.49652777777777801</c:v>
                </c:pt>
                <c:pt idx="19">
                  <c:v>0.49722222222222201</c:v>
                </c:pt>
                <c:pt idx="20">
                  <c:v>0.49791666666666701</c:v>
                </c:pt>
                <c:pt idx="21">
                  <c:v>0.49861111111111101</c:v>
                </c:pt>
                <c:pt idx="22">
                  <c:v>0.499305555555556</c:v>
                </c:pt>
                <c:pt idx="23">
                  <c:v>0.5</c:v>
                </c:pt>
                <c:pt idx="24">
                  <c:v>0.500694444444444</c:v>
                </c:pt>
                <c:pt idx="25">
                  <c:v>0.50138888888888899</c:v>
                </c:pt>
                <c:pt idx="26">
                  <c:v>0.50208333333333299</c:v>
                </c:pt>
                <c:pt idx="27">
                  <c:v>0.50277777777777799</c:v>
                </c:pt>
                <c:pt idx="28">
                  <c:v>0.50347222222222199</c:v>
                </c:pt>
                <c:pt idx="29">
                  <c:v>0.50416666666666698</c:v>
                </c:pt>
                <c:pt idx="30">
                  <c:v>0.50486111111111098</c:v>
                </c:pt>
                <c:pt idx="31">
                  <c:v>0.50555555555555598</c:v>
                </c:pt>
                <c:pt idx="32">
                  <c:v>0.50624999999999998</c:v>
                </c:pt>
                <c:pt idx="33">
                  <c:v>0.50694444444444398</c:v>
                </c:pt>
                <c:pt idx="34">
                  <c:v>0.50763888888888897</c:v>
                </c:pt>
                <c:pt idx="35">
                  <c:v>0.50833333333333297</c:v>
                </c:pt>
                <c:pt idx="36">
                  <c:v>0.50902777777777797</c:v>
                </c:pt>
                <c:pt idx="37">
                  <c:v>0.50972222222222197</c:v>
                </c:pt>
                <c:pt idx="38">
                  <c:v>0.51041666666666696</c:v>
                </c:pt>
                <c:pt idx="39">
                  <c:v>0.51111111111111096</c:v>
                </c:pt>
                <c:pt idx="40">
                  <c:v>0.51180555555555596</c:v>
                </c:pt>
                <c:pt idx="41">
                  <c:v>0.51249999999999996</c:v>
                </c:pt>
                <c:pt idx="42">
                  <c:v>0.51319444444444395</c:v>
                </c:pt>
                <c:pt idx="43">
                  <c:v>0.51388888888888895</c:v>
                </c:pt>
                <c:pt idx="44">
                  <c:v>0.51458333333333295</c:v>
                </c:pt>
                <c:pt idx="45">
                  <c:v>0.51527777777777795</c:v>
                </c:pt>
                <c:pt idx="46">
                  <c:v>0.51597222222222205</c:v>
                </c:pt>
                <c:pt idx="47">
                  <c:v>0.51666666666666705</c:v>
                </c:pt>
                <c:pt idx="48">
                  <c:v>0.51736111111111105</c:v>
                </c:pt>
                <c:pt idx="49">
                  <c:v>0.51805555555555505</c:v>
                </c:pt>
                <c:pt idx="50">
                  <c:v>0.51875000000000004</c:v>
                </c:pt>
                <c:pt idx="51">
                  <c:v>0.51944444444444404</c:v>
                </c:pt>
                <c:pt idx="52">
                  <c:v>0.52013888888888904</c:v>
                </c:pt>
                <c:pt idx="53">
                  <c:v>0.52083333333333304</c:v>
                </c:pt>
                <c:pt idx="54">
                  <c:v>0.52152777777777803</c:v>
                </c:pt>
                <c:pt idx="55">
                  <c:v>0.52222222222222203</c:v>
                </c:pt>
                <c:pt idx="56">
                  <c:v>0.52291666666666703</c:v>
                </c:pt>
                <c:pt idx="57">
                  <c:v>0.52361111111111103</c:v>
                </c:pt>
                <c:pt idx="58">
                  <c:v>0.52430555555555503</c:v>
                </c:pt>
              </c:numCache>
            </c:numRef>
          </c:cat>
          <c:val>
            <c:numRef>
              <c:f>'OPERACIONAL 1'!$BD$31:$BD$89</c:f>
              <c:numCache>
                <c:formatCode>0.0</c:formatCode>
                <c:ptCount val="59"/>
                <c:pt idx="0">
                  <c:v>15.580000000000002</c:v>
                </c:pt>
                <c:pt idx="1">
                  <c:v>15.75</c:v>
                </c:pt>
                <c:pt idx="2">
                  <c:v>84.95</c:v>
                </c:pt>
                <c:pt idx="3">
                  <c:v>135.26000000000002</c:v>
                </c:pt>
                <c:pt idx="4">
                  <c:v>303.73</c:v>
                </c:pt>
                <c:pt idx="5">
                  <c:v>370.98</c:v>
                </c:pt>
                <c:pt idx="6">
                  <c:v>453.7</c:v>
                </c:pt>
                <c:pt idx="7">
                  <c:v>514.32999999999993</c:v>
                </c:pt>
                <c:pt idx="8">
                  <c:v>564.16</c:v>
                </c:pt>
                <c:pt idx="9">
                  <c:v>575.1099999999999</c:v>
                </c:pt>
                <c:pt idx="10">
                  <c:v>586.02</c:v>
                </c:pt>
                <c:pt idx="11">
                  <c:v>594.30999999999995</c:v>
                </c:pt>
                <c:pt idx="12">
                  <c:v>599.05999999999995</c:v>
                </c:pt>
                <c:pt idx="13">
                  <c:v>601.89</c:v>
                </c:pt>
                <c:pt idx="14">
                  <c:v>603.71999999999991</c:v>
                </c:pt>
                <c:pt idx="15">
                  <c:v>603.04</c:v>
                </c:pt>
                <c:pt idx="16">
                  <c:v>604.46999999999991</c:v>
                </c:pt>
                <c:pt idx="17">
                  <c:v>604.89</c:v>
                </c:pt>
                <c:pt idx="18">
                  <c:v>606.18999999999994</c:v>
                </c:pt>
                <c:pt idx="19">
                  <c:v>606.58999999999992</c:v>
                </c:pt>
                <c:pt idx="20">
                  <c:v>606.75</c:v>
                </c:pt>
                <c:pt idx="21">
                  <c:v>607.94999999999993</c:v>
                </c:pt>
                <c:pt idx="22">
                  <c:v>607.92999999999995</c:v>
                </c:pt>
                <c:pt idx="23">
                  <c:v>609.3599999999999</c:v>
                </c:pt>
                <c:pt idx="24">
                  <c:v>609.29</c:v>
                </c:pt>
                <c:pt idx="25">
                  <c:v>609.25</c:v>
                </c:pt>
                <c:pt idx="26">
                  <c:v>608.55999999999995</c:v>
                </c:pt>
                <c:pt idx="27">
                  <c:v>609.79</c:v>
                </c:pt>
                <c:pt idx="28">
                  <c:v>610.02</c:v>
                </c:pt>
                <c:pt idx="29">
                  <c:v>609.74</c:v>
                </c:pt>
                <c:pt idx="30">
                  <c:v>610.09999999999991</c:v>
                </c:pt>
                <c:pt idx="31">
                  <c:v>609.96999999999991</c:v>
                </c:pt>
                <c:pt idx="32">
                  <c:v>609.54999999999995</c:v>
                </c:pt>
                <c:pt idx="33">
                  <c:v>610.62</c:v>
                </c:pt>
                <c:pt idx="34">
                  <c:v>610.29</c:v>
                </c:pt>
                <c:pt idx="35">
                  <c:v>610.44999999999993</c:v>
                </c:pt>
                <c:pt idx="36">
                  <c:v>610.04999999999995</c:v>
                </c:pt>
                <c:pt idx="37">
                  <c:v>609.13</c:v>
                </c:pt>
                <c:pt idx="38">
                  <c:v>609.68999999999994</c:v>
                </c:pt>
                <c:pt idx="39">
                  <c:v>610.30999999999995</c:v>
                </c:pt>
                <c:pt idx="40">
                  <c:v>610.56999999999994</c:v>
                </c:pt>
                <c:pt idx="41">
                  <c:v>610.04999999999995</c:v>
                </c:pt>
                <c:pt idx="42">
                  <c:v>610.52</c:v>
                </c:pt>
                <c:pt idx="43">
                  <c:v>609.57999999999993</c:v>
                </c:pt>
                <c:pt idx="44">
                  <c:v>610.29</c:v>
                </c:pt>
                <c:pt idx="45">
                  <c:v>585.29</c:v>
                </c:pt>
                <c:pt idx="46">
                  <c:v>562.67999999999995</c:v>
                </c:pt>
                <c:pt idx="47">
                  <c:v>548.16999999999996</c:v>
                </c:pt>
                <c:pt idx="48">
                  <c:v>535.70999999999992</c:v>
                </c:pt>
                <c:pt idx="49">
                  <c:v>524.49</c:v>
                </c:pt>
                <c:pt idx="50">
                  <c:v>325.45</c:v>
                </c:pt>
                <c:pt idx="51">
                  <c:v>280.44</c:v>
                </c:pt>
                <c:pt idx="52">
                  <c:v>260.12</c:v>
                </c:pt>
                <c:pt idx="53">
                  <c:v>244.63000000000002</c:v>
                </c:pt>
                <c:pt idx="54">
                  <c:v>219.85000000000002</c:v>
                </c:pt>
                <c:pt idx="55">
                  <c:v>202.79000000000002</c:v>
                </c:pt>
                <c:pt idx="56">
                  <c:v>188.65</c:v>
                </c:pt>
                <c:pt idx="57">
                  <c:v>180.20000000000002</c:v>
                </c:pt>
                <c:pt idx="58">
                  <c:v>175.74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0D-47D3-A238-A63698F01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453168"/>
        <c:axId val="436451528"/>
      </c:lineChart>
      <c:catAx>
        <c:axId val="43645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" sourceLinked="1"/>
        <c:majorTickMark val="out"/>
        <c:minorTickMark val="none"/>
        <c:tickLblPos val="nextTo"/>
        <c:crossAx val="436451528"/>
        <c:crosses val="autoZero"/>
        <c:auto val="1"/>
        <c:lblAlgn val="ctr"/>
        <c:lblOffset val="100"/>
        <c:noMultiLvlLbl val="0"/>
      </c:catAx>
      <c:valAx>
        <c:axId val="436451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3645316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adasd</c:v>
                </c:pt>
              </c:strCache>
            </c:strRef>
          </c:tx>
          <c:marker>
            <c:symbol val="none"/>
          </c:marker>
          <c:cat>
            <c:numRef>
              <c:f>'OPERACIONAL 1'!$B$50:$B$74</c:f>
              <c:numCache>
                <c:formatCode>h:mm</c:formatCode>
                <c:ptCount val="25"/>
                <c:pt idx="0">
                  <c:v>0.49722222222222201</c:v>
                </c:pt>
                <c:pt idx="1">
                  <c:v>0.49791666666666701</c:v>
                </c:pt>
                <c:pt idx="2">
                  <c:v>0.49861111111111101</c:v>
                </c:pt>
                <c:pt idx="3">
                  <c:v>0.499305555555556</c:v>
                </c:pt>
                <c:pt idx="4">
                  <c:v>0.5</c:v>
                </c:pt>
                <c:pt idx="5">
                  <c:v>0.500694444444444</c:v>
                </c:pt>
                <c:pt idx="6">
                  <c:v>0.50138888888888899</c:v>
                </c:pt>
                <c:pt idx="7">
                  <c:v>0.50208333333333299</c:v>
                </c:pt>
                <c:pt idx="8">
                  <c:v>0.50277777777777799</c:v>
                </c:pt>
                <c:pt idx="9">
                  <c:v>0.50347222222222199</c:v>
                </c:pt>
                <c:pt idx="10">
                  <c:v>0.50416666666666698</c:v>
                </c:pt>
                <c:pt idx="11">
                  <c:v>0.50486111111111098</c:v>
                </c:pt>
                <c:pt idx="12">
                  <c:v>0.50555555555555598</c:v>
                </c:pt>
                <c:pt idx="13">
                  <c:v>0.50624999999999998</c:v>
                </c:pt>
                <c:pt idx="14">
                  <c:v>0.50694444444444398</c:v>
                </c:pt>
                <c:pt idx="15">
                  <c:v>0.50763888888888897</c:v>
                </c:pt>
                <c:pt idx="16">
                  <c:v>0.50833333333333297</c:v>
                </c:pt>
                <c:pt idx="17">
                  <c:v>0.50902777777777797</c:v>
                </c:pt>
                <c:pt idx="18">
                  <c:v>0.50972222222222197</c:v>
                </c:pt>
                <c:pt idx="19">
                  <c:v>0.51041666666666696</c:v>
                </c:pt>
                <c:pt idx="20">
                  <c:v>0.51111111111111096</c:v>
                </c:pt>
                <c:pt idx="21">
                  <c:v>0.51180555555555596</c:v>
                </c:pt>
                <c:pt idx="22">
                  <c:v>0.51249999999999996</c:v>
                </c:pt>
                <c:pt idx="23">
                  <c:v>0.51319444444444395</c:v>
                </c:pt>
                <c:pt idx="24">
                  <c:v>0.51388888888888895</c:v>
                </c:pt>
              </c:numCache>
            </c:numRef>
          </c:cat>
          <c:val>
            <c:numRef>
              <c:f>'OPERACIONAL 1'!$BB$50:$BB$74</c:f>
              <c:numCache>
                <c:formatCode>0.0</c:formatCode>
                <c:ptCount val="25"/>
                <c:pt idx="0">
                  <c:v>596.65</c:v>
                </c:pt>
                <c:pt idx="1">
                  <c:v>597.14</c:v>
                </c:pt>
                <c:pt idx="2">
                  <c:v>598.42999999999995</c:v>
                </c:pt>
                <c:pt idx="3">
                  <c:v>598.53</c:v>
                </c:pt>
                <c:pt idx="4">
                  <c:v>599.94000000000005</c:v>
                </c:pt>
                <c:pt idx="5">
                  <c:v>599.91999999999996</c:v>
                </c:pt>
                <c:pt idx="6">
                  <c:v>599.23</c:v>
                </c:pt>
                <c:pt idx="7">
                  <c:v>598.98</c:v>
                </c:pt>
                <c:pt idx="8">
                  <c:v>600.13</c:v>
                </c:pt>
                <c:pt idx="9">
                  <c:v>600.1</c:v>
                </c:pt>
                <c:pt idx="10">
                  <c:v>599.67999999999995</c:v>
                </c:pt>
                <c:pt idx="11">
                  <c:v>599.85</c:v>
                </c:pt>
                <c:pt idx="12">
                  <c:v>599.87</c:v>
                </c:pt>
                <c:pt idx="13">
                  <c:v>599.49</c:v>
                </c:pt>
                <c:pt idx="14">
                  <c:v>600.53</c:v>
                </c:pt>
                <c:pt idx="15">
                  <c:v>600.44000000000005</c:v>
                </c:pt>
                <c:pt idx="16">
                  <c:v>600.6</c:v>
                </c:pt>
                <c:pt idx="17">
                  <c:v>600.37</c:v>
                </c:pt>
                <c:pt idx="18">
                  <c:v>599.21</c:v>
                </c:pt>
                <c:pt idx="19">
                  <c:v>600.15</c:v>
                </c:pt>
                <c:pt idx="20">
                  <c:v>600.72</c:v>
                </c:pt>
                <c:pt idx="21">
                  <c:v>600.92999999999995</c:v>
                </c:pt>
                <c:pt idx="22">
                  <c:v>600.70000000000005</c:v>
                </c:pt>
                <c:pt idx="23">
                  <c:v>600.91</c:v>
                </c:pt>
                <c:pt idx="24">
                  <c:v>600.20000000000005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A6-464E-A9A8-BFDC11E76E60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asdasdadw2</c:v>
                </c:pt>
              </c:strCache>
            </c:strRef>
          </c:tx>
          <c:marker>
            <c:symbol val="none"/>
          </c:marker>
          <c:cat>
            <c:numRef>
              <c:f>'OPERACIONAL 1'!$B$50:$B$74</c:f>
              <c:numCache>
                <c:formatCode>h:mm</c:formatCode>
                <c:ptCount val="25"/>
                <c:pt idx="0">
                  <c:v>0.49722222222222201</c:v>
                </c:pt>
                <c:pt idx="1">
                  <c:v>0.49791666666666701</c:v>
                </c:pt>
                <c:pt idx="2">
                  <c:v>0.49861111111111101</c:v>
                </c:pt>
                <c:pt idx="3">
                  <c:v>0.499305555555556</c:v>
                </c:pt>
                <c:pt idx="4">
                  <c:v>0.5</c:v>
                </c:pt>
                <c:pt idx="5">
                  <c:v>0.500694444444444</c:v>
                </c:pt>
                <c:pt idx="6">
                  <c:v>0.50138888888888899</c:v>
                </c:pt>
                <c:pt idx="7">
                  <c:v>0.50208333333333299</c:v>
                </c:pt>
                <c:pt idx="8">
                  <c:v>0.50277777777777799</c:v>
                </c:pt>
                <c:pt idx="9">
                  <c:v>0.50347222222222199</c:v>
                </c:pt>
                <c:pt idx="10">
                  <c:v>0.50416666666666698</c:v>
                </c:pt>
                <c:pt idx="11">
                  <c:v>0.50486111111111098</c:v>
                </c:pt>
                <c:pt idx="12">
                  <c:v>0.50555555555555598</c:v>
                </c:pt>
                <c:pt idx="13">
                  <c:v>0.50624999999999998</c:v>
                </c:pt>
                <c:pt idx="14">
                  <c:v>0.50694444444444398</c:v>
                </c:pt>
                <c:pt idx="15">
                  <c:v>0.50763888888888897</c:v>
                </c:pt>
                <c:pt idx="16">
                  <c:v>0.50833333333333297</c:v>
                </c:pt>
                <c:pt idx="17">
                  <c:v>0.50902777777777797</c:v>
                </c:pt>
                <c:pt idx="18">
                  <c:v>0.50972222222222197</c:v>
                </c:pt>
                <c:pt idx="19">
                  <c:v>0.51041666666666696</c:v>
                </c:pt>
                <c:pt idx="20">
                  <c:v>0.51111111111111096</c:v>
                </c:pt>
                <c:pt idx="21">
                  <c:v>0.51180555555555596</c:v>
                </c:pt>
                <c:pt idx="22">
                  <c:v>0.51249999999999996</c:v>
                </c:pt>
                <c:pt idx="23">
                  <c:v>0.51319444444444395</c:v>
                </c:pt>
                <c:pt idx="24">
                  <c:v>0.51388888888888895</c:v>
                </c:pt>
              </c:numCache>
            </c:numRef>
          </c:cat>
          <c:val>
            <c:numRef>
              <c:f>'OPERACIONAL 1'!$BC$50:$BC$74</c:f>
              <c:numCache>
                <c:formatCode>0.0</c:formatCode>
                <c:ptCount val="25"/>
                <c:pt idx="0">
                  <c:v>587.69999999999993</c:v>
                </c:pt>
                <c:pt idx="1">
                  <c:v>588.30999999999995</c:v>
                </c:pt>
                <c:pt idx="2">
                  <c:v>590.15</c:v>
                </c:pt>
                <c:pt idx="3">
                  <c:v>590.92999999999995</c:v>
                </c:pt>
                <c:pt idx="4">
                  <c:v>592.80999999999995</c:v>
                </c:pt>
                <c:pt idx="5">
                  <c:v>593.35</c:v>
                </c:pt>
                <c:pt idx="6">
                  <c:v>593.69999999999993</c:v>
                </c:pt>
                <c:pt idx="7">
                  <c:v>593.61</c:v>
                </c:pt>
                <c:pt idx="8">
                  <c:v>595.09</c:v>
                </c:pt>
                <c:pt idx="9">
                  <c:v>595.75</c:v>
                </c:pt>
                <c:pt idx="10">
                  <c:v>595.87</c:v>
                </c:pt>
                <c:pt idx="11">
                  <c:v>596.54999999999995</c:v>
                </c:pt>
                <c:pt idx="12">
                  <c:v>596.68999999999994</c:v>
                </c:pt>
                <c:pt idx="13">
                  <c:v>596.54999999999995</c:v>
                </c:pt>
                <c:pt idx="14">
                  <c:v>597.67999999999995</c:v>
                </c:pt>
                <c:pt idx="15">
                  <c:v>597.63</c:v>
                </c:pt>
                <c:pt idx="16">
                  <c:v>597.95999999999992</c:v>
                </c:pt>
                <c:pt idx="17">
                  <c:v>597.72</c:v>
                </c:pt>
                <c:pt idx="18">
                  <c:v>597.13</c:v>
                </c:pt>
                <c:pt idx="19">
                  <c:v>597.81999999999994</c:v>
                </c:pt>
                <c:pt idx="20">
                  <c:v>598.54999999999995</c:v>
                </c:pt>
                <c:pt idx="21">
                  <c:v>598.99</c:v>
                </c:pt>
                <c:pt idx="22">
                  <c:v>598.76</c:v>
                </c:pt>
                <c:pt idx="23">
                  <c:v>599.28</c:v>
                </c:pt>
                <c:pt idx="24">
                  <c:v>598.85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A6-464E-A9A8-BFDC11E76E60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sadasd</c:v>
                </c:pt>
              </c:strCache>
            </c:strRef>
          </c:tx>
          <c:marker>
            <c:symbol val="none"/>
          </c:marker>
          <c:cat>
            <c:numRef>
              <c:f>'OPERACIONAL 1'!$B$50:$B$74</c:f>
              <c:numCache>
                <c:formatCode>h:mm</c:formatCode>
                <c:ptCount val="25"/>
                <c:pt idx="0">
                  <c:v>0.49722222222222201</c:v>
                </c:pt>
                <c:pt idx="1">
                  <c:v>0.49791666666666701</c:v>
                </c:pt>
                <c:pt idx="2">
                  <c:v>0.49861111111111101</c:v>
                </c:pt>
                <c:pt idx="3">
                  <c:v>0.499305555555556</c:v>
                </c:pt>
                <c:pt idx="4">
                  <c:v>0.5</c:v>
                </c:pt>
                <c:pt idx="5">
                  <c:v>0.500694444444444</c:v>
                </c:pt>
                <c:pt idx="6">
                  <c:v>0.50138888888888899</c:v>
                </c:pt>
                <c:pt idx="7">
                  <c:v>0.50208333333333299</c:v>
                </c:pt>
                <c:pt idx="8">
                  <c:v>0.50277777777777799</c:v>
                </c:pt>
                <c:pt idx="9">
                  <c:v>0.50347222222222199</c:v>
                </c:pt>
                <c:pt idx="10">
                  <c:v>0.50416666666666698</c:v>
                </c:pt>
                <c:pt idx="11">
                  <c:v>0.50486111111111098</c:v>
                </c:pt>
                <c:pt idx="12">
                  <c:v>0.50555555555555598</c:v>
                </c:pt>
                <c:pt idx="13">
                  <c:v>0.50624999999999998</c:v>
                </c:pt>
                <c:pt idx="14">
                  <c:v>0.50694444444444398</c:v>
                </c:pt>
                <c:pt idx="15">
                  <c:v>0.50763888888888897</c:v>
                </c:pt>
                <c:pt idx="16">
                  <c:v>0.50833333333333297</c:v>
                </c:pt>
                <c:pt idx="17">
                  <c:v>0.50902777777777797</c:v>
                </c:pt>
                <c:pt idx="18">
                  <c:v>0.50972222222222197</c:v>
                </c:pt>
                <c:pt idx="19">
                  <c:v>0.51041666666666696</c:v>
                </c:pt>
                <c:pt idx="20">
                  <c:v>0.51111111111111096</c:v>
                </c:pt>
                <c:pt idx="21">
                  <c:v>0.51180555555555596</c:v>
                </c:pt>
                <c:pt idx="22">
                  <c:v>0.51249999999999996</c:v>
                </c:pt>
                <c:pt idx="23">
                  <c:v>0.51319444444444395</c:v>
                </c:pt>
                <c:pt idx="24">
                  <c:v>0.51388888888888895</c:v>
                </c:pt>
              </c:numCache>
            </c:numRef>
          </c:cat>
          <c:val>
            <c:numRef>
              <c:f>'OPERACIONAL 1'!$BD$50:$BD$74</c:f>
              <c:numCache>
                <c:formatCode>0.0</c:formatCode>
                <c:ptCount val="25"/>
                <c:pt idx="0">
                  <c:v>606.58999999999992</c:v>
                </c:pt>
                <c:pt idx="1">
                  <c:v>606.75</c:v>
                </c:pt>
                <c:pt idx="2">
                  <c:v>607.94999999999993</c:v>
                </c:pt>
                <c:pt idx="3">
                  <c:v>607.92999999999995</c:v>
                </c:pt>
                <c:pt idx="4">
                  <c:v>609.3599999999999</c:v>
                </c:pt>
                <c:pt idx="5">
                  <c:v>609.29</c:v>
                </c:pt>
                <c:pt idx="6">
                  <c:v>609.25</c:v>
                </c:pt>
                <c:pt idx="7">
                  <c:v>608.55999999999995</c:v>
                </c:pt>
                <c:pt idx="8">
                  <c:v>609.79</c:v>
                </c:pt>
                <c:pt idx="9">
                  <c:v>610.02</c:v>
                </c:pt>
                <c:pt idx="10">
                  <c:v>609.74</c:v>
                </c:pt>
                <c:pt idx="11">
                  <c:v>610.09999999999991</c:v>
                </c:pt>
                <c:pt idx="12">
                  <c:v>609.96999999999991</c:v>
                </c:pt>
                <c:pt idx="13">
                  <c:v>609.54999999999995</c:v>
                </c:pt>
                <c:pt idx="14">
                  <c:v>610.62</c:v>
                </c:pt>
                <c:pt idx="15">
                  <c:v>610.29</c:v>
                </c:pt>
                <c:pt idx="16">
                  <c:v>610.44999999999993</c:v>
                </c:pt>
                <c:pt idx="17">
                  <c:v>610.04999999999995</c:v>
                </c:pt>
                <c:pt idx="18">
                  <c:v>609.13</c:v>
                </c:pt>
                <c:pt idx="19">
                  <c:v>609.68999999999994</c:v>
                </c:pt>
                <c:pt idx="20">
                  <c:v>610.30999999999995</c:v>
                </c:pt>
                <c:pt idx="21">
                  <c:v>610.56999999999994</c:v>
                </c:pt>
                <c:pt idx="22">
                  <c:v>610.04999999999995</c:v>
                </c:pt>
                <c:pt idx="23">
                  <c:v>610.52</c:v>
                </c:pt>
                <c:pt idx="24">
                  <c:v>609.57999999999993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A6-464E-A9A8-BFDC11E76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457104"/>
        <c:axId val="436457432"/>
      </c:lineChart>
      <c:catAx>
        <c:axId val="43645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" sourceLinked="1"/>
        <c:majorTickMark val="out"/>
        <c:minorTickMark val="none"/>
        <c:tickLblPos val="nextTo"/>
        <c:crossAx val="436457432"/>
        <c:crosses val="autoZero"/>
        <c:auto val="1"/>
        <c:lblAlgn val="ctr"/>
        <c:lblOffset val="100"/>
        <c:noMultiLvlLbl val="0"/>
      </c:catAx>
      <c:valAx>
        <c:axId val="436457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364571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TANQUE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20978059849924713"/>
          <c:y val="1.2559138792493195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2'!$BB$30</c:f>
              <c:strCache>
                <c:ptCount val="1"/>
                <c:pt idx="0">
                  <c:v>adasd</c:v>
                </c:pt>
              </c:strCache>
            </c:strRef>
          </c:tx>
          <c:marker>
            <c:symbol val="none"/>
          </c:marker>
          <c:cat>
            <c:numRef>
              <c:f>'OPERACIONAL 2'!$B$31:$B$89</c:f>
              <c:numCache>
                <c:formatCode>h:mm</c:formatCode>
                <c:ptCount val="59"/>
                <c:pt idx="0">
                  <c:v>0.48402777777777778</c:v>
                </c:pt>
                <c:pt idx="1">
                  <c:v>0.48472222222222222</c:v>
                </c:pt>
                <c:pt idx="2">
                  <c:v>0.485416666666667</c:v>
                </c:pt>
                <c:pt idx="3">
                  <c:v>0.48611111111111099</c:v>
                </c:pt>
                <c:pt idx="4">
                  <c:v>0.48680555555555599</c:v>
                </c:pt>
                <c:pt idx="5">
                  <c:v>0.48749999999999999</c:v>
                </c:pt>
                <c:pt idx="6">
                  <c:v>0.48819444444444399</c:v>
                </c:pt>
                <c:pt idx="7">
                  <c:v>0.48888888888888898</c:v>
                </c:pt>
                <c:pt idx="8">
                  <c:v>0.48958333333333298</c:v>
                </c:pt>
                <c:pt idx="9">
                  <c:v>0.49027777777777798</c:v>
                </c:pt>
                <c:pt idx="10">
                  <c:v>0.49097222222222198</c:v>
                </c:pt>
                <c:pt idx="11">
                  <c:v>0.49166666666666697</c:v>
                </c:pt>
                <c:pt idx="12">
                  <c:v>0.49236111111111103</c:v>
                </c:pt>
                <c:pt idx="13">
                  <c:v>0.49305555555555602</c:v>
                </c:pt>
                <c:pt idx="14">
                  <c:v>0.49375000000000002</c:v>
                </c:pt>
                <c:pt idx="15">
                  <c:v>0.49444444444444402</c:v>
                </c:pt>
                <c:pt idx="16">
                  <c:v>0.49513888888888902</c:v>
                </c:pt>
                <c:pt idx="17">
                  <c:v>0.49583333333333302</c:v>
                </c:pt>
                <c:pt idx="18">
                  <c:v>0.49652777777777801</c:v>
                </c:pt>
                <c:pt idx="19">
                  <c:v>0.49722222222222201</c:v>
                </c:pt>
                <c:pt idx="20">
                  <c:v>0.49791666666666701</c:v>
                </c:pt>
                <c:pt idx="21">
                  <c:v>0.49861111111111101</c:v>
                </c:pt>
                <c:pt idx="22">
                  <c:v>0.499305555555556</c:v>
                </c:pt>
                <c:pt idx="23">
                  <c:v>0.5</c:v>
                </c:pt>
                <c:pt idx="24">
                  <c:v>0.500694444444444</c:v>
                </c:pt>
                <c:pt idx="25">
                  <c:v>0.50138888888888899</c:v>
                </c:pt>
                <c:pt idx="26">
                  <c:v>0.50208333333333299</c:v>
                </c:pt>
                <c:pt idx="27">
                  <c:v>0.50277777777777799</c:v>
                </c:pt>
                <c:pt idx="28">
                  <c:v>0.50347222222222199</c:v>
                </c:pt>
                <c:pt idx="29">
                  <c:v>0.50416666666666698</c:v>
                </c:pt>
                <c:pt idx="30">
                  <c:v>0.50486111111111098</c:v>
                </c:pt>
                <c:pt idx="31">
                  <c:v>0.50555555555555598</c:v>
                </c:pt>
                <c:pt idx="32">
                  <c:v>0.50624999999999998</c:v>
                </c:pt>
                <c:pt idx="33">
                  <c:v>0.50694444444444398</c:v>
                </c:pt>
                <c:pt idx="34">
                  <c:v>0.50763888888888897</c:v>
                </c:pt>
                <c:pt idx="35">
                  <c:v>0.50833333333333297</c:v>
                </c:pt>
                <c:pt idx="36">
                  <c:v>0.50902777777777797</c:v>
                </c:pt>
                <c:pt idx="37">
                  <c:v>0.50972222222222197</c:v>
                </c:pt>
                <c:pt idx="38">
                  <c:v>0.51041666666666696</c:v>
                </c:pt>
                <c:pt idx="39">
                  <c:v>0.51111111111111096</c:v>
                </c:pt>
                <c:pt idx="40">
                  <c:v>0.51180555555555596</c:v>
                </c:pt>
                <c:pt idx="41">
                  <c:v>0.51249999999999996</c:v>
                </c:pt>
                <c:pt idx="42">
                  <c:v>0.51319444444444395</c:v>
                </c:pt>
                <c:pt idx="43">
                  <c:v>0.51388888888888895</c:v>
                </c:pt>
                <c:pt idx="44">
                  <c:v>0.51458333333333295</c:v>
                </c:pt>
                <c:pt idx="45">
                  <c:v>0.51527777777777795</c:v>
                </c:pt>
                <c:pt idx="46">
                  <c:v>0.51597222222222205</c:v>
                </c:pt>
                <c:pt idx="47">
                  <c:v>0.51666666666666705</c:v>
                </c:pt>
                <c:pt idx="48">
                  <c:v>0.51736111111111105</c:v>
                </c:pt>
                <c:pt idx="49">
                  <c:v>0.51805555555555505</c:v>
                </c:pt>
                <c:pt idx="50">
                  <c:v>0.51875000000000004</c:v>
                </c:pt>
                <c:pt idx="51">
                  <c:v>0.51944444444444404</c:v>
                </c:pt>
                <c:pt idx="52">
                  <c:v>0.52013888888888904</c:v>
                </c:pt>
                <c:pt idx="53">
                  <c:v>0.52083333333333304</c:v>
                </c:pt>
                <c:pt idx="54">
                  <c:v>0.52152777777777803</c:v>
                </c:pt>
                <c:pt idx="55">
                  <c:v>0.52222222222222203</c:v>
                </c:pt>
                <c:pt idx="56">
                  <c:v>0.52291666666666703</c:v>
                </c:pt>
                <c:pt idx="57">
                  <c:v>0.52361111111111103</c:v>
                </c:pt>
                <c:pt idx="58">
                  <c:v>0.52430555555555503</c:v>
                </c:pt>
              </c:numCache>
            </c:numRef>
          </c:cat>
          <c:val>
            <c:numRef>
              <c:f>'OPERACIONAL 2'!$BB$31:$BB$89</c:f>
              <c:numCache>
                <c:formatCode>0.0</c:formatCode>
                <c:ptCount val="59"/>
                <c:pt idx="0">
                  <c:v>16.100000000000001</c:v>
                </c:pt>
                <c:pt idx="1">
                  <c:v>16.45</c:v>
                </c:pt>
                <c:pt idx="2">
                  <c:v>102.07</c:v>
                </c:pt>
                <c:pt idx="3">
                  <c:v>137.74</c:v>
                </c:pt>
                <c:pt idx="4">
                  <c:v>281.89</c:v>
                </c:pt>
                <c:pt idx="5">
                  <c:v>354.84</c:v>
                </c:pt>
                <c:pt idx="6">
                  <c:v>440.44</c:v>
                </c:pt>
                <c:pt idx="7">
                  <c:v>500.48</c:v>
                </c:pt>
                <c:pt idx="8">
                  <c:v>550.74</c:v>
                </c:pt>
                <c:pt idx="9">
                  <c:v>558.16</c:v>
                </c:pt>
                <c:pt idx="10">
                  <c:v>571.99</c:v>
                </c:pt>
                <c:pt idx="11">
                  <c:v>583.24</c:v>
                </c:pt>
                <c:pt idx="12">
                  <c:v>582.92999999999995</c:v>
                </c:pt>
                <c:pt idx="13">
                  <c:v>590.96</c:v>
                </c:pt>
                <c:pt idx="14">
                  <c:v>592.23</c:v>
                </c:pt>
                <c:pt idx="15">
                  <c:v>589.41999999999996</c:v>
                </c:pt>
                <c:pt idx="16">
                  <c:v>586.20000000000005</c:v>
                </c:pt>
                <c:pt idx="17">
                  <c:v>594.70000000000005</c:v>
                </c:pt>
                <c:pt idx="18">
                  <c:v>594.01</c:v>
                </c:pt>
                <c:pt idx="19">
                  <c:v>596.65</c:v>
                </c:pt>
                <c:pt idx="20">
                  <c:v>597.14</c:v>
                </c:pt>
                <c:pt idx="21">
                  <c:v>598.42999999999995</c:v>
                </c:pt>
                <c:pt idx="22">
                  <c:v>598.53</c:v>
                </c:pt>
                <c:pt idx="23">
                  <c:v>599.94000000000005</c:v>
                </c:pt>
                <c:pt idx="24">
                  <c:v>599.91999999999996</c:v>
                </c:pt>
                <c:pt idx="25">
                  <c:v>599.23</c:v>
                </c:pt>
                <c:pt idx="26">
                  <c:v>598.98</c:v>
                </c:pt>
                <c:pt idx="27">
                  <c:v>600.13</c:v>
                </c:pt>
                <c:pt idx="28">
                  <c:v>600.1</c:v>
                </c:pt>
                <c:pt idx="29">
                  <c:v>599.67999999999995</c:v>
                </c:pt>
                <c:pt idx="30">
                  <c:v>599.85</c:v>
                </c:pt>
                <c:pt idx="31">
                  <c:v>599.87</c:v>
                </c:pt>
                <c:pt idx="32">
                  <c:v>599.49</c:v>
                </c:pt>
                <c:pt idx="33">
                  <c:v>600.53</c:v>
                </c:pt>
                <c:pt idx="34">
                  <c:v>600.44000000000005</c:v>
                </c:pt>
                <c:pt idx="35">
                  <c:v>600.6</c:v>
                </c:pt>
                <c:pt idx="36">
                  <c:v>600.37</c:v>
                </c:pt>
                <c:pt idx="37">
                  <c:v>599.21</c:v>
                </c:pt>
                <c:pt idx="38">
                  <c:v>600.15</c:v>
                </c:pt>
                <c:pt idx="39">
                  <c:v>600.72</c:v>
                </c:pt>
                <c:pt idx="40">
                  <c:v>600.92999999999995</c:v>
                </c:pt>
                <c:pt idx="41">
                  <c:v>600.70000000000005</c:v>
                </c:pt>
                <c:pt idx="42">
                  <c:v>600.91</c:v>
                </c:pt>
                <c:pt idx="43">
                  <c:v>600.20000000000005</c:v>
                </c:pt>
                <c:pt idx="44">
                  <c:v>600.66999999999996</c:v>
                </c:pt>
                <c:pt idx="45">
                  <c:v>579.79999999999995</c:v>
                </c:pt>
                <c:pt idx="46">
                  <c:v>559.67999999999995</c:v>
                </c:pt>
                <c:pt idx="47">
                  <c:v>545.91</c:v>
                </c:pt>
                <c:pt idx="48">
                  <c:v>534.08000000000004</c:v>
                </c:pt>
                <c:pt idx="49">
                  <c:v>523.37</c:v>
                </c:pt>
                <c:pt idx="50">
                  <c:v>397.32</c:v>
                </c:pt>
                <c:pt idx="51">
                  <c:v>357.98</c:v>
                </c:pt>
                <c:pt idx="52">
                  <c:v>329.89</c:v>
                </c:pt>
                <c:pt idx="53">
                  <c:v>311.52</c:v>
                </c:pt>
                <c:pt idx="54">
                  <c:v>295.14</c:v>
                </c:pt>
                <c:pt idx="55">
                  <c:v>280.73</c:v>
                </c:pt>
                <c:pt idx="56">
                  <c:v>275.26</c:v>
                </c:pt>
                <c:pt idx="57">
                  <c:v>262.63</c:v>
                </c:pt>
                <c:pt idx="58">
                  <c:v>255.49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8-4E93-B1A5-1AD3B4852AA5}"/>
            </c:ext>
          </c:extLst>
        </c:ser>
        <c:ser>
          <c:idx val="1"/>
          <c:order val="1"/>
          <c:tx>
            <c:strRef>
              <c:f>'OPERACIONAL 2'!$BC$30</c:f>
              <c:strCache>
                <c:ptCount val="1"/>
                <c:pt idx="0">
                  <c:v>asdasdadw2</c:v>
                </c:pt>
              </c:strCache>
            </c:strRef>
          </c:tx>
          <c:marker>
            <c:symbol val="none"/>
          </c:marker>
          <c:cat>
            <c:numRef>
              <c:f>'OPERACIONAL 2'!$B$31:$B$89</c:f>
              <c:numCache>
                <c:formatCode>h:mm</c:formatCode>
                <c:ptCount val="59"/>
                <c:pt idx="0">
                  <c:v>0.48402777777777778</c:v>
                </c:pt>
                <c:pt idx="1">
                  <c:v>0.48472222222222222</c:v>
                </c:pt>
                <c:pt idx="2">
                  <c:v>0.485416666666667</c:v>
                </c:pt>
                <c:pt idx="3">
                  <c:v>0.48611111111111099</c:v>
                </c:pt>
                <c:pt idx="4">
                  <c:v>0.48680555555555599</c:v>
                </c:pt>
                <c:pt idx="5">
                  <c:v>0.48749999999999999</c:v>
                </c:pt>
                <c:pt idx="6">
                  <c:v>0.48819444444444399</c:v>
                </c:pt>
                <c:pt idx="7">
                  <c:v>0.48888888888888898</c:v>
                </c:pt>
                <c:pt idx="8">
                  <c:v>0.48958333333333298</c:v>
                </c:pt>
                <c:pt idx="9">
                  <c:v>0.49027777777777798</c:v>
                </c:pt>
                <c:pt idx="10">
                  <c:v>0.49097222222222198</c:v>
                </c:pt>
                <c:pt idx="11">
                  <c:v>0.49166666666666697</c:v>
                </c:pt>
                <c:pt idx="12">
                  <c:v>0.49236111111111103</c:v>
                </c:pt>
                <c:pt idx="13">
                  <c:v>0.49305555555555602</c:v>
                </c:pt>
                <c:pt idx="14">
                  <c:v>0.49375000000000002</c:v>
                </c:pt>
                <c:pt idx="15">
                  <c:v>0.49444444444444402</c:v>
                </c:pt>
                <c:pt idx="16">
                  <c:v>0.49513888888888902</c:v>
                </c:pt>
                <c:pt idx="17">
                  <c:v>0.49583333333333302</c:v>
                </c:pt>
                <c:pt idx="18">
                  <c:v>0.49652777777777801</c:v>
                </c:pt>
                <c:pt idx="19">
                  <c:v>0.49722222222222201</c:v>
                </c:pt>
                <c:pt idx="20">
                  <c:v>0.49791666666666701</c:v>
                </c:pt>
                <c:pt idx="21">
                  <c:v>0.49861111111111101</c:v>
                </c:pt>
                <c:pt idx="22">
                  <c:v>0.499305555555556</c:v>
                </c:pt>
                <c:pt idx="23">
                  <c:v>0.5</c:v>
                </c:pt>
                <c:pt idx="24">
                  <c:v>0.500694444444444</c:v>
                </c:pt>
                <c:pt idx="25">
                  <c:v>0.50138888888888899</c:v>
                </c:pt>
                <c:pt idx="26">
                  <c:v>0.50208333333333299</c:v>
                </c:pt>
                <c:pt idx="27">
                  <c:v>0.50277777777777799</c:v>
                </c:pt>
                <c:pt idx="28">
                  <c:v>0.50347222222222199</c:v>
                </c:pt>
                <c:pt idx="29">
                  <c:v>0.50416666666666698</c:v>
                </c:pt>
                <c:pt idx="30">
                  <c:v>0.50486111111111098</c:v>
                </c:pt>
                <c:pt idx="31">
                  <c:v>0.50555555555555598</c:v>
                </c:pt>
                <c:pt idx="32">
                  <c:v>0.50624999999999998</c:v>
                </c:pt>
                <c:pt idx="33">
                  <c:v>0.50694444444444398</c:v>
                </c:pt>
                <c:pt idx="34">
                  <c:v>0.50763888888888897</c:v>
                </c:pt>
                <c:pt idx="35">
                  <c:v>0.50833333333333297</c:v>
                </c:pt>
                <c:pt idx="36">
                  <c:v>0.50902777777777797</c:v>
                </c:pt>
                <c:pt idx="37">
                  <c:v>0.50972222222222197</c:v>
                </c:pt>
                <c:pt idx="38">
                  <c:v>0.51041666666666696</c:v>
                </c:pt>
                <c:pt idx="39">
                  <c:v>0.51111111111111096</c:v>
                </c:pt>
                <c:pt idx="40">
                  <c:v>0.51180555555555596</c:v>
                </c:pt>
                <c:pt idx="41">
                  <c:v>0.51249999999999996</c:v>
                </c:pt>
                <c:pt idx="42">
                  <c:v>0.51319444444444395</c:v>
                </c:pt>
                <c:pt idx="43">
                  <c:v>0.51388888888888895</c:v>
                </c:pt>
                <c:pt idx="44">
                  <c:v>0.51458333333333295</c:v>
                </c:pt>
                <c:pt idx="45">
                  <c:v>0.51527777777777795</c:v>
                </c:pt>
                <c:pt idx="46">
                  <c:v>0.51597222222222205</c:v>
                </c:pt>
                <c:pt idx="47">
                  <c:v>0.51666666666666705</c:v>
                </c:pt>
                <c:pt idx="48">
                  <c:v>0.51736111111111105</c:v>
                </c:pt>
                <c:pt idx="49">
                  <c:v>0.51805555555555505</c:v>
                </c:pt>
                <c:pt idx="50">
                  <c:v>0.51875000000000004</c:v>
                </c:pt>
                <c:pt idx="51">
                  <c:v>0.51944444444444404</c:v>
                </c:pt>
                <c:pt idx="52">
                  <c:v>0.52013888888888904</c:v>
                </c:pt>
                <c:pt idx="53">
                  <c:v>0.52083333333333304</c:v>
                </c:pt>
                <c:pt idx="54">
                  <c:v>0.52152777777777803</c:v>
                </c:pt>
                <c:pt idx="55">
                  <c:v>0.52222222222222203</c:v>
                </c:pt>
                <c:pt idx="56">
                  <c:v>0.52291666666666703</c:v>
                </c:pt>
                <c:pt idx="57">
                  <c:v>0.52361111111111103</c:v>
                </c:pt>
                <c:pt idx="58">
                  <c:v>0.52430555555555503</c:v>
                </c:pt>
              </c:numCache>
            </c:numRef>
          </c:cat>
          <c:val>
            <c:numRef>
              <c:f>'OPERACIONAL 2'!$BC$31:$BC$89</c:f>
              <c:numCache>
                <c:formatCode>0.0</c:formatCode>
                <c:ptCount val="59"/>
                <c:pt idx="0">
                  <c:v>14.820000000000002</c:v>
                </c:pt>
                <c:pt idx="1">
                  <c:v>15.160000000000002</c:v>
                </c:pt>
                <c:pt idx="2">
                  <c:v>98.550000000000011</c:v>
                </c:pt>
                <c:pt idx="3">
                  <c:v>135.51000000000002</c:v>
                </c:pt>
                <c:pt idx="4">
                  <c:v>275.34999999999997</c:v>
                </c:pt>
                <c:pt idx="5">
                  <c:v>335.84999999999997</c:v>
                </c:pt>
                <c:pt idx="6">
                  <c:v>414.63</c:v>
                </c:pt>
                <c:pt idx="7">
                  <c:v>475.38</c:v>
                </c:pt>
                <c:pt idx="8">
                  <c:v>526.37</c:v>
                </c:pt>
                <c:pt idx="9">
                  <c:v>537.59</c:v>
                </c:pt>
                <c:pt idx="10">
                  <c:v>552.47</c:v>
                </c:pt>
                <c:pt idx="11">
                  <c:v>563.66999999999996</c:v>
                </c:pt>
                <c:pt idx="12">
                  <c:v>569.55999999999995</c:v>
                </c:pt>
                <c:pt idx="13">
                  <c:v>575.65</c:v>
                </c:pt>
                <c:pt idx="14">
                  <c:v>578.94999999999993</c:v>
                </c:pt>
                <c:pt idx="15">
                  <c:v>579.25</c:v>
                </c:pt>
                <c:pt idx="16">
                  <c:v>580.04999999999995</c:v>
                </c:pt>
                <c:pt idx="17">
                  <c:v>584.18999999999994</c:v>
                </c:pt>
                <c:pt idx="18">
                  <c:v>585.98</c:v>
                </c:pt>
                <c:pt idx="19">
                  <c:v>587.69999999999993</c:v>
                </c:pt>
                <c:pt idx="20">
                  <c:v>588.30999999999995</c:v>
                </c:pt>
                <c:pt idx="21">
                  <c:v>590.15</c:v>
                </c:pt>
                <c:pt idx="22">
                  <c:v>590.92999999999995</c:v>
                </c:pt>
                <c:pt idx="23">
                  <c:v>592.80999999999995</c:v>
                </c:pt>
                <c:pt idx="24">
                  <c:v>593.35</c:v>
                </c:pt>
                <c:pt idx="25">
                  <c:v>593.69999999999993</c:v>
                </c:pt>
                <c:pt idx="26">
                  <c:v>593.61</c:v>
                </c:pt>
                <c:pt idx="27">
                  <c:v>595.09</c:v>
                </c:pt>
                <c:pt idx="28">
                  <c:v>595.75</c:v>
                </c:pt>
                <c:pt idx="29">
                  <c:v>595.87</c:v>
                </c:pt>
                <c:pt idx="30">
                  <c:v>596.54999999999995</c:v>
                </c:pt>
                <c:pt idx="31">
                  <c:v>596.68999999999994</c:v>
                </c:pt>
                <c:pt idx="32">
                  <c:v>596.54999999999995</c:v>
                </c:pt>
                <c:pt idx="33">
                  <c:v>597.67999999999995</c:v>
                </c:pt>
                <c:pt idx="34">
                  <c:v>597.63</c:v>
                </c:pt>
                <c:pt idx="35">
                  <c:v>597.95999999999992</c:v>
                </c:pt>
                <c:pt idx="36">
                  <c:v>597.72</c:v>
                </c:pt>
                <c:pt idx="37">
                  <c:v>597.13</c:v>
                </c:pt>
                <c:pt idx="38">
                  <c:v>597.81999999999994</c:v>
                </c:pt>
                <c:pt idx="39">
                  <c:v>598.54999999999995</c:v>
                </c:pt>
                <c:pt idx="40">
                  <c:v>598.99</c:v>
                </c:pt>
                <c:pt idx="41">
                  <c:v>598.76</c:v>
                </c:pt>
                <c:pt idx="42">
                  <c:v>599.28</c:v>
                </c:pt>
                <c:pt idx="43">
                  <c:v>598.85</c:v>
                </c:pt>
                <c:pt idx="44">
                  <c:v>599.37</c:v>
                </c:pt>
                <c:pt idx="45">
                  <c:v>577.47</c:v>
                </c:pt>
                <c:pt idx="46">
                  <c:v>557.38</c:v>
                </c:pt>
                <c:pt idx="47">
                  <c:v>543.5</c:v>
                </c:pt>
                <c:pt idx="48">
                  <c:v>531.61</c:v>
                </c:pt>
                <c:pt idx="49">
                  <c:v>520.97</c:v>
                </c:pt>
                <c:pt idx="50">
                  <c:v>286.82</c:v>
                </c:pt>
                <c:pt idx="51">
                  <c:v>256.81</c:v>
                </c:pt>
                <c:pt idx="52">
                  <c:v>231.09</c:v>
                </c:pt>
                <c:pt idx="53">
                  <c:v>211.12</c:v>
                </c:pt>
                <c:pt idx="54">
                  <c:v>206.56</c:v>
                </c:pt>
                <c:pt idx="55">
                  <c:v>195.49</c:v>
                </c:pt>
                <c:pt idx="56">
                  <c:v>190.82</c:v>
                </c:pt>
                <c:pt idx="57">
                  <c:v>183.68</c:v>
                </c:pt>
                <c:pt idx="58">
                  <c:v>177.64000000000001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A8-4E93-B1A5-1AD3B4852AA5}"/>
            </c:ext>
          </c:extLst>
        </c:ser>
        <c:ser>
          <c:idx val="2"/>
          <c:order val="2"/>
          <c:tx>
            <c:strRef>
              <c:f>'OPERACIONAL 2'!$BD$30</c:f>
              <c:strCache>
                <c:ptCount val="1"/>
                <c:pt idx="0">
                  <c:v>sadasd</c:v>
                </c:pt>
              </c:strCache>
            </c:strRef>
          </c:tx>
          <c:marker>
            <c:symbol val="none"/>
          </c:marker>
          <c:cat>
            <c:numRef>
              <c:f>'OPERACIONAL 2'!$B$31:$B$89</c:f>
              <c:numCache>
                <c:formatCode>h:mm</c:formatCode>
                <c:ptCount val="59"/>
                <c:pt idx="0">
                  <c:v>0.48402777777777778</c:v>
                </c:pt>
                <c:pt idx="1">
                  <c:v>0.48472222222222222</c:v>
                </c:pt>
                <c:pt idx="2">
                  <c:v>0.485416666666667</c:v>
                </c:pt>
                <c:pt idx="3">
                  <c:v>0.48611111111111099</c:v>
                </c:pt>
                <c:pt idx="4">
                  <c:v>0.48680555555555599</c:v>
                </c:pt>
                <c:pt idx="5">
                  <c:v>0.48749999999999999</c:v>
                </c:pt>
                <c:pt idx="6">
                  <c:v>0.48819444444444399</c:v>
                </c:pt>
                <c:pt idx="7">
                  <c:v>0.48888888888888898</c:v>
                </c:pt>
                <c:pt idx="8">
                  <c:v>0.48958333333333298</c:v>
                </c:pt>
                <c:pt idx="9">
                  <c:v>0.49027777777777798</c:v>
                </c:pt>
                <c:pt idx="10">
                  <c:v>0.49097222222222198</c:v>
                </c:pt>
                <c:pt idx="11">
                  <c:v>0.49166666666666697</c:v>
                </c:pt>
                <c:pt idx="12">
                  <c:v>0.49236111111111103</c:v>
                </c:pt>
                <c:pt idx="13">
                  <c:v>0.49305555555555602</c:v>
                </c:pt>
                <c:pt idx="14">
                  <c:v>0.49375000000000002</c:v>
                </c:pt>
                <c:pt idx="15">
                  <c:v>0.49444444444444402</c:v>
                </c:pt>
                <c:pt idx="16">
                  <c:v>0.49513888888888902</c:v>
                </c:pt>
                <c:pt idx="17">
                  <c:v>0.49583333333333302</c:v>
                </c:pt>
                <c:pt idx="18">
                  <c:v>0.49652777777777801</c:v>
                </c:pt>
                <c:pt idx="19">
                  <c:v>0.49722222222222201</c:v>
                </c:pt>
                <c:pt idx="20">
                  <c:v>0.49791666666666701</c:v>
                </c:pt>
                <c:pt idx="21">
                  <c:v>0.49861111111111101</c:v>
                </c:pt>
                <c:pt idx="22">
                  <c:v>0.499305555555556</c:v>
                </c:pt>
                <c:pt idx="23">
                  <c:v>0.5</c:v>
                </c:pt>
                <c:pt idx="24">
                  <c:v>0.500694444444444</c:v>
                </c:pt>
                <c:pt idx="25">
                  <c:v>0.50138888888888899</c:v>
                </c:pt>
                <c:pt idx="26">
                  <c:v>0.50208333333333299</c:v>
                </c:pt>
                <c:pt idx="27">
                  <c:v>0.50277777777777799</c:v>
                </c:pt>
                <c:pt idx="28">
                  <c:v>0.50347222222222199</c:v>
                </c:pt>
                <c:pt idx="29">
                  <c:v>0.50416666666666698</c:v>
                </c:pt>
                <c:pt idx="30">
                  <c:v>0.50486111111111098</c:v>
                </c:pt>
                <c:pt idx="31">
                  <c:v>0.50555555555555598</c:v>
                </c:pt>
                <c:pt idx="32">
                  <c:v>0.50624999999999998</c:v>
                </c:pt>
                <c:pt idx="33">
                  <c:v>0.50694444444444398</c:v>
                </c:pt>
                <c:pt idx="34">
                  <c:v>0.50763888888888897</c:v>
                </c:pt>
                <c:pt idx="35">
                  <c:v>0.50833333333333297</c:v>
                </c:pt>
                <c:pt idx="36">
                  <c:v>0.50902777777777797</c:v>
                </c:pt>
                <c:pt idx="37">
                  <c:v>0.50972222222222197</c:v>
                </c:pt>
                <c:pt idx="38">
                  <c:v>0.51041666666666696</c:v>
                </c:pt>
                <c:pt idx="39">
                  <c:v>0.51111111111111096</c:v>
                </c:pt>
                <c:pt idx="40">
                  <c:v>0.51180555555555596</c:v>
                </c:pt>
                <c:pt idx="41">
                  <c:v>0.51249999999999996</c:v>
                </c:pt>
                <c:pt idx="42">
                  <c:v>0.51319444444444395</c:v>
                </c:pt>
                <c:pt idx="43">
                  <c:v>0.51388888888888895</c:v>
                </c:pt>
                <c:pt idx="44">
                  <c:v>0.51458333333333295</c:v>
                </c:pt>
                <c:pt idx="45">
                  <c:v>0.51527777777777795</c:v>
                </c:pt>
                <c:pt idx="46">
                  <c:v>0.51597222222222205</c:v>
                </c:pt>
                <c:pt idx="47">
                  <c:v>0.51666666666666705</c:v>
                </c:pt>
                <c:pt idx="48">
                  <c:v>0.51736111111111105</c:v>
                </c:pt>
                <c:pt idx="49">
                  <c:v>0.51805555555555505</c:v>
                </c:pt>
                <c:pt idx="50">
                  <c:v>0.51875000000000004</c:v>
                </c:pt>
                <c:pt idx="51">
                  <c:v>0.51944444444444404</c:v>
                </c:pt>
                <c:pt idx="52">
                  <c:v>0.52013888888888904</c:v>
                </c:pt>
                <c:pt idx="53">
                  <c:v>0.52083333333333304</c:v>
                </c:pt>
                <c:pt idx="54">
                  <c:v>0.52152777777777803</c:v>
                </c:pt>
                <c:pt idx="55">
                  <c:v>0.52222222222222203</c:v>
                </c:pt>
                <c:pt idx="56">
                  <c:v>0.52291666666666703</c:v>
                </c:pt>
                <c:pt idx="57">
                  <c:v>0.52361111111111103</c:v>
                </c:pt>
                <c:pt idx="58">
                  <c:v>0.52430555555555503</c:v>
                </c:pt>
              </c:numCache>
            </c:numRef>
          </c:cat>
          <c:val>
            <c:numRef>
              <c:f>'OPERACIONAL 2'!$BD$31:$BD$89</c:f>
              <c:numCache>
                <c:formatCode>0.0</c:formatCode>
                <c:ptCount val="59"/>
                <c:pt idx="0">
                  <c:v>15.580000000000002</c:v>
                </c:pt>
                <c:pt idx="1">
                  <c:v>15.75</c:v>
                </c:pt>
                <c:pt idx="2">
                  <c:v>84.95</c:v>
                </c:pt>
                <c:pt idx="3">
                  <c:v>135.26000000000002</c:v>
                </c:pt>
                <c:pt idx="4">
                  <c:v>303.73</c:v>
                </c:pt>
                <c:pt idx="5">
                  <c:v>370.98</c:v>
                </c:pt>
                <c:pt idx="6">
                  <c:v>453.7</c:v>
                </c:pt>
                <c:pt idx="7">
                  <c:v>514.32999999999993</c:v>
                </c:pt>
                <c:pt idx="8">
                  <c:v>564.16</c:v>
                </c:pt>
                <c:pt idx="9">
                  <c:v>575.1099999999999</c:v>
                </c:pt>
                <c:pt idx="10">
                  <c:v>586.02</c:v>
                </c:pt>
                <c:pt idx="11">
                  <c:v>594.30999999999995</c:v>
                </c:pt>
                <c:pt idx="12">
                  <c:v>599.05999999999995</c:v>
                </c:pt>
                <c:pt idx="13">
                  <c:v>601.89</c:v>
                </c:pt>
                <c:pt idx="14">
                  <c:v>603.71999999999991</c:v>
                </c:pt>
                <c:pt idx="15">
                  <c:v>603.04</c:v>
                </c:pt>
                <c:pt idx="16">
                  <c:v>604.46999999999991</c:v>
                </c:pt>
                <c:pt idx="17">
                  <c:v>604.89</c:v>
                </c:pt>
                <c:pt idx="18">
                  <c:v>606.18999999999994</c:v>
                </c:pt>
                <c:pt idx="19">
                  <c:v>606.58999999999992</c:v>
                </c:pt>
                <c:pt idx="20">
                  <c:v>606.75</c:v>
                </c:pt>
                <c:pt idx="21">
                  <c:v>607.94999999999993</c:v>
                </c:pt>
                <c:pt idx="22">
                  <c:v>607.92999999999995</c:v>
                </c:pt>
                <c:pt idx="23">
                  <c:v>609.3599999999999</c:v>
                </c:pt>
                <c:pt idx="24">
                  <c:v>609.29</c:v>
                </c:pt>
                <c:pt idx="25">
                  <c:v>609.25</c:v>
                </c:pt>
                <c:pt idx="26">
                  <c:v>608.55999999999995</c:v>
                </c:pt>
                <c:pt idx="27">
                  <c:v>609.79</c:v>
                </c:pt>
                <c:pt idx="28">
                  <c:v>610.02</c:v>
                </c:pt>
                <c:pt idx="29">
                  <c:v>609.74</c:v>
                </c:pt>
                <c:pt idx="30">
                  <c:v>610.09999999999991</c:v>
                </c:pt>
                <c:pt idx="31">
                  <c:v>609.96999999999991</c:v>
                </c:pt>
                <c:pt idx="32">
                  <c:v>609.54999999999995</c:v>
                </c:pt>
                <c:pt idx="33">
                  <c:v>610.62</c:v>
                </c:pt>
                <c:pt idx="34">
                  <c:v>610.29</c:v>
                </c:pt>
                <c:pt idx="35">
                  <c:v>610.44999999999993</c:v>
                </c:pt>
                <c:pt idx="36">
                  <c:v>610.04999999999995</c:v>
                </c:pt>
                <c:pt idx="37">
                  <c:v>609.13</c:v>
                </c:pt>
                <c:pt idx="38">
                  <c:v>609.68999999999994</c:v>
                </c:pt>
                <c:pt idx="39">
                  <c:v>610.30999999999995</c:v>
                </c:pt>
                <c:pt idx="40">
                  <c:v>610.56999999999994</c:v>
                </c:pt>
                <c:pt idx="41">
                  <c:v>610.04999999999995</c:v>
                </c:pt>
                <c:pt idx="42">
                  <c:v>610.52</c:v>
                </c:pt>
                <c:pt idx="43">
                  <c:v>609.57999999999993</c:v>
                </c:pt>
                <c:pt idx="44">
                  <c:v>610.29</c:v>
                </c:pt>
                <c:pt idx="45">
                  <c:v>585.29</c:v>
                </c:pt>
                <c:pt idx="46">
                  <c:v>562.67999999999995</c:v>
                </c:pt>
                <c:pt idx="47">
                  <c:v>548.16999999999996</c:v>
                </c:pt>
                <c:pt idx="48">
                  <c:v>535.70999999999992</c:v>
                </c:pt>
                <c:pt idx="49">
                  <c:v>524.49</c:v>
                </c:pt>
                <c:pt idx="50">
                  <c:v>325.45</c:v>
                </c:pt>
                <c:pt idx="51">
                  <c:v>280.44</c:v>
                </c:pt>
                <c:pt idx="52">
                  <c:v>260.12</c:v>
                </c:pt>
                <c:pt idx="53">
                  <c:v>244.63000000000002</c:v>
                </c:pt>
                <c:pt idx="54">
                  <c:v>219.85000000000002</c:v>
                </c:pt>
                <c:pt idx="55">
                  <c:v>202.79000000000002</c:v>
                </c:pt>
                <c:pt idx="56">
                  <c:v>188.65</c:v>
                </c:pt>
                <c:pt idx="57">
                  <c:v>180.20000000000002</c:v>
                </c:pt>
                <c:pt idx="58">
                  <c:v>175.74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A8-4E93-B1A5-1AD3B4852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0787304"/>
        <c:axId val="440787632"/>
      </c:lineChart>
      <c:catAx>
        <c:axId val="440787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" sourceLinked="1"/>
        <c:majorTickMark val="out"/>
        <c:minorTickMark val="none"/>
        <c:tickLblPos val="nextTo"/>
        <c:crossAx val="440787632"/>
        <c:crosses val="autoZero"/>
        <c:auto val="1"/>
        <c:lblAlgn val="ctr"/>
        <c:lblOffset val="100"/>
        <c:noMultiLvlLbl val="0"/>
      </c:catAx>
      <c:valAx>
        <c:axId val="440787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4078730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2'!$BB$30</c:f>
              <c:strCache>
                <c:ptCount val="1"/>
                <c:pt idx="0">
                  <c:v>adasd</c:v>
                </c:pt>
              </c:strCache>
            </c:strRef>
          </c:tx>
          <c:marker>
            <c:symbol val="none"/>
          </c:marker>
          <c:cat>
            <c:numRef>
              <c:f>'OPERACIONAL 2'!$B$50:$B$74</c:f>
              <c:numCache>
                <c:formatCode>h:mm</c:formatCode>
                <c:ptCount val="25"/>
                <c:pt idx="0">
                  <c:v>0.49722222222222201</c:v>
                </c:pt>
                <c:pt idx="1">
                  <c:v>0.49791666666666701</c:v>
                </c:pt>
                <c:pt idx="2">
                  <c:v>0.49861111111111101</c:v>
                </c:pt>
                <c:pt idx="3">
                  <c:v>0.499305555555556</c:v>
                </c:pt>
                <c:pt idx="4">
                  <c:v>0.5</c:v>
                </c:pt>
                <c:pt idx="5">
                  <c:v>0.500694444444444</c:v>
                </c:pt>
                <c:pt idx="6">
                  <c:v>0.50138888888888899</c:v>
                </c:pt>
                <c:pt idx="7">
                  <c:v>0.50208333333333299</c:v>
                </c:pt>
                <c:pt idx="8">
                  <c:v>0.50277777777777799</c:v>
                </c:pt>
                <c:pt idx="9">
                  <c:v>0.50347222222222199</c:v>
                </c:pt>
                <c:pt idx="10">
                  <c:v>0.50416666666666698</c:v>
                </c:pt>
                <c:pt idx="11">
                  <c:v>0.50486111111111098</c:v>
                </c:pt>
                <c:pt idx="12">
                  <c:v>0.50555555555555598</c:v>
                </c:pt>
                <c:pt idx="13">
                  <c:v>0.50624999999999998</c:v>
                </c:pt>
                <c:pt idx="14">
                  <c:v>0.50694444444444398</c:v>
                </c:pt>
                <c:pt idx="15">
                  <c:v>0.50763888888888897</c:v>
                </c:pt>
                <c:pt idx="16">
                  <c:v>0.50833333333333297</c:v>
                </c:pt>
                <c:pt idx="17">
                  <c:v>0.50902777777777797</c:v>
                </c:pt>
                <c:pt idx="18">
                  <c:v>0.50972222222222197</c:v>
                </c:pt>
                <c:pt idx="19">
                  <c:v>0.51041666666666696</c:v>
                </c:pt>
                <c:pt idx="20">
                  <c:v>0.51111111111111096</c:v>
                </c:pt>
                <c:pt idx="21">
                  <c:v>0.51180555555555596</c:v>
                </c:pt>
                <c:pt idx="22">
                  <c:v>0.51249999999999996</c:v>
                </c:pt>
                <c:pt idx="23">
                  <c:v>0.51319444444444395</c:v>
                </c:pt>
                <c:pt idx="24">
                  <c:v>0.51388888888888895</c:v>
                </c:pt>
              </c:numCache>
            </c:numRef>
          </c:cat>
          <c:val>
            <c:numRef>
              <c:f>'OPERACIONAL 2'!$BB$50:$BB$74</c:f>
              <c:numCache>
                <c:formatCode>0.0</c:formatCode>
                <c:ptCount val="25"/>
                <c:pt idx="0">
                  <c:v>596.65</c:v>
                </c:pt>
                <c:pt idx="1">
                  <c:v>597.14</c:v>
                </c:pt>
                <c:pt idx="2">
                  <c:v>598.42999999999995</c:v>
                </c:pt>
                <c:pt idx="3">
                  <c:v>598.53</c:v>
                </c:pt>
                <c:pt idx="4">
                  <c:v>599.94000000000005</c:v>
                </c:pt>
                <c:pt idx="5">
                  <c:v>599.91999999999996</c:v>
                </c:pt>
                <c:pt idx="6">
                  <c:v>599.23</c:v>
                </c:pt>
                <c:pt idx="7">
                  <c:v>598.98</c:v>
                </c:pt>
                <c:pt idx="8">
                  <c:v>600.13</c:v>
                </c:pt>
                <c:pt idx="9">
                  <c:v>600.1</c:v>
                </c:pt>
                <c:pt idx="10">
                  <c:v>599.67999999999995</c:v>
                </c:pt>
                <c:pt idx="11">
                  <c:v>599.85</c:v>
                </c:pt>
                <c:pt idx="12">
                  <c:v>599.87</c:v>
                </c:pt>
                <c:pt idx="13">
                  <c:v>599.49</c:v>
                </c:pt>
                <c:pt idx="14">
                  <c:v>600.53</c:v>
                </c:pt>
                <c:pt idx="15">
                  <c:v>600.44000000000005</c:v>
                </c:pt>
                <c:pt idx="16">
                  <c:v>600.6</c:v>
                </c:pt>
                <c:pt idx="17">
                  <c:v>600.37</c:v>
                </c:pt>
                <c:pt idx="18">
                  <c:v>599.21</c:v>
                </c:pt>
                <c:pt idx="19">
                  <c:v>600.15</c:v>
                </c:pt>
                <c:pt idx="20">
                  <c:v>600.72</c:v>
                </c:pt>
                <c:pt idx="21">
                  <c:v>600.92999999999995</c:v>
                </c:pt>
                <c:pt idx="22">
                  <c:v>600.70000000000005</c:v>
                </c:pt>
                <c:pt idx="23">
                  <c:v>600.91</c:v>
                </c:pt>
                <c:pt idx="24">
                  <c:v>600.20000000000005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E-422A-AD09-DCB5B593962E}"/>
            </c:ext>
          </c:extLst>
        </c:ser>
        <c:ser>
          <c:idx val="1"/>
          <c:order val="1"/>
          <c:tx>
            <c:strRef>
              <c:f>'OPERACIONAL 2'!$BC$30</c:f>
              <c:strCache>
                <c:ptCount val="1"/>
                <c:pt idx="0">
                  <c:v>asdasdadw2</c:v>
                </c:pt>
              </c:strCache>
            </c:strRef>
          </c:tx>
          <c:marker>
            <c:symbol val="none"/>
          </c:marker>
          <c:cat>
            <c:numRef>
              <c:f>'OPERACIONAL 2'!$B$50:$B$74</c:f>
              <c:numCache>
                <c:formatCode>h:mm</c:formatCode>
                <c:ptCount val="25"/>
                <c:pt idx="0">
                  <c:v>0.49722222222222201</c:v>
                </c:pt>
                <c:pt idx="1">
                  <c:v>0.49791666666666701</c:v>
                </c:pt>
                <c:pt idx="2">
                  <c:v>0.49861111111111101</c:v>
                </c:pt>
                <c:pt idx="3">
                  <c:v>0.499305555555556</c:v>
                </c:pt>
                <c:pt idx="4">
                  <c:v>0.5</c:v>
                </c:pt>
                <c:pt idx="5">
                  <c:v>0.500694444444444</c:v>
                </c:pt>
                <c:pt idx="6">
                  <c:v>0.50138888888888899</c:v>
                </c:pt>
                <c:pt idx="7">
                  <c:v>0.50208333333333299</c:v>
                </c:pt>
                <c:pt idx="8">
                  <c:v>0.50277777777777799</c:v>
                </c:pt>
                <c:pt idx="9">
                  <c:v>0.50347222222222199</c:v>
                </c:pt>
                <c:pt idx="10">
                  <c:v>0.50416666666666698</c:v>
                </c:pt>
                <c:pt idx="11">
                  <c:v>0.50486111111111098</c:v>
                </c:pt>
                <c:pt idx="12">
                  <c:v>0.50555555555555598</c:v>
                </c:pt>
                <c:pt idx="13">
                  <c:v>0.50624999999999998</c:v>
                </c:pt>
                <c:pt idx="14">
                  <c:v>0.50694444444444398</c:v>
                </c:pt>
                <c:pt idx="15">
                  <c:v>0.50763888888888897</c:v>
                </c:pt>
                <c:pt idx="16">
                  <c:v>0.50833333333333297</c:v>
                </c:pt>
                <c:pt idx="17">
                  <c:v>0.50902777777777797</c:v>
                </c:pt>
                <c:pt idx="18">
                  <c:v>0.50972222222222197</c:v>
                </c:pt>
                <c:pt idx="19">
                  <c:v>0.51041666666666696</c:v>
                </c:pt>
                <c:pt idx="20">
                  <c:v>0.51111111111111096</c:v>
                </c:pt>
                <c:pt idx="21">
                  <c:v>0.51180555555555596</c:v>
                </c:pt>
                <c:pt idx="22">
                  <c:v>0.51249999999999996</c:v>
                </c:pt>
                <c:pt idx="23">
                  <c:v>0.51319444444444395</c:v>
                </c:pt>
                <c:pt idx="24">
                  <c:v>0.51388888888888895</c:v>
                </c:pt>
              </c:numCache>
            </c:numRef>
          </c:cat>
          <c:val>
            <c:numRef>
              <c:f>'OPERACIONAL 2'!$BC$50:$BC$74</c:f>
              <c:numCache>
                <c:formatCode>0.0</c:formatCode>
                <c:ptCount val="25"/>
                <c:pt idx="0">
                  <c:v>587.69999999999993</c:v>
                </c:pt>
                <c:pt idx="1">
                  <c:v>588.30999999999995</c:v>
                </c:pt>
                <c:pt idx="2">
                  <c:v>590.15</c:v>
                </c:pt>
                <c:pt idx="3">
                  <c:v>590.92999999999995</c:v>
                </c:pt>
                <c:pt idx="4">
                  <c:v>592.80999999999995</c:v>
                </c:pt>
                <c:pt idx="5">
                  <c:v>593.35</c:v>
                </c:pt>
                <c:pt idx="6">
                  <c:v>593.69999999999993</c:v>
                </c:pt>
                <c:pt idx="7">
                  <c:v>593.61</c:v>
                </c:pt>
                <c:pt idx="8">
                  <c:v>595.09</c:v>
                </c:pt>
                <c:pt idx="9">
                  <c:v>595.75</c:v>
                </c:pt>
                <c:pt idx="10">
                  <c:v>595.87</c:v>
                </c:pt>
                <c:pt idx="11">
                  <c:v>596.54999999999995</c:v>
                </c:pt>
                <c:pt idx="12">
                  <c:v>596.68999999999994</c:v>
                </c:pt>
                <c:pt idx="13">
                  <c:v>596.54999999999995</c:v>
                </c:pt>
                <c:pt idx="14">
                  <c:v>597.67999999999995</c:v>
                </c:pt>
                <c:pt idx="15">
                  <c:v>597.63</c:v>
                </c:pt>
                <c:pt idx="16">
                  <c:v>597.95999999999992</c:v>
                </c:pt>
                <c:pt idx="17">
                  <c:v>597.72</c:v>
                </c:pt>
                <c:pt idx="18">
                  <c:v>597.13</c:v>
                </c:pt>
                <c:pt idx="19">
                  <c:v>597.81999999999994</c:v>
                </c:pt>
                <c:pt idx="20">
                  <c:v>598.54999999999995</c:v>
                </c:pt>
                <c:pt idx="21">
                  <c:v>598.99</c:v>
                </c:pt>
                <c:pt idx="22">
                  <c:v>598.76</c:v>
                </c:pt>
                <c:pt idx="23">
                  <c:v>599.28</c:v>
                </c:pt>
                <c:pt idx="24">
                  <c:v>598.85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E-422A-AD09-DCB5B593962E}"/>
            </c:ext>
          </c:extLst>
        </c:ser>
        <c:ser>
          <c:idx val="2"/>
          <c:order val="2"/>
          <c:tx>
            <c:strRef>
              <c:f>'OPERACIONAL 2'!$BD$30</c:f>
              <c:strCache>
                <c:ptCount val="1"/>
                <c:pt idx="0">
                  <c:v>sadasd</c:v>
                </c:pt>
              </c:strCache>
            </c:strRef>
          </c:tx>
          <c:marker>
            <c:symbol val="none"/>
          </c:marker>
          <c:cat>
            <c:numRef>
              <c:f>'OPERACIONAL 2'!$B$50:$B$74</c:f>
              <c:numCache>
                <c:formatCode>h:mm</c:formatCode>
                <c:ptCount val="25"/>
                <c:pt idx="0">
                  <c:v>0.49722222222222201</c:v>
                </c:pt>
                <c:pt idx="1">
                  <c:v>0.49791666666666701</c:v>
                </c:pt>
                <c:pt idx="2">
                  <c:v>0.49861111111111101</c:v>
                </c:pt>
                <c:pt idx="3">
                  <c:v>0.499305555555556</c:v>
                </c:pt>
                <c:pt idx="4">
                  <c:v>0.5</c:v>
                </c:pt>
                <c:pt idx="5">
                  <c:v>0.500694444444444</c:v>
                </c:pt>
                <c:pt idx="6">
                  <c:v>0.50138888888888899</c:v>
                </c:pt>
                <c:pt idx="7">
                  <c:v>0.50208333333333299</c:v>
                </c:pt>
                <c:pt idx="8">
                  <c:v>0.50277777777777799</c:v>
                </c:pt>
                <c:pt idx="9">
                  <c:v>0.50347222222222199</c:v>
                </c:pt>
                <c:pt idx="10">
                  <c:v>0.50416666666666698</c:v>
                </c:pt>
                <c:pt idx="11">
                  <c:v>0.50486111111111098</c:v>
                </c:pt>
                <c:pt idx="12">
                  <c:v>0.50555555555555598</c:v>
                </c:pt>
                <c:pt idx="13">
                  <c:v>0.50624999999999998</c:v>
                </c:pt>
                <c:pt idx="14">
                  <c:v>0.50694444444444398</c:v>
                </c:pt>
                <c:pt idx="15">
                  <c:v>0.50763888888888897</c:v>
                </c:pt>
                <c:pt idx="16">
                  <c:v>0.50833333333333297</c:v>
                </c:pt>
                <c:pt idx="17">
                  <c:v>0.50902777777777797</c:v>
                </c:pt>
                <c:pt idx="18">
                  <c:v>0.50972222222222197</c:v>
                </c:pt>
                <c:pt idx="19">
                  <c:v>0.51041666666666696</c:v>
                </c:pt>
                <c:pt idx="20">
                  <c:v>0.51111111111111096</c:v>
                </c:pt>
                <c:pt idx="21">
                  <c:v>0.51180555555555596</c:v>
                </c:pt>
                <c:pt idx="22">
                  <c:v>0.51249999999999996</c:v>
                </c:pt>
                <c:pt idx="23">
                  <c:v>0.51319444444444395</c:v>
                </c:pt>
                <c:pt idx="24">
                  <c:v>0.51388888888888895</c:v>
                </c:pt>
              </c:numCache>
            </c:numRef>
          </c:cat>
          <c:val>
            <c:numRef>
              <c:f>'OPERACIONAL 2'!$BD$50:$BD$74</c:f>
              <c:numCache>
                <c:formatCode>0.0</c:formatCode>
                <c:ptCount val="25"/>
                <c:pt idx="0">
                  <c:v>606.58999999999992</c:v>
                </c:pt>
                <c:pt idx="1">
                  <c:v>606.75</c:v>
                </c:pt>
                <c:pt idx="2">
                  <c:v>607.94999999999993</c:v>
                </c:pt>
                <c:pt idx="3">
                  <c:v>607.92999999999995</c:v>
                </c:pt>
                <c:pt idx="4">
                  <c:v>609.3599999999999</c:v>
                </c:pt>
                <c:pt idx="5">
                  <c:v>609.29</c:v>
                </c:pt>
                <c:pt idx="6">
                  <c:v>609.25</c:v>
                </c:pt>
                <c:pt idx="7">
                  <c:v>608.55999999999995</c:v>
                </c:pt>
                <c:pt idx="8">
                  <c:v>609.79</c:v>
                </c:pt>
                <c:pt idx="9">
                  <c:v>610.02</c:v>
                </c:pt>
                <c:pt idx="10">
                  <c:v>609.74</c:v>
                </c:pt>
                <c:pt idx="11">
                  <c:v>610.09999999999991</c:v>
                </c:pt>
                <c:pt idx="12">
                  <c:v>609.96999999999991</c:v>
                </c:pt>
                <c:pt idx="13">
                  <c:v>609.54999999999995</c:v>
                </c:pt>
                <c:pt idx="14">
                  <c:v>610.62</c:v>
                </c:pt>
                <c:pt idx="15">
                  <c:v>610.29</c:v>
                </c:pt>
                <c:pt idx="16">
                  <c:v>610.44999999999993</c:v>
                </c:pt>
                <c:pt idx="17">
                  <c:v>610.04999999999995</c:v>
                </c:pt>
                <c:pt idx="18">
                  <c:v>609.13</c:v>
                </c:pt>
                <c:pt idx="19">
                  <c:v>609.68999999999994</c:v>
                </c:pt>
                <c:pt idx="20">
                  <c:v>610.30999999999995</c:v>
                </c:pt>
                <c:pt idx="21">
                  <c:v>610.56999999999994</c:v>
                </c:pt>
                <c:pt idx="22">
                  <c:v>610.04999999999995</c:v>
                </c:pt>
                <c:pt idx="23">
                  <c:v>610.52</c:v>
                </c:pt>
                <c:pt idx="24">
                  <c:v>609.57999999999993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E-422A-AD09-DCB5B5939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860352"/>
        <c:axId val="437861336"/>
      </c:lineChart>
      <c:catAx>
        <c:axId val="43786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" sourceLinked="1"/>
        <c:majorTickMark val="out"/>
        <c:minorTickMark val="none"/>
        <c:tickLblPos val="nextTo"/>
        <c:crossAx val="437861336"/>
        <c:crosses val="autoZero"/>
        <c:auto val="1"/>
        <c:lblAlgn val="ctr"/>
        <c:lblOffset val="100"/>
        <c:noMultiLvlLbl val="0"/>
      </c:catAx>
      <c:valAx>
        <c:axId val="437861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3786035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TANQUE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BUSSIE  FECHA CALIFICACIÓN: 2017-11-21</a:t>
            </a:r>
          </a:p>
        </c:rich>
      </c:tx>
      <c:layout>
        <c:manualLayout>
          <c:xMode val="edge"/>
          <c:yMode val="edge"/>
          <c:x val="0.20978059849924713"/>
          <c:y val="1.2559138792493195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3'!$BB$30</c:f>
              <c:strCache>
                <c:ptCount val="1"/>
                <c:pt idx="0">
                  <c:v>adasd</c:v>
                </c:pt>
              </c:strCache>
            </c:strRef>
          </c:tx>
          <c:marker>
            <c:symbol val="none"/>
          </c:marker>
          <c:cat>
            <c:numRef>
              <c:f>'OPERACIONAL 3'!$B$31:$B$89</c:f>
              <c:numCache>
                <c:formatCode>h:mm</c:formatCode>
                <c:ptCount val="59"/>
                <c:pt idx="0">
                  <c:v>0.48402777777777778</c:v>
                </c:pt>
                <c:pt idx="1">
                  <c:v>0.48472222222222222</c:v>
                </c:pt>
                <c:pt idx="2">
                  <c:v>0.485416666666667</c:v>
                </c:pt>
                <c:pt idx="3">
                  <c:v>0.48611111111111099</c:v>
                </c:pt>
                <c:pt idx="4">
                  <c:v>0.48680555555555599</c:v>
                </c:pt>
                <c:pt idx="5">
                  <c:v>0.48749999999999999</c:v>
                </c:pt>
                <c:pt idx="6">
                  <c:v>0.48819444444444399</c:v>
                </c:pt>
                <c:pt idx="7">
                  <c:v>0.48888888888888898</c:v>
                </c:pt>
                <c:pt idx="8">
                  <c:v>0.48958333333333298</c:v>
                </c:pt>
                <c:pt idx="9">
                  <c:v>0.49027777777777798</c:v>
                </c:pt>
                <c:pt idx="10">
                  <c:v>0.49097222222222198</c:v>
                </c:pt>
                <c:pt idx="11">
                  <c:v>0.49166666666666697</c:v>
                </c:pt>
                <c:pt idx="12">
                  <c:v>0.49236111111111103</c:v>
                </c:pt>
                <c:pt idx="13">
                  <c:v>0.49305555555555602</c:v>
                </c:pt>
                <c:pt idx="14">
                  <c:v>0.49375000000000002</c:v>
                </c:pt>
                <c:pt idx="15">
                  <c:v>0.49444444444444402</c:v>
                </c:pt>
                <c:pt idx="16">
                  <c:v>0.49513888888888902</c:v>
                </c:pt>
                <c:pt idx="17">
                  <c:v>0.49583333333333302</c:v>
                </c:pt>
                <c:pt idx="18">
                  <c:v>0.49652777777777801</c:v>
                </c:pt>
                <c:pt idx="19">
                  <c:v>0.49722222222222201</c:v>
                </c:pt>
                <c:pt idx="20">
                  <c:v>0.49791666666666701</c:v>
                </c:pt>
                <c:pt idx="21">
                  <c:v>0.49861111111111101</c:v>
                </c:pt>
                <c:pt idx="22">
                  <c:v>0.499305555555556</c:v>
                </c:pt>
                <c:pt idx="23">
                  <c:v>0.5</c:v>
                </c:pt>
                <c:pt idx="24">
                  <c:v>0.500694444444444</c:v>
                </c:pt>
                <c:pt idx="25">
                  <c:v>0.50138888888888899</c:v>
                </c:pt>
                <c:pt idx="26">
                  <c:v>0.50208333333333299</c:v>
                </c:pt>
                <c:pt idx="27">
                  <c:v>0.50277777777777799</c:v>
                </c:pt>
                <c:pt idx="28">
                  <c:v>0.50347222222222199</c:v>
                </c:pt>
                <c:pt idx="29">
                  <c:v>0.50416666666666698</c:v>
                </c:pt>
                <c:pt idx="30">
                  <c:v>0.50486111111111098</c:v>
                </c:pt>
                <c:pt idx="31">
                  <c:v>0.50555555555555598</c:v>
                </c:pt>
                <c:pt idx="32">
                  <c:v>0.50624999999999998</c:v>
                </c:pt>
                <c:pt idx="33">
                  <c:v>0.50694444444444398</c:v>
                </c:pt>
                <c:pt idx="34">
                  <c:v>0.50763888888888897</c:v>
                </c:pt>
                <c:pt idx="35">
                  <c:v>0.50833333333333297</c:v>
                </c:pt>
                <c:pt idx="36">
                  <c:v>0.50902777777777797</c:v>
                </c:pt>
                <c:pt idx="37">
                  <c:v>0.50972222222222197</c:v>
                </c:pt>
                <c:pt idx="38">
                  <c:v>0.51041666666666696</c:v>
                </c:pt>
                <c:pt idx="39">
                  <c:v>0.51111111111111096</c:v>
                </c:pt>
                <c:pt idx="40">
                  <c:v>0.51180555555555596</c:v>
                </c:pt>
                <c:pt idx="41">
                  <c:v>0.51249999999999996</c:v>
                </c:pt>
                <c:pt idx="42">
                  <c:v>0.51319444444444395</c:v>
                </c:pt>
                <c:pt idx="43">
                  <c:v>0.51388888888888895</c:v>
                </c:pt>
                <c:pt idx="44">
                  <c:v>0.51458333333333295</c:v>
                </c:pt>
                <c:pt idx="45">
                  <c:v>0.51527777777777795</c:v>
                </c:pt>
                <c:pt idx="46">
                  <c:v>0.51597222222222205</c:v>
                </c:pt>
                <c:pt idx="47">
                  <c:v>0.51666666666666705</c:v>
                </c:pt>
                <c:pt idx="48">
                  <c:v>0.51736111111111105</c:v>
                </c:pt>
                <c:pt idx="49">
                  <c:v>0.51805555555555505</c:v>
                </c:pt>
                <c:pt idx="50">
                  <c:v>0.51875000000000004</c:v>
                </c:pt>
                <c:pt idx="51">
                  <c:v>0.51944444444444404</c:v>
                </c:pt>
                <c:pt idx="52">
                  <c:v>0.52013888888888904</c:v>
                </c:pt>
                <c:pt idx="53">
                  <c:v>0.52083333333333304</c:v>
                </c:pt>
                <c:pt idx="54">
                  <c:v>0.52152777777777803</c:v>
                </c:pt>
                <c:pt idx="55">
                  <c:v>0.52222222222222203</c:v>
                </c:pt>
                <c:pt idx="56">
                  <c:v>0.52291666666666703</c:v>
                </c:pt>
                <c:pt idx="57">
                  <c:v>0.52361111111111103</c:v>
                </c:pt>
                <c:pt idx="58">
                  <c:v>0.52430555555555503</c:v>
                </c:pt>
              </c:numCache>
            </c:numRef>
          </c:cat>
          <c:val>
            <c:numRef>
              <c:f>'OPERACIONAL 3'!$BB$31:$BB$89</c:f>
              <c:numCache>
                <c:formatCode>0.0</c:formatCode>
                <c:ptCount val="59"/>
                <c:pt idx="0">
                  <c:v>16.100000000000001</c:v>
                </c:pt>
                <c:pt idx="1">
                  <c:v>16.45</c:v>
                </c:pt>
                <c:pt idx="2">
                  <c:v>102.07</c:v>
                </c:pt>
                <c:pt idx="3">
                  <c:v>137.74</c:v>
                </c:pt>
                <c:pt idx="4">
                  <c:v>281.89</c:v>
                </c:pt>
                <c:pt idx="5">
                  <c:v>354.84</c:v>
                </c:pt>
                <c:pt idx="6">
                  <c:v>440.44</c:v>
                </c:pt>
                <c:pt idx="7">
                  <c:v>500.48</c:v>
                </c:pt>
                <c:pt idx="8">
                  <c:v>550.74</c:v>
                </c:pt>
                <c:pt idx="9">
                  <c:v>558.16</c:v>
                </c:pt>
                <c:pt idx="10">
                  <c:v>571.99</c:v>
                </c:pt>
                <c:pt idx="11">
                  <c:v>583.24</c:v>
                </c:pt>
                <c:pt idx="12">
                  <c:v>582.92999999999995</c:v>
                </c:pt>
                <c:pt idx="13">
                  <c:v>590.96</c:v>
                </c:pt>
                <c:pt idx="14">
                  <c:v>592.23</c:v>
                </c:pt>
                <c:pt idx="15">
                  <c:v>589.41999999999996</c:v>
                </c:pt>
                <c:pt idx="16">
                  <c:v>586.20000000000005</c:v>
                </c:pt>
                <c:pt idx="17">
                  <c:v>594.70000000000005</c:v>
                </c:pt>
                <c:pt idx="18">
                  <c:v>594.01</c:v>
                </c:pt>
                <c:pt idx="19">
                  <c:v>596.65</c:v>
                </c:pt>
                <c:pt idx="20">
                  <c:v>597.14</c:v>
                </c:pt>
                <c:pt idx="21">
                  <c:v>598.42999999999995</c:v>
                </c:pt>
                <c:pt idx="22">
                  <c:v>598.53</c:v>
                </c:pt>
                <c:pt idx="23">
                  <c:v>599.94000000000005</c:v>
                </c:pt>
                <c:pt idx="24">
                  <c:v>599.91999999999996</c:v>
                </c:pt>
                <c:pt idx="25">
                  <c:v>599.23</c:v>
                </c:pt>
                <c:pt idx="26">
                  <c:v>598.98</c:v>
                </c:pt>
                <c:pt idx="27">
                  <c:v>600.13</c:v>
                </c:pt>
                <c:pt idx="28">
                  <c:v>600.1</c:v>
                </c:pt>
                <c:pt idx="29">
                  <c:v>599.67999999999995</c:v>
                </c:pt>
                <c:pt idx="30">
                  <c:v>599.85</c:v>
                </c:pt>
                <c:pt idx="31">
                  <c:v>599.87</c:v>
                </c:pt>
                <c:pt idx="32">
                  <c:v>599.49</c:v>
                </c:pt>
                <c:pt idx="33">
                  <c:v>600.53</c:v>
                </c:pt>
                <c:pt idx="34">
                  <c:v>600.44000000000005</c:v>
                </c:pt>
                <c:pt idx="35">
                  <c:v>600.6</c:v>
                </c:pt>
                <c:pt idx="36">
                  <c:v>600.37</c:v>
                </c:pt>
                <c:pt idx="37">
                  <c:v>599.21</c:v>
                </c:pt>
                <c:pt idx="38">
                  <c:v>600.15</c:v>
                </c:pt>
                <c:pt idx="39">
                  <c:v>600.72</c:v>
                </c:pt>
                <c:pt idx="40">
                  <c:v>600.92999999999995</c:v>
                </c:pt>
                <c:pt idx="41">
                  <c:v>600.70000000000005</c:v>
                </c:pt>
                <c:pt idx="42">
                  <c:v>600.91</c:v>
                </c:pt>
                <c:pt idx="43">
                  <c:v>600.20000000000005</c:v>
                </c:pt>
                <c:pt idx="44">
                  <c:v>600.66999999999996</c:v>
                </c:pt>
                <c:pt idx="45">
                  <c:v>579.79999999999995</c:v>
                </c:pt>
                <c:pt idx="46">
                  <c:v>559.67999999999995</c:v>
                </c:pt>
                <c:pt idx="47">
                  <c:v>545.91</c:v>
                </c:pt>
                <c:pt idx="48">
                  <c:v>534.08000000000004</c:v>
                </c:pt>
                <c:pt idx="49">
                  <c:v>523.37</c:v>
                </c:pt>
                <c:pt idx="50">
                  <c:v>397.32</c:v>
                </c:pt>
                <c:pt idx="51">
                  <c:v>357.98</c:v>
                </c:pt>
                <c:pt idx="52">
                  <c:v>329.89</c:v>
                </c:pt>
                <c:pt idx="53">
                  <c:v>311.52</c:v>
                </c:pt>
                <c:pt idx="54">
                  <c:v>295.14</c:v>
                </c:pt>
                <c:pt idx="55">
                  <c:v>280.73</c:v>
                </c:pt>
                <c:pt idx="56">
                  <c:v>275.26</c:v>
                </c:pt>
                <c:pt idx="57">
                  <c:v>262.63</c:v>
                </c:pt>
                <c:pt idx="58">
                  <c:v>255.49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5-444B-8F48-9542DB5D3A16}"/>
            </c:ext>
          </c:extLst>
        </c:ser>
        <c:ser>
          <c:idx val="1"/>
          <c:order val="1"/>
          <c:tx>
            <c:strRef>
              <c:f>'OPERACIONAL 3'!$BC$30</c:f>
              <c:strCache>
                <c:ptCount val="1"/>
                <c:pt idx="0">
                  <c:v>asdasdadw2</c:v>
                </c:pt>
              </c:strCache>
            </c:strRef>
          </c:tx>
          <c:marker>
            <c:symbol val="none"/>
          </c:marker>
          <c:cat>
            <c:numRef>
              <c:f>'OPERACIONAL 3'!$B$31:$B$89</c:f>
              <c:numCache>
                <c:formatCode>h:mm</c:formatCode>
                <c:ptCount val="59"/>
                <c:pt idx="0">
                  <c:v>0.48402777777777778</c:v>
                </c:pt>
                <c:pt idx="1">
                  <c:v>0.48472222222222222</c:v>
                </c:pt>
                <c:pt idx="2">
                  <c:v>0.485416666666667</c:v>
                </c:pt>
                <c:pt idx="3">
                  <c:v>0.48611111111111099</c:v>
                </c:pt>
                <c:pt idx="4">
                  <c:v>0.48680555555555599</c:v>
                </c:pt>
                <c:pt idx="5">
                  <c:v>0.48749999999999999</c:v>
                </c:pt>
                <c:pt idx="6">
                  <c:v>0.48819444444444399</c:v>
                </c:pt>
                <c:pt idx="7">
                  <c:v>0.48888888888888898</c:v>
                </c:pt>
                <c:pt idx="8">
                  <c:v>0.48958333333333298</c:v>
                </c:pt>
                <c:pt idx="9">
                  <c:v>0.49027777777777798</c:v>
                </c:pt>
                <c:pt idx="10">
                  <c:v>0.49097222222222198</c:v>
                </c:pt>
                <c:pt idx="11">
                  <c:v>0.49166666666666697</c:v>
                </c:pt>
                <c:pt idx="12">
                  <c:v>0.49236111111111103</c:v>
                </c:pt>
                <c:pt idx="13">
                  <c:v>0.49305555555555602</c:v>
                </c:pt>
                <c:pt idx="14">
                  <c:v>0.49375000000000002</c:v>
                </c:pt>
                <c:pt idx="15">
                  <c:v>0.49444444444444402</c:v>
                </c:pt>
                <c:pt idx="16">
                  <c:v>0.49513888888888902</c:v>
                </c:pt>
                <c:pt idx="17">
                  <c:v>0.49583333333333302</c:v>
                </c:pt>
                <c:pt idx="18">
                  <c:v>0.49652777777777801</c:v>
                </c:pt>
                <c:pt idx="19">
                  <c:v>0.49722222222222201</c:v>
                </c:pt>
                <c:pt idx="20">
                  <c:v>0.49791666666666701</c:v>
                </c:pt>
                <c:pt idx="21">
                  <c:v>0.49861111111111101</c:v>
                </c:pt>
                <c:pt idx="22">
                  <c:v>0.499305555555556</c:v>
                </c:pt>
                <c:pt idx="23">
                  <c:v>0.5</c:v>
                </c:pt>
                <c:pt idx="24">
                  <c:v>0.500694444444444</c:v>
                </c:pt>
                <c:pt idx="25">
                  <c:v>0.50138888888888899</c:v>
                </c:pt>
                <c:pt idx="26">
                  <c:v>0.50208333333333299</c:v>
                </c:pt>
                <c:pt idx="27">
                  <c:v>0.50277777777777799</c:v>
                </c:pt>
                <c:pt idx="28">
                  <c:v>0.50347222222222199</c:v>
                </c:pt>
                <c:pt idx="29">
                  <c:v>0.50416666666666698</c:v>
                </c:pt>
                <c:pt idx="30">
                  <c:v>0.50486111111111098</c:v>
                </c:pt>
                <c:pt idx="31">
                  <c:v>0.50555555555555598</c:v>
                </c:pt>
                <c:pt idx="32">
                  <c:v>0.50624999999999998</c:v>
                </c:pt>
                <c:pt idx="33">
                  <c:v>0.50694444444444398</c:v>
                </c:pt>
                <c:pt idx="34">
                  <c:v>0.50763888888888897</c:v>
                </c:pt>
                <c:pt idx="35">
                  <c:v>0.50833333333333297</c:v>
                </c:pt>
                <c:pt idx="36">
                  <c:v>0.50902777777777797</c:v>
                </c:pt>
                <c:pt idx="37">
                  <c:v>0.50972222222222197</c:v>
                </c:pt>
                <c:pt idx="38">
                  <c:v>0.51041666666666696</c:v>
                </c:pt>
                <c:pt idx="39">
                  <c:v>0.51111111111111096</c:v>
                </c:pt>
                <c:pt idx="40">
                  <c:v>0.51180555555555596</c:v>
                </c:pt>
                <c:pt idx="41">
                  <c:v>0.51249999999999996</c:v>
                </c:pt>
                <c:pt idx="42">
                  <c:v>0.51319444444444395</c:v>
                </c:pt>
                <c:pt idx="43">
                  <c:v>0.51388888888888895</c:v>
                </c:pt>
                <c:pt idx="44">
                  <c:v>0.51458333333333295</c:v>
                </c:pt>
                <c:pt idx="45">
                  <c:v>0.51527777777777795</c:v>
                </c:pt>
                <c:pt idx="46">
                  <c:v>0.51597222222222205</c:v>
                </c:pt>
                <c:pt idx="47">
                  <c:v>0.51666666666666705</c:v>
                </c:pt>
                <c:pt idx="48">
                  <c:v>0.51736111111111105</c:v>
                </c:pt>
                <c:pt idx="49">
                  <c:v>0.51805555555555505</c:v>
                </c:pt>
                <c:pt idx="50">
                  <c:v>0.51875000000000004</c:v>
                </c:pt>
                <c:pt idx="51">
                  <c:v>0.51944444444444404</c:v>
                </c:pt>
                <c:pt idx="52">
                  <c:v>0.52013888888888904</c:v>
                </c:pt>
                <c:pt idx="53">
                  <c:v>0.52083333333333304</c:v>
                </c:pt>
                <c:pt idx="54">
                  <c:v>0.52152777777777803</c:v>
                </c:pt>
                <c:pt idx="55">
                  <c:v>0.52222222222222203</c:v>
                </c:pt>
                <c:pt idx="56">
                  <c:v>0.52291666666666703</c:v>
                </c:pt>
                <c:pt idx="57">
                  <c:v>0.52361111111111103</c:v>
                </c:pt>
                <c:pt idx="58">
                  <c:v>0.52430555555555503</c:v>
                </c:pt>
              </c:numCache>
            </c:numRef>
          </c:cat>
          <c:val>
            <c:numRef>
              <c:f>'OPERACIONAL 3'!$BC$31:$BC$89</c:f>
              <c:numCache>
                <c:formatCode>0.0</c:formatCode>
                <c:ptCount val="59"/>
                <c:pt idx="0">
                  <c:v>14.820000000000002</c:v>
                </c:pt>
                <c:pt idx="1">
                  <c:v>15.160000000000002</c:v>
                </c:pt>
                <c:pt idx="2">
                  <c:v>98.550000000000011</c:v>
                </c:pt>
                <c:pt idx="3">
                  <c:v>135.51000000000002</c:v>
                </c:pt>
                <c:pt idx="4">
                  <c:v>275.34999999999997</c:v>
                </c:pt>
                <c:pt idx="5">
                  <c:v>335.84999999999997</c:v>
                </c:pt>
                <c:pt idx="6">
                  <c:v>414.63</c:v>
                </c:pt>
                <c:pt idx="7">
                  <c:v>475.38</c:v>
                </c:pt>
                <c:pt idx="8">
                  <c:v>526.37</c:v>
                </c:pt>
                <c:pt idx="9">
                  <c:v>537.59</c:v>
                </c:pt>
                <c:pt idx="10">
                  <c:v>552.47</c:v>
                </c:pt>
                <c:pt idx="11">
                  <c:v>563.66999999999996</c:v>
                </c:pt>
                <c:pt idx="12">
                  <c:v>569.55999999999995</c:v>
                </c:pt>
                <c:pt idx="13">
                  <c:v>575.65</c:v>
                </c:pt>
                <c:pt idx="14">
                  <c:v>578.94999999999993</c:v>
                </c:pt>
                <c:pt idx="15">
                  <c:v>579.25</c:v>
                </c:pt>
                <c:pt idx="16">
                  <c:v>580.04999999999995</c:v>
                </c:pt>
                <c:pt idx="17">
                  <c:v>584.18999999999994</c:v>
                </c:pt>
                <c:pt idx="18">
                  <c:v>585.98</c:v>
                </c:pt>
                <c:pt idx="19">
                  <c:v>587.69999999999993</c:v>
                </c:pt>
                <c:pt idx="20">
                  <c:v>588.30999999999995</c:v>
                </c:pt>
                <c:pt idx="21">
                  <c:v>590.15</c:v>
                </c:pt>
                <c:pt idx="22">
                  <c:v>590.92999999999995</c:v>
                </c:pt>
                <c:pt idx="23">
                  <c:v>592.80999999999995</c:v>
                </c:pt>
                <c:pt idx="24">
                  <c:v>593.35</c:v>
                </c:pt>
                <c:pt idx="25">
                  <c:v>593.69999999999993</c:v>
                </c:pt>
                <c:pt idx="26">
                  <c:v>593.61</c:v>
                </c:pt>
                <c:pt idx="27">
                  <c:v>595.09</c:v>
                </c:pt>
                <c:pt idx="28">
                  <c:v>595.75</c:v>
                </c:pt>
                <c:pt idx="29">
                  <c:v>595.87</c:v>
                </c:pt>
                <c:pt idx="30">
                  <c:v>596.54999999999995</c:v>
                </c:pt>
                <c:pt idx="31">
                  <c:v>596.68999999999994</c:v>
                </c:pt>
                <c:pt idx="32">
                  <c:v>596.54999999999995</c:v>
                </c:pt>
                <c:pt idx="33">
                  <c:v>597.67999999999995</c:v>
                </c:pt>
                <c:pt idx="34">
                  <c:v>597.63</c:v>
                </c:pt>
                <c:pt idx="35">
                  <c:v>597.95999999999992</c:v>
                </c:pt>
                <c:pt idx="36">
                  <c:v>597.72</c:v>
                </c:pt>
                <c:pt idx="37">
                  <c:v>597.13</c:v>
                </c:pt>
                <c:pt idx="38">
                  <c:v>597.81999999999994</c:v>
                </c:pt>
                <c:pt idx="39">
                  <c:v>598.54999999999995</c:v>
                </c:pt>
                <c:pt idx="40">
                  <c:v>598.99</c:v>
                </c:pt>
                <c:pt idx="41">
                  <c:v>598.76</c:v>
                </c:pt>
                <c:pt idx="42">
                  <c:v>599.28</c:v>
                </c:pt>
                <c:pt idx="43">
                  <c:v>598.85</c:v>
                </c:pt>
                <c:pt idx="44">
                  <c:v>599.37</c:v>
                </c:pt>
                <c:pt idx="45">
                  <c:v>577.47</c:v>
                </c:pt>
                <c:pt idx="46">
                  <c:v>557.38</c:v>
                </c:pt>
                <c:pt idx="47">
                  <c:v>543.5</c:v>
                </c:pt>
                <c:pt idx="48">
                  <c:v>531.61</c:v>
                </c:pt>
                <c:pt idx="49">
                  <c:v>520.97</c:v>
                </c:pt>
                <c:pt idx="50">
                  <c:v>286.82</c:v>
                </c:pt>
                <c:pt idx="51">
                  <c:v>256.81</c:v>
                </c:pt>
                <c:pt idx="52">
                  <c:v>231.09</c:v>
                </c:pt>
                <c:pt idx="53">
                  <c:v>211.12</c:v>
                </c:pt>
                <c:pt idx="54">
                  <c:v>206.56</c:v>
                </c:pt>
                <c:pt idx="55">
                  <c:v>195.49</c:v>
                </c:pt>
                <c:pt idx="56">
                  <c:v>190.82</c:v>
                </c:pt>
                <c:pt idx="57">
                  <c:v>183.68</c:v>
                </c:pt>
                <c:pt idx="58">
                  <c:v>177.64000000000001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25-444B-8F48-9542DB5D3A16}"/>
            </c:ext>
          </c:extLst>
        </c:ser>
        <c:ser>
          <c:idx val="2"/>
          <c:order val="2"/>
          <c:tx>
            <c:strRef>
              <c:f>'OPERACIONAL 3'!$BD$30</c:f>
              <c:strCache>
                <c:ptCount val="1"/>
                <c:pt idx="0">
                  <c:v>sadasd</c:v>
                </c:pt>
              </c:strCache>
            </c:strRef>
          </c:tx>
          <c:marker>
            <c:symbol val="none"/>
          </c:marker>
          <c:cat>
            <c:numRef>
              <c:f>'OPERACIONAL 3'!$B$31:$B$89</c:f>
              <c:numCache>
                <c:formatCode>h:mm</c:formatCode>
                <c:ptCount val="59"/>
                <c:pt idx="0">
                  <c:v>0.48402777777777778</c:v>
                </c:pt>
                <c:pt idx="1">
                  <c:v>0.48472222222222222</c:v>
                </c:pt>
                <c:pt idx="2">
                  <c:v>0.485416666666667</c:v>
                </c:pt>
                <c:pt idx="3">
                  <c:v>0.48611111111111099</c:v>
                </c:pt>
                <c:pt idx="4">
                  <c:v>0.48680555555555599</c:v>
                </c:pt>
                <c:pt idx="5">
                  <c:v>0.48749999999999999</c:v>
                </c:pt>
                <c:pt idx="6">
                  <c:v>0.48819444444444399</c:v>
                </c:pt>
                <c:pt idx="7">
                  <c:v>0.48888888888888898</c:v>
                </c:pt>
                <c:pt idx="8">
                  <c:v>0.48958333333333298</c:v>
                </c:pt>
                <c:pt idx="9">
                  <c:v>0.49027777777777798</c:v>
                </c:pt>
                <c:pt idx="10">
                  <c:v>0.49097222222222198</c:v>
                </c:pt>
                <c:pt idx="11">
                  <c:v>0.49166666666666697</c:v>
                </c:pt>
                <c:pt idx="12">
                  <c:v>0.49236111111111103</c:v>
                </c:pt>
                <c:pt idx="13">
                  <c:v>0.49305555555555602</c:v>
                </c:pt>
                <c:pt idx="14">
                  <c:v>0.49375000000000002</c:v>
                </c:pt>
                <c:pt idx="15">
                  <c:v>0.49444444444444402</c:v>
                </c:pt>
                <c:pt idx="16">
                  <c:v>0.49513888888888902</c:v>
                </c:pt>
                <c:pt idx="17">
                  <c:v>0.49583333333333302</c:v>
                </c:pt>
                <c:pt idx="18">
                  <c:v>0.49652777777777801</c:v>
                </c:pt>
                <c:pt idx="19">
                  <c:v>0.49722222222222201</c:v>
                </c:pt>
                <c:pt idx="20">
                  <c:v>0.49791666666666701</c:v>
                </c:pt>
                <c:pt idx="21">
                  <c:v>0.49861111111111101</c:v>
                </c:pt>
                <c:pt idx="22">
                  <c:v>0.499305555555556</c:v>
                </c:pt>
                <c:pt idx="23">
                  <c:v>0.5</c:v>
                </c:pt>
                <c:pt idx="24">
                  <c:v>0.500694444444444</c:v>
                </c:pt>
                <c:pt idx="25">
                  <c:v>0.50138888888888899</c:v>
                </c:pt>
                <c:pt idx="26">
                  <c:v>0.50208333333333299</c:v>
                </c:pt>
                <c:pt idx="27">
                  <c:v>0.50277777777777799</c:v>
                </c:pt>
                <c:pt idx="28">
                  <c:v>0.50347222222222199</c:v>
                </c:pt>
                <c:pt idx="29">
                  <c:v>0.50416666666666698</c:v>
                </c:pt>
                <c:pt idx="30">
                  <c:v>0.50486111111111098</c:v>
                </c:pt>
                <c:pt idx="31">
                  <c:v>0.50555555555555598</c:v>
                </c:pt>
                <c:pt idx="32">
                  <c:v>0.50624999999999998</c:v>
                </c:pt>
                <c:pt idx="33">
                  <c:v>0.50694444444444398</c:v>
                </c:pt>
                <c:pt idx="34">
                  <c:v>0.50763888888888897</c:v>
                </c:pt>
                <c:pt idx="35">
                  <c:v>0.50833333333333297</c:v>
                </c:pt>
                <c:pt idx="36">
                  <c:v>0.50902777777777797</c:v>
                </c:pt>
                <c:pt idx="37">
                  <c:v>0.50972222222222197</c:v>
                </c:pt>
                <c:pt idx="38">
                  <c:v>0.51041666666666696</c:v>
                </c:pt>
                <c:pt idx="39">
                  <c:v>0.51111111111111096</c:v>
                </c:pt>
                <c:pt idx="40">
                  <c:v>0.51180555555555596</c:v>
                </c:pt>
                <c:pt idx="41">
                  <c:v>0.51249999999999996</c:v>
                </c:pt>
                <c:pt idx="42">
                  <c:v>0.51319444444444395</c:v>
                </c:pt>
                <c:pt idx="43">
                  <c:v>0.51388888888888895</c:v>
                </c:pt>
                <c:pt idx="44">
                  <c:v>0.51458333333333295</c:v>
                </c:pt>
                <c:pt idx="45">
                  <c:v>0.51527777777777795</c:v>
                </c:pt>
                <c:pt idx="46">
                  <c:v>0.51597222222222205</c:v>
                </c:pt>
                <c:pt idx="47">
                  <c:v>0.51666666666666705</c:v>
                </c:pt>
                <c:pt idx="48">
                  <c:v>0.51736111111111105</c:v>
                </c:pt>
                <c:pt idx="49">
                  <c:v>0.51805555555555505</c:v>
                </c:pt>
                <c:pt idx="50">
                  <c:v>0.51875000000000004</c:v>
                </c:pt>
                <c:pt idx="51">
                  <c:v>0.51944444444444404</c:v>
                </c:pt>
                <c:pt idx="52">
                  <c:v>0.52013888888888904</c:v>
                </c:pt>
                <c:pt idx="53">
                  <c:v>0.52083333333333304</c:v>
                </c:pt>
                <c:pt idx="54">
                  <c:v>0.52152777777777803</c:v>
                </c:pt>
                <c:pt idx="55">
                  <c:v>0.52222222222222203</c:v>
                </c:pt>
                <c:pt idx="56">
                  <c:v>0.52291666666666703</c:v>
                </c:pt>
                <c:pt idx="57">
                  <c:v>0.52361111111111103</c:v>
                </c:pt>
                <c:pt idx="58">
                  <c:v>0.52430555555555503</c:v>
                </c:pt>
              </c:numCache>
            </c:numRef>
          </c:cat>
          <c:val>
            <c:numRef>
              <c:f>'OPERACIONAL 3'!$BD$31:$BD$89</c:f>
              <c:numCache>
                <c:formatCode>0.0</c:formatCode>
                <c:ptCount val="59"/>
                <c:pt idx="0">
                  <c:v>15.580000000000002</c:v>
                </c:pt>
                <c:pt idx="1">
                  <c:v>15.75</c:v>
                </c:pt>
                <c:pt idx="2">
                  <c:v>84.95</c:v>
                </c:pt>
                <c:pt idx="3">
                  <c:v>135.26000000000002</c:v>
                </c:pt>
                <c:pt idx="4">
                  <c:v>303.73</c:v>
                </c:pt>
                <c:pt idx="5">
                  <c:v>370.98</c:v>
                </c:pt>
                <c:pt idx="6">
                  <c:v>453.7</c:v>
                </c:pt>
                <c:pt idx="7">
                  <c:v>514.32999999999993</c:v>
                </c:pt>
                <c:pt idx="8">
                  <c:v>564.16</c:v>
                </c:pt>
                <c:pt idx="9">
                  <c:v>575.1099999999999</c:v>
                </c:pt>
                <c:pt idx="10">
                  <c:v>586.02</c:v>
                </c:pt>
                <c:pt idx="11">
                  <c:v>594.30999999999995</c:v>
                </c:pt>
                <c:pt idx="12">
                  <c:v>599.05999999999995</c:v>
                </c:pt>
                <c:pt idx="13">
                  <c:v>601.89</c:v>
                </c:pt>
                <c:pt idx="14">
                  <c:v>603.71999999999991</c:v>
                </c:pt>
                <c:pt idx="15">
                  <c:v>603.04</c:v>
                </c:pt>
                <c:pt idx="16">
                  <c:v>604.46999999999991</c:v>
                </c:pt>
                <c:pt idx="17">
                  <c:v>604.89</c:v>
                </c:pt>
                <c:pt idx="18">
                  <c:v>606.18999999999994</c:v>
                </c:pt>
                <c:pt idx="19">
                  <c:v>606.58999999999992</c:v>
                </c:pt>
                <c:pt idx="20">
                  <c:v>606.75</c:v>
                </c:pt>
                <c:pt idx="21">
                  <c:v>607.94999999999993</c:v>
                </c:pt>
                <c:pt idx="22">
                  <c:v>607.92999999999995</c:v>
                </c:pt>
                <c:pt idx="23">
                  <c:v>609.3599999999999</c:v>
                </c:pt>
                <c:pt idx="24">
                  <c:v>609.29</c:v>
                </c:pt>
                <c:pt idx="25">
                  <c:v>609.25</c:v>
                </c:pt>
                <c:pt idx="26">
                  <c:v>608.55999999999995</c:v>
                </c:pt>
                <c:pt idx="27">
                  <c:v>609.79</c:v>
                </c:pt>
                <c:pt idx="28">
                  <c:v>610.02</c:v>
                </c:pt>
                <c:pt idx="29">
                  <c:v>609.74</c:v>
                </c:pt>
                <c:pt idx="30">
                  <c:v>610.09999999999991</c:v>
                </c:pt>
                <c:pt idx="31">
                  <c:v>609.96999999999991</c:v>
                </c:pt>
                <c:pt idx="32">
                  <c:v>609.54999999999995</c:v>
                </c:pt>
                <c:pt idx="33">
                  <c:v>610.62</c:v>
                </c:pt>
                <c:pt idx="34">
                  <c:v>610.29</c:v>
                </c:pt>
                <c:pt idx="35">
                  <c:v>610.44999999999993</c:v>
                </c:pt>
                <c:pt idx="36">
                  <c:v>610.04999999999995</c:v>
                </c:pt>
                <c:pt idx="37">
                  <c:v>609.13</c:v>
                </c:pt>
                <c:pt idx="38">
                  <c:v>609.68999999999994</c:v>
                </c:pt>
                <c:pt idx="39">
                  <c:v>610.30999999999995</c:v>
                </c:pt>
                <c:pt idx="40">
                  <c:v>610.56999999999994</c:v>
                </c:pt>
                <c:pt idx="41">
                  <c:v>610.04999999999995</c:v>
                </c:pt>
                <c:pt idx="42">
                  <c:v>610.52</c:v>
                </c:pt>
                <c:pt idx="43">
                  <c:v>609.57999999999993</c:v>
                </c:pt>
                <c:pt idx="44">
                  <c:v>610.29</c:v>
                </c:pt>
                <c:pt idx="45">
                  <c:v>585.29</c:v>
                </c:pt>
                <c:pt idx="46">
                  <c:v>562.67999999999995</c:v>
                </c:pt>
                <c:pt idx="47">
                  <c:v>548.16999999999996</c:v>
                </c:pt>
                <c:pt idx="48">
                  <c:v>535.70999999999992</c:v>
                </c:pt>
                <c:pt idx="49">
                  <c:v>524.49</c:v>
                </c:pt>
                <c:pt idx="50">
                  <c:v>325.45</c:v>
                </c:pt>
                <c:pt idx="51">
                  <c:v>280.44</c:v>
                </c:pt>
                <c:pt idx="52">
                  <c:v>260.12</c:v>
                </c:pt>
                <c:pt idx="53">
                  <c:v>244.63000000000002</c:v>
                </c:pt>
                <c:pt idx="54">
                  <c:v>219.85000000000002</c:v>
                </c:pt>
                <c:pt idx="55">
                  <c:v>202.79000000000002</c:v>
                </c:pt>
                <c:pt idx="56">
                  <c:v>188.65</c:v>
                </c:pt>
                <c:pt idx="57">
                  <c:v>180.20000000000002</c:v>
                </c:pt>
                <c:pt idx="58">
                  <c:v>175.74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25-444B-8F48-9542DB5D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851824"/>
        <c:axId val="437857072"/>
      </c:lineChart>
      <c:catAx>
        <c:axId val="43785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" sourceLinked="1"/>
        <c:majorTickMark val="out"/>
        <c:minorTickMark val="none"/>
        <c:tickLblPos val="nextTo"/>
        <c:crossAx val="437857072"/>
        <c:crosses val="autoZero"/>
        <c:auto val="1"/>
        <c:lblAlgn val="ctr"/>
        <c:lblOffset val="100"/>
        <c:noMultiLvlLbl val="0"/>
      </c:catAx>
      <c:valAx>
        <c:axId val="437857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3785182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3'!$BB$30</c:f>
              <c:strCache>
                <c:ptCount val="1"/>
                <c:pt idx="0">
                  <c:v>adasd</c:v>
                </c:pt>
              </c:strCache>
            </c:strRef>
          </c:tx>
          <c:marker>
            <c:symbol val="none"/>
          </c:marker>
          <c:cat>
            <c:numRef>
              <c:f>'OPERACIONAL 3'!$B$50:$B$74</c:f>
              <c:numCache>
                <c:formatCode>h:mm</c:formatCode>
                <c:ptCount val="25"/>
                <c:pt idx="0">
                  <c:v>0.49722222222222201</c:v>
                </c:pt>
                <c:pt idx="1">
                  <c:v>0.49791666666666701</c:v>
                </c:pt>
                <c:pt idx="2">
                  <c:v>0.49861111111111101</c:v>
                </c:pt>
                <c:pt idx="3">
                  <c:v>0.499305555555556</c:v>
                </c:pt>
                <c:pt idx="4">
                  <c:v>0.5</c:v>
                </c:pt>
                <c:pt idx="5">
                  <c:v>0.500694444444444</c:v>
                </c:pt>
                <c:pt idx="6">
                  <c:v>0.50138888888888899</c:v>
                </c:pt>
                <c:pt idx="7">
                  <c:v>0.50208333333333299</c:v>
                </c:pt>
                <c:pt idx="8">
                  <c:v>0.50277777777777799</c:v>
                </c:pt>
                <c:pt idx="9">
                  <c:v>0.50347222222222199</c:v>
                </c:pt>
                <c:pt idx="10">
                  <c:v>0.50416666666666698</c:v>
                </c:pt>
                <c:pt idx="11">
                  <c:v>0.50486111111111098</c:v>
                </c:pt>
                <c:pt idx="12">
                  <c:v>0.50555555555555598</c:v>
                </c:pt>
                <c:pt idx="13">
                  <c:v>0.50624999999999998</c:v>
                </c:pt>
                <c:pt idx="14">
                  <c:v>0.50694444444444398</c:v>
                </c:pt>
                <c:pt idx="15">
                  <c:v>0.50763888888888897</c:v>
                </c:pt>
                <c:pt idx="16">
                  <c:v>0.50833333333333297</c:v>
                </c:pt>
                <c:pt idx="17">
                  <c:v>0.50902777777777797</c:v>
                </c:pt>
                <c:pt idx="18">
                  <c:v>0.50972222222222197</c:v>
                </c:pt>
                <c:pt idx="19">
                  <c:v>0.51041666666666696</c:v>
                </c:pt>
                <c:pt idx="20">
                  <c:v>0.51111111111111096</c:v>
                </c:pt>
                <c:pt idx="21">
                  <c:v>0.51180555555555596</c:v>
                </c:pt>
                <c:pt idx="22">
                  <c:v>0.51249999999999996</c:v>
                </c:pt>
                <c:pt idx="23">
                  <c:v>0.51319444444444395</c:v>
                </c:pt>
                <c:pt idx="24">
                  <c:v>0.51388888888888895</c:v>
                </c:pt>
              </c:numCache>
            </c:numRef>
          </c:cat>
          <c:val>
            <c:numRef>
              <c:f>'OPERACIONAL 3'!$BB$50:$BB$74</c:f>
              <c:numCache>
                <c:formatCode>0.0</c:formatCode>
                <c:ptCount val="25"/>
                <c:pt idx="0">
                  <c:v>596.65</c:v>
                </c:pt>
                <c:pt idx="1">
                  <c:v>597.14</c:v>
                </c:pt>
                <c:pt idx="2">
                  <c:v>598.42999999999995</c:v>
                </c:pt>
                <c:pt idx="3">
                  <c:v>598.53</c:v>
                </c:pt>
                <c:pt idx="4">
                  <c:v>599.94000000000005</c:v>
                </c:pt>
                <c:pt idx="5">
                  <c:v>599.91999999999996</c:v>
                </c:pt>
                <c:pt idx="6">
                  <c:v>599.23</c:v>
                </c:pt>
                <c:pt idx="7">
                  <c:v>598.98</c:v>
                </c:pt>
                <c:pt idx="8">
                  <c:v>600.13</c:v>
                </c:pt>
                <c:pt idx="9">
                  <c:v>600.1</c:v>
                </c:pt>
                <c:pt idx="10">
                  <c:v>599.67999999999995</c:v>
                </c:pt>
                <c:pt idx="11">
                  <c:v>599.85</c:v>
                </c:pt>
                <c:pt idx="12">
                  <c:v>599.87</c:v>
                </c:pt>
                <c:pt idx="13">
                  <c:v>599.49</c:v>
                </c:pt>
                <c:pt idx="14">
                  <c:v>600.53</c:v>
                </c:pt>
                <c:pt idx="15">
                  <c:v>600.44000000000005</c:v>
                </c:pt>
                <c:pt idx="16">
                  <c:v>600.6</c:v>
                </c:pt>
                <c:pt idx="17">
                  <c:v>600.37</c:v>
                </c:pt>
                <c:pt idx="18">
                  <c:v>599.21</c:v>
                </c:pt>
                <c:pt idx="19">
                  <c:v>600.15</c:v>
                </c:pt>
                <c:pt idx="20">
                  <c:v>600.72</c:v>
                </c:pt>
                <c:pt idx="21">
                  <c:v>600.92999999999995</c:v>
                </c:pt>
                <c:pt idx="22">
                  <c:v>600.70000000000005</c:v>
                </c:pt>
                <c:pt idx="23">
                  <c:v>600.91</c:v>
                </c:pt>
                <c:pt idx="24">
                  <c:v>600.20000000000005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5-4A80-A6E3-8C911183A9B3}"/>
            </c:ext>
          </c:extLst>
        </c:ser>
        <c:ser>
          <c:idx val="1"/>
          <c:order val="1"/>
          <c:tx>
            <c:strRef>
              <c:f>'OPERACIONAL 3'!$BC$30</c:f>
              <c:strCache>
                <c:ptCount val="1"/>
                <c:pt idx="0">
                  <c:v>asdasdadw2</c:v>
                </c:pt>
              </c:strCache>
            </c:strRef>
          </c:tx>
          <c:marker>
            <c:symbol val="none"/>
          </c:marker>
          <c:cat>
            <c:numRef>
              <c:f>'OPERACIONAL 3'!$B$50:$B$74</c:f>
              <c:numCache>
                <c:formatCode>h:mm</c:formatCode>
                <c:ptCount val="25"/>
                <c:pt idx="0">
                  <c:v>0.49722222222222201</c:v>
                </c:pt>
                <c:pt idx="1">
                  <c:v>0.49791666666666701</c:v>
                </c:pt>
                <c:pt idx="2">
                  <c:v>0.49861111111111101</c:v>
                </c:pt>
                <c:pt idx="3">
                  <c:v>0.499305555555556</c:v>
                </c:pt>
                <c:pt idx="4">
                  <c:v>0.5</c:v>
                </c:pt>
                <c:pt idx="5">
                  <c:v>0.500694444444444</c:v>
                </c:pt>
                <c:pt idx="6">
                  <c:v>0.50138888888888899</c:v>
                </c:pt>
                <c:pt idx="7">
                  <c:v>0.50208333333333299</c:v>
                </c:pt>
                <c:pt idx="8">
                  <c:v>0.50277777777777799</c:v>
                </c:pt>
                <c:pt idx="9">
                  <c:v>0.50347222222222199</c:v>
                </c:pt>
                <c:pt idx="10">
                  <c:v>0.50416666666666698</c:v>
                </c:pt>
                <c:pt idx="11">
                  <c:v>0.50486111111111098</c:v>
                </c:pt>
                <c:pt idx="12">
                  <c:v>0.50555555555555598</c:v>
                </c:pt>
                <c:pt idx="13">
                  <c:v>0.50624999999999998</c:v>
                </c:pt>
                <c:pt idx="14">
                  <c:v>0.50694444444444398</c:v>
                </c:pt>
                <c:pt idx="15">
                  <c:v>0.50763888888888897</c:v>
                </c:pt>
                <c:pt idx="16">
                  <c:v>0.50833333333333297</c:v>
                </c:pt>
                <c:pt idx="17">
                  <c:v>0.50902777777777797</c:v>
                </c:pt>
                <c:pt idx="18">
                  <c:v>0.50972222222222197</c:v>
                </c:pt>
                <c:pt idx="19">
                  <c:v>0.51041666666666696</c:v>
                </c:pt>
                <c:pt idx="20">
                  <c:v>0.51111111111111096</c:v>
                </c:pt>
                <c:pt idx="21">
                  <c:v>0.51180555555555596</c:v>
                </c:pt>
                <c:pt idx="22">
                  <c:v>0.51249999999999996</c:v>
                </c:pt>
                <c:pt idx="23">
                  <c:v>0.51319444444444395</c:v>
                </c:pt>
                <c:pt idx="24">
                  <c:v>0.51388888888888895</c:v>
                </c:pt>
              </c:numCache>
            </c:numRef>
          </c:cat>
          <c:val>
            <c:numRef>
              <c:f>'OPERACIONAL 3'!$BC$50:$BC$74</c:f>
              <c:numCache>
                <c:formatCode>0.0</c:formatCode>
                <c:ptCount val="25"/>
                <c:pt idx="0">
                  <c:v>587.69999999999993</c:v>
                </c:pt>
                <c:pt idx="1">
                  <c:v>588.30999999999995</c:v>
                </c:pt>
                <c:pt idx="2">
                  <c:v>590.15</c:v>
                </c:pt>
                <c:pt idx="3">
                  <c:v>590.92999999999995</c:v>
                </c:pt>
                <c:pt idx="4">
                  <c:v>592.80999999999995</c:v>
                </c:pt>
                <c:pt idx="5">
                  <c:v>593.35</c:v>
                </c:pt>
                <c:pt idx="6">
                  <c:v>593.69999999999993</c:v>
                </c:pt>
                <c:pt idx="7">
                  <c:v>593.61</c:v>
                </c:pt>
                <c:pt idx="8">
                  <c:v>595.09</c:v>
                </c:pt>
                <c:pt idx="9">
                  <c:v>595.75</c:v>
                </c:pt>
                <c:pt idx="10">
                  <c:v>595.87</c:v>
                </c:pt>
                <c:pt idx="11">
                  <c:v>596.54999999999995</c:v>
                </c:pt>
                <c:pt idx="12">
                  <c:v>596.68999999999994</c:v>
                </c:pt>
                <c:pt idx="13">
                  <c:v>596.54999999999995</c:v>
                </c:pt>
                <c:pt idx="14">
                  <c:v>597.67999999999995</c:v>
                </c:pt>
                <c:pt idx="15">
                  <c:v>597.63</c:v>
                </c:pt>
                <c:pt idx="16">
                  <c:v>597.95999999999992</c:v>
                </c:pt>
                <c:pt idx="17">
                  <c:v>597.72</c:v>
                </c:pt>
                <c:pt idx="18">
                  <c:v>597.13</c:v>
                </c:pt>
                <c:pt idx="19">
                  <c:v>597.81999999999994</c:v>
                </c:pt>
                <c:pt idx="20">
                  <c:v>598.54999999999995</c:v>
                </c:pt>
                <c:pt idx="21">
                  <c:v>598.99</c:v>
                </c:pt>
                <c:pt idx="22">
                  <c:v>598.76</c:v>
                </c:pt>
                <c:pt idx="23">
                  <c:v>599.28</c:v>
                </c:pt>
                <c:pt idx="24">
                  <c:v>598.85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B5-4A80-A6E3-8C911183A9B3}"/>
            </c:ext>
          </c:extLst>
        </c:ser>
        <c:ser>
          <c:idx val="2"/>
          <c:order val="2"/>
          <c:tx>
            <c:strRef>
              <c:f>'OPERACIONAL 3'!$BD$30</c:f>
              <c:strCache>
                <c:ptCount val="1"/>
                <c:pt idx="0">
                  <c:v>sadasd</c:v>
                </c:pt>
              </c:strCache>
            </c:strRef>
          </c:tx>
          <c:marker>
            <c:symbol val="none"/>
          </c:marker>
          <c:cat>
            <c:numRef>
              <c:f>'OPERACIONAL 3'!$B$50:$B$74</c:f>
              <c:numCache>
                <c:formatCode>h:mm</c:formatCode>
                <c:ptCount val="25"/>
                <c:pt idx="0">
                  <c:v>0.49722222222222201</c:v>
                </c:pt>
                <c:pt idx="1">
                  <c:v>0.49791666666666701</c:v>
                </c:pt>
                <c:pt idx="2">
                  <c:v>0.49861111111111101</c:v>
                </c:pt>
                <c:pt idx="3">
                  <c:v>0.499305555555556</c:v>
                </c:pt>
                <c:pt idx="4">
                  <c:v>0.5</c:v>
                </c:pt>
                <c:pt idx="5">
                  <c:v>0.500694444444444</c:v>
                </c:pt>
                <c:pt idx="6">
                  <c:v>0.50138888888888899</c:v>
                </c:pt>
                <c:pt idx="7">
                  <c:v>0.50208333333333299</c:v>
                </c:pt>
                <c:pt idx="8">
                  <c:v>0.50277777777777799</c:v>
                </c:pt>
                <c:pt idx="9">
                  <c:v>0.50347222222222199</c:v>
                </c:pt>
                <c:pt idx="10">
                  <c:v>0.50416666666666698</c:v>
                </c:pt>
                <c:pt idx="11">
                  <c:v>0.50486111111111098</c:v>
                </c:pt>
                <c:pt idx="12">
                  <c:v>0.50555555555555598</c:v>
                </c:pt>
                <c:pt idx="13">
                  <c:v>0.50624999999999998</c:v>
                </c:pt>
                <c:pt idx="14">
                  <c:v>0.50694444444444398</c:v>
                </c:pt>
                <c:pt idx="15">
                  <c:v>0.50763888888888897</c:v>
                </c:pt>
                <c:pt idx="16">
                  <c:v>0.50833333333333297</c:v>
                </c:pt>
                <c:pt idx="17">
                  <c:v>0.50902777777777797</c:v>
                </c:pt>
                <c:pt idx="18">
                  <c:v>0.50972222222222197</c:v>
                </c:pt>
                <c:pt idx="19">
                  <c:v>0.51041666666666696</c:v>
                </c:pt>
                <c:pt idx="20">
                  <c:v>0.51111111111111096</c:v>
                </c:pt>
                <c:pt idx="21">
                  <c:v>0.51180555555555596</c:v>
                </c:pt>
                <c:pt idx="22">
                  <c:v>0.51249999999999996</c:v>
                </c:pt>
                <c:pt idx="23">
                  <c:v>0.51319444444444395</c:v>
                </c:pt>
                <c:pt idx="24">
                  <c:v>0.51388888888888895</c:v>
                </c:pt>
              </c:numCache>
            </c:numRef>
          </c:cat>
          <c:val>
            <c:numRef>
              <c:f>'OPERACIONAL 3'!$BD$50:$BD$74</c:f>
              <c:numCache>
                <c:formatCode>0.0</c:formatCode>
                <c:ptCount val="25"/>
                <c:pt idx="0">
                  <c:v>606.58999999999992</c:v>
                </c:pt>
                <c:pt idx="1">
                  <c:v>606.75</c:v>
                </c:pt>
                <c:pt idx="2">
                  <c:v>607.94999999999993</c:v>
                </c:pt>
                <c:pt idx="3">
                  <c:v>607.92999999999995</c:v>
                </c:pt>
                <c:pt idx="4">
                  <c:v>609.3599999999999</c:v>
                </c:pt>
                <c:pt idx="5">
                  <c:v>609.29</c:v>
                </c:pt>
                <c:pt idx="6">
                  <c:v>609.25</c:v>
                </c:pt>
                <c:pt idx="7">
                  <c:v>608.55999999999995</c:v>
                </c:pt>
                <c:pt idx="8">
                  <c:v>609.79</c:v>
                </c:pt>
                <c:pt idx="9">
                  <c:v>610.02</c:v>
                </c:pt>
                <c:pt idx="10">
                  <c:v>609.74</c:v>
                </c:pt>
                <c:pt idx="11">
                  <c:v>610.09999999999991</c:v>
                </c:pt>
                <c:pt idx="12">
                  <c:v>609.96999999999991</c:v>
                </c:pt>
                <c:pt idx="13">
                  <c:v>609.54999999999995</c:v>
                </c:pt>
                <c:pt idx="14">
                  <c:v>610.62</c:v>
                </c:pt>
                <c:pt idx="15">
                  <c:v>610.29</c:v>
                </c:pt>
                <c:pt idx="16">
                  <c:v>610.44999999999993</c:v>
                </c:pt>
                <c:pt idx="17">
                  <c:v>610.04999999999995</c:v>
                </c:pt>
                <c:pt idx="18">
                  <c:v>609.13</c:v>
                </c:pt>
                <c:pt idx="19">
                  <c:v>609.68999999999994</c:v>
                </c:pt>
                <c:pt idx="20">
                  <c:v>610.30999999999995</c:v>
                </c:pt>
                <c:pt idx="21">
                  <c:v>610.56999999999994</c:v>
                </c:pt>
                <c:pt idx="22">
                  <c:v>610.04999999999995</c:v>
                </c:pt>
                <c:pt idx="23">
                  <c:v>610.52</c:v>
                </c:pt>
                <c:pt idx="24">
                  <c:v>609.57999999999993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B5-4A80-A6E3-8C911183A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848872"/>
        <c:axId val="437856088"/>
      </c:lineChart>
      <c:catAx>
        <c:axId val="437848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" sourceLinked="1"/>
        <c:majorTickMark val="out"/>
        <c:minorTickMark val="none"/>
        <c:tickLblPos val="nextTo"/>
        <c:crossAx val="437856088"/>
        <c:crosses val="autoZero"/>
        <c:auto val="1"/>
        <c:lblAlgn val="ctr"/>
        <c:lblOffset val="100"/>
        <c:noMultiLvlLbl val="0"/>
      </c:catAx>
      <c:valAx>
        <c:axId val="437856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378488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F4ED9DE-3008-410E-8941-4651FFAA2AC1}">
  <sheetPr codeName="Gráfico1"/>
  <sheetViews>
    <sheetView zoomScale="7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77B95A2-AA49-40BD-8782-F676E6460142}">
  <sheetPr codeName="Gráfico2"/>
  <sheetViews>
    <sheetView zoomScale="7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8FB3336-A721-4555-A8DA-1B83635AAA81}">
  <sheetPr codeName="Gráfico3"/>
  <sheetViews>
    <sheetView zoomScale="7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BEB5D0F-0020-422C-9D4C-347142592D0B}">
  <sheetPr codeName="Gráfico4"/>
  <sheetViews>
    <sheetView zoomScale="73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4C0032-D31F-4E97-8AC9-E9BC7D947173}">
  <sheetPr codeName="Gráfico5"/>
  <sheetViews>
    <sheetView zoomScale="73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E18745F-3BB0-4564-86F5-2E0A22CFB8CF}">
  <sheetPr codeName="Gráfico6"/>
  <sheetViews>
    <sheetView tabSelected="1"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1265" name="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2289" name="2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313" name="3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CV100"/>
  <sheetViews>
    <sheetView zoomScale="85" zoomScaleNormal="85" workbookViewId="0">
      <selection activeCell="E13" sqref="E13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80" t="s">
        <v>0</v>
      </c>
      <c r="I1" s="180"/>
      <c r="J1" s="180" t="s">
        <v>23</v>
      </c>
      <c r="K1" s="180"/>
      <c r="L1" s="180"/>
      <c r="M1" s="180"/>
      <c r="N1" s="180"/>
      <c r="O1" s="181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40" t="s">
        <v>1</v>
      </c>
      <c r="I2" s="47">
        <v>43060</v>
      </c>
      <c r="J2" s="40"/>
      <c r="K2" s="40"/>
      <c r="L2" s="180" t="s">
        <v>7</v>
      </c>
      <c r="M2" s="180"/>
      <c r="N2" s="40">
        <v>3</v>
      </c>
      <c r="O2" s="4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40" t="s">
        <v>6</v>
      </c>
      <c r="I3" s="40" t="s">
        <v>42</v>
      </c>
      <c r="J3" s="40"/>
      <c r="K3" s="40" t="s">
        <v>11</v>
      </c>
      <c r="L3" s="48" t="s">
        <v>33</v>
      </c>
      <c r="M3" s="40"/>
      <c r="N3" s="40"/>
      <c r="O3" s="4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40" t="s">
        <v>5</v>
      </c>
      <c r="I4" s="40" t="s">
        <v>26</v>
      </c>
      <c r="J4" s="40"/>
      <c r="K4" s="40" t="s">
        <v>12</v>
      </c>
      <c r="L4" s="40" t="s">
        <v>31</v>
      </c>
      <c r="M4" s="40"/>
      <c r="N4" s="40"/>
      <c r="O4" s="4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40" t="s">
        <v>2</v>
      </c>
      <c r="I5" s="40" t="s">
        <v>28</v>
      </c>
      <c r="J5" s="40"/>
      <c r="K5" s="40" t="s">
        <v>13</v>
      </c>
      <c r="L5" s="40" t="s">
        <v>30</v>
      </c>
      <c r="M5" s="40" t="s">
        <v>22</v>
      </c>
      <c r="N5" s="40" t="s">
        <v>41</v>
      </c>
      <c r="O5" s="4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40" t="s">
        <v>3</v>
      </c>
      <c r="I6" s="40" t="s">
        <v>29</v>
      </c>
      <c r="J6" s="40"/>
      <c r="K6" s="40" t="s">
        <v>14</v>
      </c>
      <c r="L6" s="40" t="s">
        <v>27</v>
      </c>
      <c r="M6" s="40" t="s">
        <v>17</v>
      </c>
      <c r="N6" s="40" t="s">
        <v>25</v>
      </c>
      <c r="O6" s="4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40" t="s">
        <v>4</v>
      </c>
      <c r="I7" s="40" t="s">
        <v>28</v>
      </c>
      <c r="J7" s="40"/>
      <c r="K7" s="40" t="s">
        <v>15</v>
      </c>
      <c r="L7" s="40" t="s">
        <v>32</v>
      </c>
      <c r="M7" s="40" t="s">
        <v>16</v>
      </c>
      <c r="N7" s="40" t="s">
        <v>24</v>
      </c>
      <c r="O7" s="4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80" t="s">
        <v>8</v>
      </c>
      <c r="I8" s="180"/>
      <c r="J8" s="40" t="s">
        <v>9</v>
      </c>
      <c r="K8" s="40">
        <v>8</v>
      </c>
      <c r="L8" s="40" t="s">
        <v>10</v>
      </c>
      <c r="M8" s="40">
        <v>2</v>
      </c>
      <c r="N8" s="40"/>
      <c r="O8" s="4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  <row r="100" spans="100:100" ht="27.75" customHeight="1" x14ac:dyDescent="0.4">
      <c r="CV100" s="3" t="s">
        <v>117</v>
      </c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K16" sqref="BK16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.42578125" style="11"/>
    <col min="4" max="4" width="13.140625" style="11" customWidth="1"/>
    <col min="5" max="12" width="11.42578125" style="11"/>
    <col min="13" max="13" width="26.28515625" style="59" customWidth="1"/>
    <col min="14" max="14" width="11.42578125" style="59"/>
    <col min="15" max="15" width="11.85546875" bestFit="1" customWidth="1"/>
  </cols>
  <sheetData>
    <row r="1" spans="1:64" ht="16.5" thickBot="1" x14ac:dyDescent="0.3">
      <c r="A1" s="50" t="s">
        <v>19</v>
      </c>
      <c r="B1" s="30" t="s">
        <v>20</v>
      </c>
      <c r="C1" s="31" t="s">
        <v>21</v>
      </c>
      <c r="D1" s="32" t="s">
        <v>19</v>
      </c>
      <c r="E1" s="33" t="s">
        <v>20</v>
      </c>
      <c r="F1" s="34" t="s">
        <v>21</v>
      </c>
      <c r="G1" s="51" t="s">
        <v>19</v>
      </c>
      <c r="H1" s="35" t="s">
        <v>20</v>
      </c>
      <c r="I1" s="36" t="s">
        <v>21</v>
      </c>
      <c r="J1" s="37" t="s">
        <v>19</v>
      </c>
      <c r="K1" s="38" t="s">
        <v>20</v>
      </c>
      <c r="L1" s="39" t="s">
        <v>21</v>
      </c>
      <c r="M1" s="23" t="s">
        <v>34</v>
      </c>
      <c r="N1" s="52">
        <f>AVERAGE(C2:C9)</f>
        <v>135.67500000000001</v>
      </c>
      <c r="O1" s="90">
        <f>103.1-N1</f>
        <v>-32.575000000000017</v>
      </c>
      <c r="BH1" s="178"/>
      <c r="BI1" s="43">
        <v>43012</v>
      </c>
      <c r="BJ1" s="44">
        <v>0.49722222222222201</v>
      </c>
      <c r="BK1" s="43">
        <v>43012</v>
      </c>
      <c r="BL1" s="44">
        <v>0.51458333333333295</v>
      </c>
    </row>
    <row r="2" spans="1:64" x14ac:dyDescent="0.25">
      <c r="A2" s="53"/>
      <c r="B2" s="54"/>
      <c r="C2" s="13">
        <v>135.6</v>
      </c>
      <c r="D2" s="25"/>
      <c r="E2" s="26"/>
      <c r="F2" s="16"/>
      <c r="G2" s="55"/>
      <c r="H2" s="27"/>
      <c r="I2" s="19">
        <v>2.2229999999999999</v>
      </c>
      <c r="J2" s="28"/>
      <c r="K2" s="28"/>
      <c r="L2" s="29"/>
      <c r="M2" s="17" t="s">
        <v>35</v>
      </c>
      <c r="N2" s="56" t="e">
        <f>AVERAGE(F2:F10)</f>
        <v>#DIV/0!</v>
      </c>
      <c r="BH2" s="46"/>
      <c r="BI2" s="43"/>
      <c r="BJ2" s="44"/>
      <c r="BK2" s="43"/>
      <c r="BL2" s="44"/>
    </row>
    <row r="3" spans="1:64" x14ac:dyDescent="0.25">
      <c r="A3" s="13"/>
      <c r="B3" s="57"/>
      <c r="C3" s="13">
        <v>135.4</v>
      </c>
      <c r="D3" s="14"/>
      <c r="E3" s="15"/>
      <c r="F3" s="16"/>
      <c r="G3" s="58"/>
      <c r="H3" s="18"/>
      <c r="I3" s="19">
        <v>2.1800000000000002</v>
      </c>
      <c r="J3" s="21"/>
      <c r="K3" s="21"/>
      <c r="L3" s="22"/>
      <c r="M3" s="20" t="s">
        <v>36</v>
      </c>
      <c r="N3" s="56">
        <f>AVERAGE(I2:I9)</f>
        <v>2.20825</v>
      </c>
      <c r="BH3" s="49"/>
      <c r="BI3" s="43"/>
      <c r="BJ3" s="44"/>
      <c r="BK3" s="43"/>
      <c r="BL3" s="44"/>
    </row>
    <row r="4" spans="1:64" ht="15.75" thickBot="1" x14ac:dyDescent="0.3">
      <c r="A4" s="13"/>
      <c r="B4" s="57"/>
      <c r="C4" s="13">
        <v>135.80000000000001</v>
      </c>
      <c r="D4" s="14"/>
      <c r="E4" s="15"/>
      <c r="F4" s="16"/>
      <c r="G4" s="58"/>
      <c r="H4" s="18"/>
      <c r="I4" s="19">
        <v>2.2130000000000001</v>
      </c>
      <c r="J4" s="21"/>
      <c r="K4" s="21"/>
      <c r="L4" s="22"/>
      <c r="M4" s="24" t="s">
        <v>37</v>
      </c>
      <c r="N4" s="56" t="e">
        <f>AVERAGE(L2:L9)</f>
        <v>#DIV/0!</v>
      </c>
      <c r="BH4" s="42"/>
      <c r="BI4" s="43"/>
      <c r="BJ4" s="44"/>
      <c r="BK4" s="43"/>
      <c r="BL4" s="44"/>
    </row>
    <row r="5" spans="1:64" x14ac:dyDescent="0.25">
      <c r="A5" s="13"/>
      <c r="B5" s="57"/>
      <c r="C5" s="13">
        <v>135.9</v>
      </c>
      <c r="D5" s="14"/>
      <c r="E5" s="15"/>
      <c r="F5" s="16"/>
      <c r="G5" s="58"/>
      <c r="H5" s="18"/>
      <c r="I5" s="19">
        <v>2.2170000000000001</v>
      </c>
      <c r="J5" s="21"/>
      <c r="K5" s="21"/>
      <c r="L5" s="22"/>
      <c r="M5" s="10" t="s">
        <v>38</v>
      </c>
      <c r="N5" s="56"/>
      <c r="BH5" s="45"/>
      <c r="BI5" s="43"/>
      <c r="BJ5" s="44"/>
      <c r="BK5" s="43"/>
      <c r="BL5" s="44"/>
    </row>
    <row r="6" spans="1:64" x14ac:dyDescent="0.25">
      <c r="A6" s="13"/>
      <c r="B6" s="57"/>
      <c r="C6" s="13"/>
      <c r="D6" s="14"/>
      <c r="E6" s="15"/>
      <c r="F6" s="16"/>
      <c r="G6" s="58"/>
      <c r="H6" s="18"/>
      <c r="I6" s="19"/>
      <c r="J6" s="21"/>
      <c r="K6" s="21"/>
      <c r="L6" s="22"/>
      <c r="M6" s="10"/>
      <c r="N6" s="56"/>
    </row>
    <row r="7" spans="1:64" x14ac:dyDescent="0.25">
      <c r="A7" s="13" t="s">
        <v>18</v>
      </c>
      <c r="B7" s="57"/>
      <c r="C7" s="13"/>
      <c r="D7" s="14"/>
      <c r="E7" s="15"/>
      <c r="F7" s="16"/>
      <c r="G7" s="58"/>
      <c r="H7" s="18"/>
      <c r="I7" s="19"/>
      <c r="J7" s="21"/>
      <c r="K7" s="21"/>
      <c r="L7" s="22"/>
      <c r="M7" s="10"/>
      <c r="N7" s="56"/>
    </row>
    <row r="8" spans="1:64" x14ac:dyDescent="0.25">
      <c r="A8" s="13"/>
      <c r="B8" s="57"/>
      <c r="C8" s="13"/>
      <c r="D8" s="14"/>
      <c r="E8" s="15"/>
      <c r="F8" s="16"/>
      <c r="G8" s="58"/>
      <c r="H8" s="18"/>
      <c r="I8" s="19"/>
      <c r="J8" s="21"/>
      <c r="K8" s="21"/>
      <c r="L8" s="22"/>
      <c r="M8" s="10"/>
      <c r="N8" s="56"/>
    </row>
    <row r="9" spans="1:64" ht="15.75" thickBot="1" x14ac:dyDescent="0.3">
      <c r="A9" s="13"/>
      <c r="B9" s="57"/>
      <c r="C9" s="13"/>
      <c r="D9" s="14"/>
      <c r="E9" s="15"/>
      <c r="F9" s="16"/>
      <c r="G9" s="58"/>
      <c r="H9" s="18"/>
      <c r="I9" s="19"/>
      <c r="J9" s="21"/>
      <c r="K9" s="21"/>
      <c r="L9" s="22"/>
      <c r="M9" s="10"/>
      <c r="N9" s="56"/>
    </row>
    <row r="10" spans="1:64" ht="15.75" thickBot="1" x14ac:dyDescent="0.3">
      <c r="A10" s="50" t="s">
        <v>19</v>
      </c>
      <c r="B10" s="30" t="s">
        <v>20</v>
      </c>
      <c r="C10" s="31" t="s">
        <v>21</v>
      </c>
      <c r="D10" s="32" t="s">
        <v>19</v>
      </c>
      <c r="E10" s="33" t="s">
        <v>20</v>
      </c>
      <c r="F10" s="34" t="s">
        <v>21</v>
      </c>
      <c r="G10" s="51" t="s">
        <v>19</v>
      </c>
      <c r="H10" s="35" t="s">
        <v>20</v>
      </c>
      <c r="I10" s="36" t="s">
        <v>21</v>
      </c>
      <c r="J10" s="37" t="s">
        <v>19</v>
      </c>
      <c r="K10" s="38" t="s">
        <v>20</v>
      </c>
      <c r="L10" s="39" t="s">
        <v>21</v>
      </c>
    </row>
    <row r="11" spans="1:64" x14ac:dyDescent="0.25">
      <c r="A11" s="53"/>
      <c r="B11" s="60"/>
      <c r="C11" s="53">
        <v>135.5</v>
      </c>
      <c r="D11" s="61"/>
      <c r="E11" s="62"/>
      <c r="F11" s="63"/>
      <c r="G11" s="64"/>
      <c r="H11" s="65"/>
      <c r="I11" s="53">
        <v>2.2440000000000002</v>
      </c>
      <c r="J11" s="66"/>
      <c r="K11" s="66"/>
      <c r="L11" s="67"/>
      <c r="M11" s="23" t="s">
        <v>34</v>
      </c>
      <c r="N11" s="56">
        <f>AVERAGE(C11:C16)</f>
        <v>135.77500000000001</v>
      </c>
      <c r="O11" s="89"/>
      <c r="P11" s="89"/>
    </row>
    <row r="12" spans="1:64" x14ac:dyDescent="0.25">
      <c r="A12" s="13"/>
      <c r="B12" s="57"/>
      <c r="C12" s="13">
        <v>135.80000000000001</v>
      </c>
      <c r="D12" s="14"/>
      <c r="E12" s="15"/>
      <c r="F12" s="16"/>
      <c r="G12" s="58"/>
      <c r="H12" s="18"/>
      <c r="I12" s="13">
        <v>2.2050000000000001</v>
      </c>
      <c r="J12" s="21"/>
      <c r="K12" s="21"/>
      <c r="L12" s="22"/>
      <c r="M12" s="17" t="s">
        <v>35</v>
      </c>
      <c r="N12" s="56" t="e">
        <f>AVERAGE(F11:F19)</f>
        <v>#DIV/0!</v>
      </c>
    </row>
    <row r="13" spans="1:64" x14ac:dyDescent="0.25">
      <c r="A13" s="13"/>
      <c r="B13" s="57"/>
      <c r="C13" s="13">
        <v>135.80000000000001</v>
      </c>
      <c r="D13" s="14"/>
      <c r="E13" s="15"/>
      <c r="F13" s="16"/>
      <c r="G13" s="58"/>
      <c r="H13" s="18"/>
      <c r="I13" s="13">
        <v>2.2069999999999999</v>
      </c>
      <c r="J13" s="21"/>
      <c r="K13" s="21"/>
      <c r="L13" s="22"/>
      <c r="M13" s="20" t="s">
        <v>36</v>
      </c>
      <c r="N13" s="56">
        <f>AVERAGE(I11:I19)</f>
        <v>2.2155</v>
      </c>
    </row>
    <row r="14" spans="1:64" ht="15.75" thickBot="1" x14ac:dyDescent="0.3">
      <c r="A14" s="13"/>
      <c r="B14" s="57"/>
      <c r="C14" s="13">
        <v>136</v>
      </c>
      <c r="D14" s="14"/>
      <c r="E14" s="15"/>
      <c r="F14" s="16"/>
      <c r="G14" s="58"/>
      <c r="H14" s="18"/>
      <c r="I14" s="13">
        <v>2.206</v>
      </c>
      <c r="J14" s="21"/>
      <c r="K14" s="21"/>
      <c r="L14" s="22"/>
      <c r="M14" s="24" t="s">
        <v>37</v>
      </c>
      <c r="N14" s="56" t="e">
        <f>AVERAGE(L11:L19)</f>
        <v>#DIV/0!</v>
      </c>
      <c r="P14">
        <f>103.7-N11</f>
        <v>-32.075000000000003</v>
      </c>
    </row>
    <row r="15" spans="1:64" x14ac:dyDescent="0.25">
      <c r="A15" s="13"/>
      <c r="B15" s="57"/>
      <c r="C15" s="13"/>
      <c r="D15" s="14"/>
      <c r="E15" s="15"/>
      <c r="F15" s="16"/>
      <c r="G15" s="58"/>
      <c r="H15" s="18"/>
      <c r="I15" s="19"/>
      <c r="J15" s="21"/>
      <c r="K15" s="21"/>
      <c r="L15" s="22"/>
      <c r="M15" s="10" t="s">
        <v>39</v>
      </c>
      <c r="N15" s="56"/>
    </row>
    <row r="16" spans="1:64" x14ac:dyDescent="0.25">
      <c r="A16" s="13"/>
      <c r="B16" s="57"/>
      <c r="C16" s="13"/>
      <c r="D16" s="14"/>
      <c r="E16" s="15"/>
      <c r="F16" s="16"/>
      <c r="G16" s="58"/>
      <c r="H16" s="18"/>
      <c r="I16" s="19"/>
      <c r="J16" s="21"/>
      <c r="K16" s="21"/>
      <c r="L16" s="22"/>
      <c r="M16" s="10"/>
      <c r="N16" s="56"/>
    </row>
    <row r="17" spans="1:16" x14ac:dyDescent="0.25">
      <c r="A17" s="13"/>
      <c r="B17" s="57"/>
      <c r="C17" s="13"/>
      <c r="D17" s="14"/>
      <c r="E17" s="15"/>
      <c r="F17" s="16"/>
      <c r="G17" s="58"/>
      <c r="H17" s="18"/>
      <c r="I17" s="19"/>
      <c r="J17" s="21"/>
      <c r="K17" s="21"/>
      <c r="L17" s="22"/>
      <c r="M17" s="10"/>
      <c r="N17" s="56"/>
    </row>
    <row r="18" spans="1:16" x14ac:dyDescent="0.25">
      <c r="A18" s="13"/>
      <c r="B18" s="57"/>
      <c r="C18" s="13"/>
      <c r="D18" s="14"/>
      <c r="E18" s="15"/>
      <c r="F18" s="16"/>
      <c r="G18" s="58"/>
      <c r="H18" s="18"/>
      <c r="I18" s="19"/>
      <c r="J18" s="21"/>
      <c r="K18" s="21"/>
      <c r="L18" s="22"/>
      <c r="M18" s="10"/>
      <c r="N18" s="56"/>
    </row>
    <row r="19" spans="1:16" ht="15.75" thickBot="1" x14ac:dyDescent="0.3">
      <c r="A19" s="13"/>
      <c r="B19" s="57"/>
      <c r="C19" s="13"/>
      <c r="D19" s="14"/>
      <c r="E19" s="15"/>
      <c r="F19" s="16"/>
      <c r="G19" s="58"/>
      <c r="H19" s="18"/>
      <c r="I19" s="19"/>
      <c r="J19" s="21"/>
      <c r="K19" s="21"/>
      <c r="L19" s="22"/>
      <c r="M19" s="10"/>
      <c r="N19" s="56"/>
    </row>
    <row r="20" spans="1:16" ht="15.75" thickBot="1" x14ac:dyDescent="0.3">
      <c r="A20" s="50" t="s">
        <v>19</v>
      </c>
      <c r="B20" s="30" t="s">
        <v>20</v>
      </c>
      <c r="C20" s="31" t="s">
        <v>21</v>
      </c>
      <c r="D20" s="32" t="s">
        <v>19</v>
      </c>
      <c r="E20" s="33" t="s">
        <v>20</v>
      </c>
      <c r="F20" s="34" t="s">
        <v>21</v>
      </c>
      <c r="G20" s="51" t="s">
        <v>19</v>
      </c>
      <c r="H20" s="35" t="s">
        <v>20</v>
      </c>
      <c r="I20" s="36" t="s">
        <v>21</v>
      </c>
      <c r="J20" s="37" t="s">
        <v>19</v>
      </c>
      <c r="K20" s="38" t="s">
        <v>20</v>
      </c>
      <c r="L20" s="39" t="s">
        <v>21</v>
      </c>
    </row>
    <row r="21" spans="1:16" ht="15.75" x14ac:dyDescent="0.25">
      <c r="A21" s="53"/>
      <c r="B21" s="60"/>
      <c r="C21" s="53">
        <v>135.69999999999999</v>
      </c>
      <c r="D21" s="61"/>
      <c r="E21" s="62"/>
      <c r="F21" s="63"/>
      <c r="G21" s="64"/>
      <c r="H21" s="65"/>
      <c r="I21" s="53">
        <v>2.2650000000000001</v>
      </c>
      <c r="J21" s="66"/>
      <c r="K21" s="66"/>
      <c r="L21" s="67"/>
      <c r="M21" s="23" t="s">
        <v>34</v>
      </c>
      <c r="N21" s="56">
        <f>AVERAGE(C21:C26)</f>
        <v>135.85</v>
      </c>
      <c r="P21" s="90">
        <f>103.1-N21</f>
        <v>-32.75</v>
      </c>
    </row>
    <row r="22" spans="1:16" x14ac:dyDescent="0.25">
      <c r="A22" s="13"/>
      <c r="B22" s="57"/>
      <c r="C22" s="13">
        <v>135.9</v>
      </c>
      <c r="D22" s="14"/>
      <c r="E22" s="15"/>
      <c r="F22" s="16"/>
      <c r="G22" s="58"/>
      <c r="H22" s="18"/>
      <c r="I22" s="13">
        <v>2.1930000000000001</v>
      </c>
      <c r="J22" s="21"/>
      <c r="K22" s="21"/>
      <c r="L22" s="22"/>
      <c r="M22" s="17" t="s">
        <v>35</v>
      </c>
      <c r="N22" s="56" t="e">
        <f>AVERAGE(F21:F29)</f>
        <v>#DIV/0!</v>
      </c>
    </row>
    <row r="23" spans="1:16" x14ac:dyDescent="0.25">
      <c r="A23" s="13"/>
      <c r="B23" s="57"/>
      <c r="C23" s="13">
        <v>135.9</v>
      </c>
      <c r="D23" s="14"/>
      <c r="E23" s="15"/>
      <c r="F23" s="16"/>
      <c r="G23" s="58"/>
      <c r="H23" s="18"/>
      <c r="I23" s="13">
        <v>2.1930000000000001</v>
      </c>
      <c r="J23" s="21"/>
      <c r="K23" s="21"/>
      <c r="L23" s="22"/>
      <c r="M23" s="20" t="s">
        <v>36</v>
      </c>
      <c r="N23" s="56">
        <f>AVERAGE(I21:I29)</f>
        <v>2.2164999999999999</v>
      </c>
    </row>
    <row r="24" spans="1:16" ht="15.75" thickBot="1" x14ac:dyDescent="0.3">
      <c r="A24" s="13"/>
      <c r="B24" s="57"/>
      <c r="C24" s="13">
        <v>135.9</v>
      </c>
      <c r="D24" s="14"/>
      <c r="E24" s="15"/>
      <c r="F24" s="16"/>
      <c r="G24" s="58"/>
      <c r="H24" s="18"/>
      <c r="I24" s="13">
        <v>2.2149999999999999</v>
      </c>
      <c r="J24" s="21"/>
      <c r="K24" s="21"/>
      <c r="L24" s="22"/>
      <c r="M24" s="24" t="s">
        <v>37</v>
      </c>
      <c r="N24" s="56" t="e">
        <f>AVERAGE(L21:L29)</f>
        <v>#DIV/0!</v>
      </c>
    </row>
    <row r="25" spans="1:16" x14ac:dyDescent="0.25">
      <c r="A25" s="13"/>
      <c r="B25" s="57"/>
      <c r="C25" s="13"/>
      <c r="D25" s="14"/>
      <c r="E25" s="15"/>
      <c r="F25" s="16"/>
      <c r="G25" s="58"/>
      <c r="H25" s="18"/>
      <c r="I25" s="19"/>
      <c r="J25" s="21"/>
      <c r="K25" s="21"/>
      <c r="L25" s="22"/>
      <c r="M25" s="10" t="s">
        <v>40</v>
      </c>
      <c r="N25" s="56"/>
    </row>
    <row r="26" spans="1:16" x14ac:dyDescent="0.25">
      <c r="A26" s="13"/>
      <c r="B26" s="57"/>
      <c r="C26" s="13"/>
      <c r="D26" s="14"/>
      <c r="E26" s="15"/>
      <c r="F26" s="16"/>
      <c r="G26" s="58"/>
      <c r="H26" s="18"/>
      <c r="I26" s="19"/>
      <c r="J26" s="21"/>
      <c r="K26" s="21"/>
      <c r="L26" s="22"/>
      <c r="M26" s="10"/>
      <c r="N26" s="56"/>
    </row>
    <row r="27" spans="1:16" x14ac:dyDescent="0.25">
      <c r="A27" s="13"/>
      <c r="B27" s="57"/>
      <c r="C27" s="13"/>
      <c r="D27" s="14"/>
      <c r="E27" s="15"/>
      <c r="F27" s="16"/>
      <c r="G27" s="58"/>
      <c r="H27" s="18"/>
      <c r="I27" s="19"/>
      <c r="J27" s="21"/>
      <c r="K27" s="21"/>
      <c r="L27" s="22"/>
      <c r="M27" s="10"/>
      <c r="N27" s="56"/>
    </row>
    <row r="28" spans="1:16" x14ac:dyDescent="0.25">
      <c r="A28" s="13"/>
      <c r="B28" s="57"/>
      <c r="C28" s="13"/>
      <c r="D28" s="14"/>
      <c r="E28" s="15"/>
      <c r="F28" s="16"/>
      <c r="G28" s="58"/>
      <c r="H28" s="18"/>
      <c r="I28" s="19"/>
      <c r="J28" s="21"/>
      <c r="K28" s="21"/>
      <c r="L28" s="22"/>
      <c r="M28" s="10"/>
      <c r="N28" s="56"/>
    </row>
    <row r="29" spans="1:16" x14ac:dyDescent="0.25">
      <c r="A29" s="13"/>
      <c r="B29" s="57"/>
      <c r="C29" s="13"/>
      <c r="D29" s="14"/>
      <c r="E29" s="15"/>
      <c r="F29" s="16"/>
      <c r="G29" s="58"/>
      <c r="H29" s="18"/>
      <c r="I29" s="19"/>
      <c r="J29" s="21"/>
      <c r="K29" s="21"/>
      <c r="L29" s="22"/>
      <c r="M29" s="10"/>
      <c r="N29" s="56"/>
    </row>
    <row r="30" spans="1:16" ht="15.75" thickBot="1" x14ac:dyDescent="0.3">
      <c r="A30" s="68"/>
      <c r="B30" s="69"/>
      <c r="C30" s="68"/>
      <c r="D30" s="70"/>
      <c r="E30" s="71"/>
      <c r="F30" s="72"/>
      <c r="G30" s="73"/>
      <c r="H30" s="74"/>
      <c r="I30" s="75"/>
      <c r="J30" s="76"/>
      <c r="K30" s="76"/>
      <c r="L30" s="77"/>
      <c r="M30" s="12"/>
      <c r="N30" s="78"/>
    </row>
    <row r="70" spans="1:13" ht="15.75" x14ac:dyDescent="0.25">
      <c r="D70" s="79"/>
      <c r="E70" s="80"/>
      <c r="F70" s="79"/>
      <c r="G70" s="80"/>
      <c r="H70" s="79"/>
      <c r="I70" s="80"/>
      <c r="J70" s="79"/>
      <c r="K70" s="80"/>
    </row>
    <row r="72" spans="1:13" ht="15.75" x14ac:dyDescent="0.25">
      <c r="A72" s="81"/>
      <c r="B72" s="82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4"/>
    </row>
    <row r="73" spans="1:13" ht="15.75" x14ac:dyDescent="0.25">
      <c r="A73" s="81"/>
      <c r="B73" s="82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6"/>
    </row>
    <row r="74" spans="1:13" ht="15.75" x14ac:dyDescent="0.25">
      <c r="A74" s="81"/>
      <c r="B74" s="82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7"/>
    </row>
    <row r="75" spans="1:13" ht="15.75" x14ac:dyDescent="0.25">
      <c r="A75" s="81"/>
      <c r="B75" s="82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7"/>
    </row>
    <row r="76" spans="1:13" ht="15.75" x14ac:dyDescent="0.25">
      <c r="A76" s="81"/>
      <c r="B76" s="82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7"/>
    </row>
    <row r="77" spans="1:13" ht="15.75" x14ac:dyDescent="0.25">
      <c r="A77" s="81"/>
      <c r="B77" s="82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7"/>
    </row>
    <row r="78" spans="1:13" ht="15.75" x14ac:dyDescent="0.25">
      <c r="A78" s="81"/>
      <c r="B78" s="82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7"/>
    </row>
    <row r="79" spans="1:13" ht="15.75" x14ac:dyDescent="0.25">
      <c r="A79" s="81"/>
      <c r="B79" s="82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7"/>
    </row>
    <row r="80" spans="1:13" ht="15.75" x14ac:dyDescent="0.25">
      <c r="A80" s="81"/>
      <c r="B80" s="82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7"/>
    </row>
    <row r="81" spans="1:13" ht="15.75" x14ac:dyDescent="0.25">
      <c r="A81" s="81"/>
      <c r="B81" s="82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7"/>
    </row>
    <row r="82" spans="1:13" ht="15.75" x14ac:dyDescent="0.25">
      <c r="A82" s="81"/>
      <c r="B82" s="82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7"/>
    </row>
    <row r="83" spans="1:13" ht="15.75" x14ac:dyDescent="0.25">
      <c r="A83" s="81"/>
      <c r="B83" s="82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7"/>
    </row>
    <row r="84" spans="1:13" ht="15.75" x14ac:dyDescent="0.25">
      <c r="A84" s="81"/>
      <c r="B84" s="82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7"/>
    </row>
    <row r="85" spans="1:13" ht="15.75" x14ac:dyDescent="0.25">
      <c r="A85" s="81"/>
      <c r="B85" s="82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7"/>
    </row>
    <row r="86" spans="1:13" ht="15.75" x14ac:dyDescent="0.25">
      <c r="A86" s="81"/>
      <c r="B86" s="82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7"/>
    </row>
    <row r="87" spans="1:13" ht="15.75" x14ac:dyDescent="0.25">
      <c r="A87" s="81"/>
      <c r="B87" s="82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7"/>
    </row>
    <row r="88" spans="1:13" ht="15.75" x14ac:dyDescent="0.25">
      <c r="A88" s="81"/>
      <c r="B88" s="82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7"/>
    </row>
    <row r="89" spans="1:13" ht="15.75" x14ac:dyDescent="0.25">
      <c r="A89" s="81"/>
      <c r="B89" s="82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7"/>
    </row>
    <row r="90" spans="1:13" ht="15.75" x14ac:dyDescent="0.25">
      <c r="A90" s="81"/>
      <c r="B90" s="82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7"/>
    </row>
    <row r="91" spans="1:13" ht="15.75" x14ac:dyDescent="0.25">
      <c r="A91" s="81"/>
      <c r="B91" s="82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7"/>
    </row>
    <row r="92" spans="1:13" ht="15.75" x14ac:dyDescent="0.25">
      <c r="A92" s="81"/>
      <c r="B92" s="82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7"/>
    </row>
    <row r="93" spans="1:13" ht="15.75" x14ac:dyDescent="0.25">
      <c r="A93" s="81"/>
      <c r="B93" s="82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7"/>
    </row>
    <row r="94" spans="1:13" ht="15.75" x14ac:dyDescent="0.25">
      <c r="A94" s="81"/>
      <c r="B94" s="82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7"/>
    </row>
    <row r="95" spans="1:13" ht="15.75" x14ac:dyDescent="0.25">
      <c r="A95" s="81"/>
      <c r="B95" s="82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7"/>
    </row>
    <row r="96" spans="1:13" ht="15.75" x14ac:dyDescent="0.25">
      <c r="A96" s="81"/>
      <c r="B96" s="82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7"/>
    </row>
    <row r="97" spans="1:13" ht="15.75" x14ac:dyDescent="0.25">
      <c r="A97" s="81"/>
      <c r="B97" s="82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7"/>
    </row>
    <row r="98" spans="1:13" ht="15.75" x14ac:dyDescent="0.25">
      <c r="A98" s="81"/>
      <c r="B98" s="82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7"/>
    </row>
    <row r="99" spans="1:13" ht="15.75" x14ac:dyDescent="0.25">
      <c r="A99" s="81"/>
      <c r="B99" s="82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7"/>
    </row>
    <row r="100" spans="1:13" ht="15.75" x14ac:dyDescent="0.25">
      <c r="A100" s="81"/>
      <c r="B100" s="82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7"/>
    </row>
    <row r="101" spans="1:13" ht="15.75" x14ac:dyDescent="0.25">
      <c r="A101" s="81"/>
      <c r="B101" s="82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7"/>
    </row>
    <row r="102" spans="1:13" ht="15.75" x14ac:dyDescent="0.25">
      <c r="A102" s="81"/>
      <c r="B102" s="82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7"/>
    </row>
    <row r="103" spans="1:13" ht="15.75" x14ac:dyDescent="0.25">
      <c r="A103" s="81"/>
      <c r="B103" s="82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7"/>
    </row>
    <row r="104" spans="1:13" ht="15.75" x14ac:dyDescent="0.25">
      <c r="A104" s="81"/>
      <c r="B104" s="82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7"/>
    </row>
    <row r="105" spans="1:13" ht="15.75" x14ac:dyDescent="0.25">
      <c r="A105" s="81"/>
      <c r="B105" s="82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7"/>
    </row>
    <row r="106" spans="1:13" ht="15.75" x14ac:dyDescent="0.25">
      <c r="A106" s="81"/>
      <c r="B106" s="82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7"/>
    </row>
    <row r="107" spans="1:13" ht="15.75" x14ac:dyDescent="0.25">
      <c r="A107" s="81"/>
      <c r="B107" s="82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7"/>
    </row>
    <row r="108" spans="1:13" ht="15.75" x14ac:dyDescent="0.25">
      <c r="A108" s="81"/>
      <c r="B108" s="82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7"/>
    </row>
    <row r="109" spans="1:13" ht="15.75" x14ac:dyDescent="0.25">
      <c r="A109" s="81"/>
      <c r="B109" s="82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7"/>
    </row>
    <row r="110" spans="1:13" ht="15.75" x14ac:dyDescent="0.25">
      <c r="A110" s="81"/>
      <c r="B110" s="82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7"/>
    </row>
    <row r="111" spans="1:13" ht="15.75" x14ac:dyDescent="0.25">
      <c r="A111" s="81"/>
      <c r="B111" s="82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7"/>
    </row>
    <row r="112" spans="1:13" ht="15.75" x14ac:dyDescent="0.25">
      <c r="A112" s="81"/>
      <c r="B112" s="82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7"/>
    </row>
    <row r="113" spans="1:13" ht="15.75" x14ac:dyDescent="0.25">
      <c r="A113" s="81"/>
      <c r="B113" s="82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7"/>
    </row>
    <row r="114" spans="1:13" ht="15.75" x14ac:dyDescent="0.25">
      <c r="A114" s="81"/>
      <c r="B114" s="82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7"/>
    </row>
    <row r="115" spans="1:13" ht="15.75" x14ac:dyDescent="0.25">
      <c r="A115" s="81"/>
      <c r="B115" s="82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7"/>
    </row>
    <row r="116" spans="1:13" ht="15.75" x14ac:dyDescent="0.25">
      <c r="A116" s="81"/>
      <c r="B116" s="82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7"/>
    </row>
    <row r="117" spans="1:13" ht="15.75" x14ac:dyDescent="0.25">
      <c r="A117" s="81"/>
      <c r="B117" s="82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7"/>
    </row>
    <row r="118" spans="1:13" ht="15.75" x14ac:dyDescent="0.25">
      <c r="A118" s="81"/>
      <c r="B118" s="82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7"/>
    </row>
    <row r="119" spans="1:13" ht="15.75" x14ac:dyDescent="0.25">
      <c r="A119" s="81"/>
      <c r="B119" s="82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7"/>
    </row>
    <row r="120" spans="1:13" ht="15.75" x14ac:dyDescent="0.25">
      <c r="A120" s="81"/>
      <c r="B120" s="82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7"/>
    </row>
    <row r="121" spans="1:13" ht="15.75" x14ac:dyDescent="0.25">
      <c r="A121" s="81"/>
      <c r="B121" s="82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7"/>
    </row>
    <row r="122" spans="1:13" ht="15.75" x14ac:dyDescent="0.25">
      <c r="A122" s="81"/>
      <c r="B122" s="82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7"/>
    </row>
    <row r="123" spans="1:13" ht="15.75" x14ac:dyDescent="0.25">
      <c r="A123" s="81"/>
      <c r="B123" s="82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7"/>
    </row>
    <row r="124" spans="1:13" ht="15.75" x14ac:dyDescent="0.25">
      <c r="A124" s="81"/>
      <c r="B124" s="82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7"/>
    </row>
    <row r="125" spans="1:13" ht="15.75" x14ac:dyDescent="0.25">
      <c r="A125" s="81"/>
      <c r="B125" s="82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7"/>
    </row>
    <row r="126" spans="1:13" ht="15.75" x14ac:dyDescent="0.25">
      <c r="A126" s="81"/>
      <c r="B126" s="82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7"/>
    </row>
    <row r="127" spans="1:13" ht="15.75" x14ac:dyDescent="0.25">
      <c r="A127" s="81"/>
      <c r="B127" s="82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7"/>
    </row>
    <row r="128" spans="1:13" ht="15.75" x14ac:dyDescent="0.25">
      <c r="A128" s="81"/>
      <c r="B128" s="82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7"/>
    </row>
    <row r="129" spans="1:13" ht="15.75" x14ac:dyDescent="0.25">
      <c r="A129" s="81"/>
      <c r="B129" s="82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7"/>
    </row>
    <row r="130" spans="1:13" ht="15.75" x14ac:dyDescent="0.25">
      <c r="A130" s="81"/>
      <c r="B130" s="82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7"/>
    </row>
    <row r="131" spans="1:13" ht="15.75" x14ac:dyDescent="0.25">
      <c r="A131" s="81"/>
      <c r="B131" s="82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7"/>
    </row>
    <row r="132" spans="1:13" ht="15.75" x14ac:dyDescent="0.25">
      <c r="A132" s="81"/>
      <c r="B132" s="82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7"/>
    </row>
    <row r="133" spans="1:13" ht="15.75" x14ac:dyDescent="0.25">
      <c r="A133" s="81"/>
      <c r="B133" s="82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7"/>
    </row>
    <row r="134" spans="1:13" ht="15.75" x14ac:dyDescent="0.25">
      <c r="A134" s="81"/>
      <c r="B134" s="82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7"/>
    </row>
    <row r="135" spans="1:13" ht="15.75" x14ac:dyDescent="0.25">
      <c r="A135" s="81"/>
      <c r="B135" s="82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7"/>
    </row>
    <row r="136" spans="1:13" ht="15.75" x14ac:dyDescent="0.25">
      <c r="A136" s="81"/>
      <c r="B136" s="82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7"/>
    </row>
    <row r="137" spans="1:13" ht="15.75" x14ac:dyDescent="0.25">
      <c r="A137" s="81"/>
      <c r="B137" s="82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7"/>
    </row>
    <row r="138" spans="1:13" ht="15.75" x14ac:dyDescent="0.25">
      <c r="A138" s="81"/>
      <c r="B138" s="82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7"/>
    </row>
    <row r="139" spans="1:13" ht="15.75" x14ac:dyDescent="0.25">
      <c r="A139" s="81"/>
      <c r="B139" s="82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7"/>
    </row>
    <row r="140" spans="1:13" ht="15.75" x14ac:dyDescent="0.25">
      <c r="A140" s="81"/>
      <c r="B140" s="82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7"/>
    </row>
    <row r="141" spans="1:13" ht="15.75" x14ac:dyDescent="0.25">
      <c r="A141" s="81"/>
      <c r="B141" s="82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7"/>
    </row>
    <row r="142" spans="1:13" ht="15.75" x14ac:dyDescent="0.25">
      <c r="A142" s="81"/>
      <c r="B142" s="82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7"/>
    </row>
    <row r="143" spans="1:13" ht="15.75" x14ac:dyDescent="0.25">
      <c r="A143" s="81"/>
      <c r="B143" s="82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7"/>
    </row>
    <row r="144" spans="1:13" ht="15.75" x14ac:dyDescent="0.25">
      <c r="A144" s="81"/>
      <c r="B144" s="82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7"/>
    </row>
    <row r="145" spans="1:13" ht="15.75" x14ac:dyDescent="0.25">
      <c r="A145" s="81"/>
      <c r="B145" s="82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7"/>
    </row>
    <row r="146" spans="1:13" ht="15.75" x14ac:dyDescent="0.25">
      <c r="A146" s="81"/>
      <c r="B146" s="82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7"/>
    </row>
    <row r="147" spans="1:13" ht="15.75" x14ac:dyDescent="0.25">
      <c r="A147" s="81"/>
      <c r="B147" s="82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7"/>
    </row>
    <row r="148" spans="1:13" ht="15.75" x14ac:dyDescent="0.25">
      <c r="A148" s="81"/>
      <c r="B148" s="82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7"/>
    </row>
    <row r="149" spans="1:13" ht="15.75" x14ac:dyDescent="0.25">
      <c r="A149" s="81"/>
      <c r="B149" s="82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7"/>
    </row>
    <row r="150" spans="1:13" ht="15.75" x14ac:dyDescent="0.25">
      <c r="A150" s="81"/>
      <c r="B150" s="82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7"/>
    </row>
    <row r="151" spans="1:13" ht="15.75" x14ac:dyDescent="0.25">
      <c r="A151" s="81"/>
      <c r="B151" s="82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7"/>
    </row>
    <row r="152" spans="1:13" ht="15.75" x14ac:dyDescent="0.25">
      <c r="A152" s="81"/>
      <c r="B152" s="82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7"/>
    </row>
    <row r="153" spans="1:13" ht="15.75" x14ac:dyDescent="0.25">
      <c r="A153" s="81"/>
      <c r="B153" s="82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7"/>
    </row>
    <row r="154" spans="1:13" ht="15.75" x14ac:dyDescent="0.25">
      <c r="A154" s="81"/>
      <c r="B154" s="82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7"/>
    </row>
    <row r="155" spans="1:13" ht="15.75" x14ac:dyDescent="0.25">
      <c r="A155" s="81"/>
      <c r="B155" s="82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7"/>
    </row>
    <row r="156" spans="1:13" ht="15.75" x14ac:dyDescent="0.25">
      <c r="A156" s="81"/>
      <c r="B156" s="82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7"/>
    </row>
    <row r="157" spans="1:13" ht="15.75" x14ac:dyDescent="0.25">
      <c r="A157" s="81"/>
      <c r="B157" s="82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7"/>
    </row>
    <row r="158" spans="1:13" ht="15.75" x14ac:dyDescent="0.25">
      <c r="A158" s="81"/>
      <c r="B158" s="82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7"/>
    </row>
    <row r="159" spans="1:13" ht="15.75" x14ac:dyDescent="0.25">
      <c r="A159" s="81"/>
      <c r="B159" s="82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7"/>
    </row>
    <row r="160" spans="1:13" ht="15.75" x14ac:dyDescent="0.25">
      <c r="A160" s="81"/>
      <c r="B160" s="82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7"/>
    </row>
    <row r="161" spans="1:13" ht="15.75" x14ac:dyDescent="0.25">
      <c r="A161" s="81"/>
      <c r="B161" s="82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7"/>
    </row>
    <row r="162" spans="1:13" ht="15.75" x14ac:dyDescent="0.25">
      <c r="A162" s="81"/>
      <c r="B162" s="82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7"/>
    </row>
    <row r="163" spans="1:13" ht="15.75" x14ac:dyDescent="0.25">
      <c r="A163" s="81"/>
      <c r="B163" s="82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7"/>
    </row>
    <row r="164" spans="1:13" ht="15.75" x14ac:dyDescent="0.25">
      <c r="A164" s="81"/>
      <c r="B164" s="82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7"/>
    </row>
    <row r="165" spans="1:13" ht="15.75" x14ac:dyDescent="0.25">
      <c r="A165" s="81"/>
      <c r="B165" s="82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7"/>
    </row>
    <row r="166" spans="1:13" ht="15.75" x14ac:dyDescent="0.25">
      <c r="A166" s="81"/>
      <c r="B166" s="82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7"/>
    </row>
    <row r="167" spans="1:13" ht="15.75" x14ac:dyDescent="0.25">
      <c r="A167" s="81"/>
      <c r="B167" s="82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7"/>
    </row>
    <row r="168" spans="1:13" ht="15.75" x14ac:dyDescent="0.25">
      <c r="A168" s="81"/>
      <c r="B168" s="82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7"/>
    </row>
    <row r="169" spans="1:13" ht="15.75" x14ac:dyDescent="0.25">
      <c r="A169" s="81"/>
      <c r="B169" s="82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7"/>
    </row>
    <row r="170" spans="1:13" ht="15.75" x14ac:dyDescent="0.25">
      <c r="A170" s="81"/>
      <c r="B170" s="82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7"/>
    </row>
    <row r="171" spans="1:13" ht="15.75" x14ac:dyDescent="0.25">
      <c r="A171" s="81"/>
      <c r="B171" s="82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7"/>
    </row>
    <row r="172" spans="1:13" ht="15.75" x14ac:dyDescent="0.25">
      <c r="A172" s="81"/>
      <c r="B172" s="82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7"/>
    </row>
    <row r="173" spans="1:13" ht="15.75" x14ac:dyDescent="0.25">
      <c r="A173" s="81"/>
      <c r="B173" s="82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7"/>
    </row>
    <row r="174" spans="1:13" ht="15.75" x14ac:dyDescent="0.25">
      <c r="A174" s="81"/>
      <c r="B174" s="82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7"/>
    </row>
    <row r="175" spans="1:13" ht="15.75" x14ac:dyDescent="0.25">
      <c r="A175" s="81"/>
      <c r="B175" s="82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7"/>
    </row>
    <row r="176" spans="1:13" ht="15.75" x14ac:dyDescent="0.25">
      <c r="A176" s="81"/>
      <c r="B176" s="82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7"/>
    </row>
    <row r="177" spans="1:13" ht="15.75" x14ac:dyDescent="0.25">
      <c r="A177" s="81"/>
      <c r="B177" s="82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7"/>
    </row>
    <row r="178" spans="1:13" ht="15.75" x14ac:dyDescent="0.25">
      <c r="A178" s="81"/>
      <c r="B178" s="82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7"/>
    </row>
    <row r="179" spans="1:13" ht="15.75" x14ac:dyDescent="0.25">
      <c r="A179" s="81"/>
      <c r="B179" s="82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7"/>
    </row>
    <row r="180" spans="1:13" ht="15.75" x14ac:dyDescent="0.25">
      <c r="A180" s="81"/>
      <c r="B180" s="82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7"/>
    </row>
    <row r="181" spans="1:13" ht="15.75" x14ac:dyDescent="0.25">
      <c r="A181" s="81"/>
      <c r="B181" s="82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7"/>
    </row>
    <row r="182" spans="1:13" ht="15.75" x14ac:dyDescent="0.25">
      <c r="A182" s="81"/>
      <c r="B182" s="82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7"/>
    </row>
    <row r="183" spans="1:13" ht="15.75" x14ac:dyDescent="0.25">
      <c r="A183" s="81"/>
      <c r="B183" s="82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7"/>
    </row>
    <row r="184" spans="1:13" ht="15.75" x14ac:dyDescent="0.25">
      <c r="A184" s="81"/>
      <c r="B184" s="82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7"/>
    </row>
    <row r="185" spans="1:13" ht="15.75" x14ac:dyDescent="0.25">
      <c r="A185" s="81"/>
      <c r="B185" s="82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7"/>
    </row>
    <row r="186" spans="1:13" ht="15.75" x14ac:dyDescent="0.25">
      <c r="A186" s="81"/>
      <c r="B186" s="82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7"/>
    </row>
    <row r="187" spans="1:13" ht="15.75" x14ac:dyDescent="0.25">
      <c r="A187" s="81"/>
      <c r="B187" s="82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7"/>
    </row>
    <row r="188" spans="1:13" ht="15.75" x14ac:dyDescent="0.25">
      <c r="A188" s="81"/>
      <c r="B188" s="82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7"/>
    </row>
    <row r="189" spans="1:13" ht="15.75" x14ac:dyDescent="0.25">
      <c r="A189" s="81"/>
      <c r="B189" s="82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7"/>
    </row>
    <row r="190" spans="1:13" ht="15.75" x14ac:dyDescent="0.25">
      <c r="A190" s="81"/>
      <c r="B190" s="82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7"/>
    </row>
    <row r="191" spans="1:13" ht="15.75" x14ac:dyDescent="0.25">
      <c r="A191" s="81"/>
      <c r="B191" s="82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7"/>
    </row>
    <row r="192" spans="1:13" ht="15.75" x14ac:dyDescent="0.25">
      <c r="A192" s="81"/>
      <c r="B192" s="82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7"/>
    </row>
    <row r="193" spans="1:13" ht="15.75" x14ac:dyDescent="0.25">
      <c r="A193" s="81"/>
      <c r="B193" s="82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7"/>
    </row>
    <row r="194" spans="1:13" ht="15.75" x14ac:dyDescent="0.25">
      <c r="A194" s="81"/>
      <c r="B194" s="82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7"/>
    </row>
    <row r="195" spans="1:13" ht="15.75" x14ac:dyDescent="0.25">
      <c r="A195" s="81"/>
      <c r="B195" s="82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7"/>
    </row>
    <row r="196" spans="1:13" ht="15.75" x14ac:dyDescent="0.25">
      <c r="A196" s="81"/>
      <c r="B196" s="82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7"/>
    </row>
    <row r="197" spans="1:13" ht="15.75" x14ac:dyDescent="0.25">
      <c r="A197" s="81"/>
      <c r="B197" s="82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7"/>
    </row>
    <row r="198" spans="1:13" ht="15.75" x14ac:dyDescent="0.25">
      <c r="A198" s="81"/>
      <c r="B198" s="82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7"/>
    </row>
    <row r="199" spans="1:13" ht="15.75" x14ac:dyDescent="0.25">
      <c r="A199" s="81"/>
      <c r="B199" s="82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7"/>
    </row>
    <row r="200" spans="1:13" ht="15.75" x14ac:dyDescent="0.25">
      <c r="A200" s="81"/>
      <c r="B200" s="82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7"/>
    </row>
    <row r="201" spans="1:13" ht="15.75" x14ac:dyDescent="0.25">
      <c r="A201" s="81"/>
      <c r="B201" s="82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7"/>
    </row>
    <row r="202" spans="1:13" ht="15.75" x14ac:dyDescent="0.25">
      <c r="A202" s="81"/>
      <c r="B202" s="82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7"/>
    </row>
    <row r="203" spans="1:13" ht="15.75" x14ac:dyDescent="0.25">
      <c r="A203" s="81"/>
      <c r="B203" s="82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7"/>
    </row>
    <row r="204" spans="1:13" ht="15.75" x14ac:dyDescent="0.25">
      <c r="A204" s="81"/>
      <c r="B204" s="82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7"/>
    </row>
    <row r="205" spans="1:13" ht="15.75" x14ac:dyDescent="0.25">
      <c r="A205" s="81"/>
      <c r="B205" s="82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7"/>
    </row>
    <row r="206" spans="1:13" ht="15.75" x14ac:dyDescent="0.25">
      <c r="A206" s="81"/>
      <c r="B206" s="82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7"/>
    </row>
    <row r="207" spans="1:13" ht="15.75" x14ac:dyDescent="0.25">
      <c r="A207" s="81"/>
      <c r="B207" s="82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7"/>
    </row>
    <row r="208" spans="1:13" ht="15.75" x14ac:dyDescent="0.25">
      <c r="A208" s="81"/>
      <c r="B208" s="82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7"/>
    </row>
    <row r="209" spans="1:13" ht="15.75" x14ac:dyDescent="0.25">
      <c r="A209" s="81"/>
      <c r="B209" s="82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7"/>
    </row>
    <row r="210" spans="1:13" ht="15.75" x14ac:dyDescent="0.25">
      <c r="A210" s="81"/>
      <c r="B210" s="82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7"/>
    </row>
    <row r="211" spans="1:13" ht="15.75" x14ac:dyDescent="0.25">
      <c r="A211" s="81"/>
      <c r="B211" s="82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7"/>
    </row>
    <row r="212" spans="1:13" ht="15.75" x14ac:dyDescent="0.25">
      <c r="A212" s="81"/>
      <c r="B212" s="82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7"/>
    </row>
    <row r="213" spans="1:13" ht="15.75" x14ac:dyDescent="0.25">
      <c r="A213" s="81"/>
      <c r="B213" s="82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7"/>
    </row>
    <row r="214" spans="1:13" ht="15.75" x14ac:dyDescent="0.25">
      <c r="A214" s="81"/>
      <c r="B214" s="82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7"/>
    </row>
    <row r="215" spans="1:13" ht="15.75" x14ac:dyDescent="0.25">
      <c r="A215" s="81"/>
      <c r="B215" s="82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7"/>
    </row>
    <row r="216" spans="1:13" ht="15.75" x14ac:dyDescent="0.25">
      <c r="A216" s="81"/>
      <c r="B216" s="82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7"/>
    </row>
    <row r="217" spans="1:13" ht="15.75" x14ac:dyDescent="0.25">
      <c r="A217" s="81"/>
      <c r="B217" s="82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7"/>
    </row>
    <row r="218" spans="1:13" ht="15.75" x14ac:dyDescent="0.25">
      <c r="A218" s="81"/>
      <c r="B218" s="82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7"/>
    </row>
    <row r="219" spans="1:13" ht="15.75" x14ac:dyDescent="0.25">
      <c r="A219" s="81"/>
      <c r="B219" s="82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7"/>
    </row>
    <row r="220" spans="1:13" ht="15.75" x14ac:dyDescent="0.25">
      <c r="A220" s="81"/>
      <c r="B220" s="82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7"/>
    </row>
    <row r="221" spans="1:13" ht="15.75" x14ac:dyDescent="0.25">
      <c r="A221" s="81"/>
      <c r="B221" s="82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7"/>
    </row>
    <row r="222" spans="1:13" ht="15.75" x14ac:dyDescent="0.25">
      <c r="A222" s="81"/>
      <c r="B222" s="82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7"/>
    </row>
    <row r="223" spans="1:13" ht="15.75" x14ac:dyDescent="0.25">
      <c r="A223" s="81"/>
      <c r="B223" s="82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7"/>
    </row>
    <row r="224" spans="1:13" ht="15.75" x14ac:dyDescent="0.25">
      <c r="A224" s="81"/>
      <c r="B224" s="82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7"/>
    </row>
    <row r="225" spans="1:13" ht="15.75" x14ac:dyDescent="0.25">
      <c r="A225" s="81"/>
      <c r="B225" s="82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7"/>
    </row>
    <row r="226" spans="1:13" ht="15.75" x14ac:dyDescent="0.25">
      <c r="A226" s="81"/>
      <c r="B226" s="82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7"/>
    </row>
    <row r="227" spans="1:13" ht="15.75" x14ac:dyDescent="0.25">
      <c r="A227" s="81"/>
      <c r="B227" s="82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7"/>
    </row>
    <row r="228" spans="1:13" ht="15.75" x14ac:dyDescent="0.25">
      <c r="A228" s="81"/>
      <c r="B228" s="82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7"/>
    </row>
    <row r="229" spans="1:13" ht="15.75" x14ac:dyDescent="0.25">
      <c r="A229" s="81"/>
      <c r="B229" s="82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7"/>
    </row>
    <row r="230" spans="1:13" ht="15.75" x14ac:dyDescent="0.25">
      <c r="A230" s="81"/>
      <c r="B230" s="82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7"/>
    </row>
    <row r="231" spans="1:13" ht="15.75" x14ac:dyDescent="0.25">
      <c r="A231" s="81"/>
      <c r="B231" s="82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7"/>
    </row>
    <row r="232" spans="1:13" ht="15.75" x14ac:dyDescent="0.25">
      <c r="A232" s="81"/>
      <c r="B232" s="82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7"/>
    </row>
    <row r="233" spans="1:13" ht="15.75" x14ac:dyDescent="0.25">
      <c r="A233" s="81"/>
      <c r="B233" s="82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7"/>
    </row>
    <row r="234" spans="1:13" ht="15.75" x14ac:dyDescent="0.25">
      <c r="A234" s="81"/>
      <c r="B234" s="82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7"/>
    </row>
    <row r="235" spans="1:13" ht="15.75" x14ac:dyDescent="0.25">
      <c r="A235" s="81"/>
      <c r="B235" s="82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7"/>
    </row>
    <row r="236" spans="1:13" ht="15.75" x14ac:dyDescent="0.25">
      <c r="A236" s="81"/>
      <c r="B236" s="82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7"/>
    </row>
    <row r="237" spans="1:13" ht="15.75" x14ac:dyDescent="0.25">
      <c r="A237" s="81"/>
      <c r="B237" s="82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7"/>
    </row>
    <row r="238" spans="1:13" ht="15.75" x14ac:dyDescent="0.25">
      <c r="A238" s="81"/>
      <c r="B238" s="82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7"/>
    </row>
    <row r="239" spans="1:13" ht="15.75" x14ac:dyDescent="0.25">
      <c r="A239" s="81"/>
      <c r="B239" s="82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7"/>
    </row>
    <row r="240" spans="1:13" ht="15.75" x14ac:dyDescent="0.25">
      <c r="A240" s="81"/>
      <c r="B240" s="82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7"/>
    </row>
    <row r="241" spans="1:13" ht="15.75" x14ac:dyDescent="0.25">
      <c r="A241" s="81"/>
      <c r="B241" s="82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7"/>
    </row>
    <row r="242" spans="1:13" ht="15.75" x14ac:dyDescent="0.25">
      <c r="A242" s="81"/>
      <c r="B242" s="82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7"/>
    </row>
    <row r="243" spans="1:13" ht="15.75" x14ac:dyDescent="0.25">
      <c r="A243" s="81"/>
      <c r="B243" s="82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7"/>
    </row>
    <row r="244" spans="1:13" ht="15.75" x14ac:dyDescent="0.25">
      <c r="A244" s="81"/>
      <c r="B244" s="82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7"/>
    </row>
    <row r="245" spans="1:13" ht="15.75" x14ac:dyDescent="0.25">
      <c r="A245" s="81"/>
      <c r="B245" s="82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7"/>
    </row>
    <row r="246" spans="1:13" ht="15.75" x14ac:dyDescent="0.25">
      <c r="A246" s="81"/>
      <c r="B246" s="82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7"/>
    </row>
    <row r="247" spans="1:13" ht="15.75" x14ac:dyDescent="0.25">
      <c r="A247" s="81"/>
      <c r="B247" s="82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7"/>
    </row>
    <row r="248" spans="1:13" ht="15.75" x14ac:dyDescent="0.25">
      <c r="A248" s="81"/>
      <c r="B248" s="82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7"/>
    </row>
    <row r="249" spans="1:13" ht="15.75" x14ac:dyDescent="0.25">
      <c r="A249" s="81"/>
      <c r="B249" s="82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7"/>
    </row>
    <row r="250" spans="1:13" ht="15.75" x14ac:dyDescent="0.25">
      <c r="A250" s="81"/>
      <c r="B250" s="82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7"/>
    </row>
    <row r="251" spans="1:13" ht="15.75" x14ac:dyDescent="0.25">
      <c r="A251" s="81"/>
      <c r="B251" s="82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7"/>
    </row>
    <row r="252" spans="1:13" ht="15.75" x14ac:dyDescent="0.25">
      <c r="A252" s="81"/>
      <c r="B252" s="82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7"/>
    </row>
    <row r="253" spans="1:13" ht="15.75" x14ac:dyDescent="0.25">
      <c r="A253" s="81"/>
      <c r="B253" s="82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7"/>
    </row>
    <row r="254" spans="1:13" ht="15.75" x14ac:dyDescent="0.25">
      <c r="A254" s="81"/>
      <c r="B254" s="82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7"/>
    </row>
    <row r="255" spans="1:13" ht="15.75" x14ac:dyDescent="0.25">
      <c r="A255" s="81"/>
      <c r="B255" s="82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7"/>
    </row>
    <row r="256" spans="1:13" ht="15.75" x14ac:dyDescent="0.25">
      <c r="A256" s="81"/>
      <c r="B256" s="82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7"/>
    </row>
    <row r="257" spans="1:13" ht="15.75" x14ac:dyDescent="0.25">
      <c r="A257" s="81"/>
      <c r="B257" s="82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7"/>
    </row>
    <row r="258" spans="1:13" ht="15.75" x14ac:dyDescent="0.25">
      <c r="A258" s="81"/>
      <c r="B258" s="82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7"/>
    </row>
    <row r="259" spans="1:13" ht="15.75" x14ac:dyDescent="0.25">
      <c r="A259" s="81"/>
      <c r="B259" s="82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7"/>
    </row>
    <row r="260" spans="1:13" ht="15.75" x14ac:dyDescent="0.25">
      <c r="A260" s="81"/>
      <c r="B260" s="82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7"/>
    </row>
    <row r="261" spans="1:13" ht="15.75" x14ac:dyDescent="0.25">
      <c r="A261" s="81"/>
      <c r="B261" s="82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7"/>
    </row>
    <row r="262" spans="1:13" ht="15.75" x14ac:dyDescent="0.25">
      <c r="A262" s="81"/>
      <c r="B262" s="82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7"/>
    </row>
    <row r="263" spans="1:13" ht="15.75" x14ac:dyDescent="0.25">
      <c r="A263" s="81"/>
      <c r="B263" s="82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7"/>
    </row>
    <row r="264" spans="1:13" ht="15.75" x14ac:dyDescent="0.25">
      <c r="A264" s="81"/>
      <c r="B264" s="82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7"/>
    </row>
    <row r="265" spans="1:13" ht="15.75" x14ac:dyDescent="0.25">
      <c r="A265" s="81"/>
      <c r="B265" s="82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7"/>
    </row>
    <row r="266" spans="1:13" ht="15.75" x14ac:dyDescent="0.25">
      <c r="A266" s="81"/>
      <c r="B266" s="82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7"/>
    </row>
    <row r="267" spans="1:13" ht="15.75" x14ac:dyDescent="0.25">
      <c r="A267" s="81"/>
      <c r="B267" s="82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7"/>
    </row>
    <row r="268" spans="1:13" ht="15.75" x14ac:dyDescent="0.25">
      <c r="A268" s="81"/>
      <c r="B268" s="82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7"/>
    </row>
    <row r="269" spans="1:13" ht="15.75" x14ac:dyDescent="0.25">
      <c r="A269" s="81"/>
      <c r="B269" s="82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7"/>
    </row>
    <row r="270" spans="1:13" ht="15.75" x14ac:dyDescent="0.25">
      <c r="A270" s="81"/>
      <c r="B270" s="82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7"/>
    </row>
    <row r="271" spans="1:13" ht="15.75" x14ac:dyDescent="0.25">
      <c r="A271" s="81"/>
      <c r="B271" s="82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7"/>
    </row>
    <row r="272" spans="1:13" ht="15.75" x14ac:dyDescent="0.25">
      <c r="A272" s="81"/>
      <c r="B272" s="82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7"/>
    </row>
    <row r="273" spans="1:13" ht="15.75" x14ac:dyDescent="0.25">
      <c r="A273" s="81"/>
      <c r="B273" s="82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7"/>
    </row>
    <row r="274" spans="1:13" ht="15.75" x14ac:dyDescent="0.25">
      <c r="A274" s="81"/>
      <c r="B274" s="82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7"/>
    </row>
    <row r="275" spans="1:13" ht="15.75" x14ac:dyDescent="0.25">
      <c r="A275" s="81"/>
      <c r="B275" s="82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7"/>
    </row>
    <row r="276" spans="1:13" ht="15.75" x14ac:dyDescent="0.25">
      <c r="A276" s="81"/>
      <c r="B276" s="82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7"/>
    </row>
    <row r="277" spans="1:13" ht="15.75" x14ac:dyDescent="0.25">
      <c r="A277" s="81"/>
      <c r="B277" s="82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7"/>
    </row>
    <row r="278" spans="1:13" ht="15.75" x14ac:dyDescent="0.25">
      <c r="A278" s="81"/>
      <c r="B278" s="82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7"/>
    </row>
    <row r="279" spans="1:13" ht="15.75" x14ac:dyDescent="0.25">
      <c r="A279" s="81"/>
      <c r="B279" s="82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7"/>
    </row>
    <row r="280" spans="1:13" ht="15.75" x14ac:dyDescent="0.25">
      <c r="A280" s="81"/>
      <c r="B280" s="82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7"/>
    </row>
    <row r="281" spans="1:13" ht="15.75" x14ac:dyDescent="0.25">
      <c r="A281" s="81"/>
      <c r="B281" s="82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7"/>
    </row>
    <row r="282" spans="1:13" ht="15.75" x14ac:dyDescent="0.25">
      <c r="A282" s="81"/>
      <c r="B282" s="82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7"/>
    </row>
    <row r="283" spans="1:13" ht="15.75" x14ac:dyDescent="0.25">
      <c r="A283" s="81"/>
      <c r="B283" s="82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7"/>
    </row>
    <row r="284" spans="1:13" ht="15.75" x14ac:dyDescent="0.25">
      <c r="A284" s="81"/>
      <c r="B284" s="82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7"/>
    </row>
    <row r="285" spans="1:13" ht="15.75" x14ac:dyDescent="0.25">
      <c r="A285" s="81"/>
      <c r="B285" s="82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7"/>
    </row>
    <row r="286" spans="1:13" ht="15.75" x14ac:dyDescent="0.25">
      <c r="A286" s="81"/>
      <c r="B286" s="82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7"/>
    </row>
    <row r="287" spans="1:13" ht="15.75" x14ac:dyDescent="0.25">
      <c r="A287" s="81"/>
      <c r="B287" s="82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7"/>
    </row>
    <row r="288" spans="1:13" ht="15.75" x14ac:dyDescent="0.25">
      <c r="A288" s="81"/>
      <c r="B288" s="82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7"/>
    </row>
    <row r="289" spans="1:13" ht="15.75" x14ac:dyDescent="0.25">
      <c r="A289" s="81"/>
      <c r="B289" s="82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7"/>
    </row>
    <row r="290" spans="1:13" ht="15.75" x14ac:dyDescent="0.25">
      <c r="A290" s="81"/>
      <c r="B290" s="82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7"/>
    </row>
    <row r="291" spans="1:13" ht="15.75" x14ac:dyDescent="0.25">
      <c r="A291" s="81"/>
      <c r="B291" s="82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7"/>
    </row>
    <row r="292" spans="1:13" ht="15.75" x14ac:dyDescent="0.25">
      <c r="A292" s="81"/>
      <c r="B292" s="82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7"/>
    </row>
    <row r="293" spans="1:13" ht="15.75" x14ac:dyDescent="0.25">
      <c r="A293" s="81"/>
      <c r="B293" s="82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7"/>
    </row>
    <row r="294" spans="1:13" ht="15.75" x14ac:dyDescent="0.25">
      <c r="A294" s="81"/>
      <c r="B294" s="82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7"/>
    </row>
    <row r="295" spans="1:13" ht="15.75" x14ac:dyDescent="0.25">
      <c r="A295" s="81"/>
      <c r="B295" s="82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7"/>
    </row>
    <row r="296" spans="1:13" ht="15.75" x14ac:dyDescent="0.25">
      <c r="A296" s="81"/>
      <c r="B296" s="82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7"/>
    </row>
    <row r="297" spans="1:13" ht="15.75" x14ac:dyDescent="0.25">
      <c r="A297" s="81"/>
      <c r="B297" s="82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7"/>
    </row>
    <row r="298" spans="1:13" ht="15.75" x14ac:dyDescent="0.25">
      <c r="A298" s="81"/>
      <c r="B298" s="82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7"/>
    </row>
    <row r="299" spans="1:13" ht="15.75" x14ac:dyDescent="0.25">
      <c r="A299" s="81"/>
      <c r="B299" s="82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7"/>
    </row>
    <row r="300" spans="1:13" ht="15.75" x14ac:dyDescent="0.25">
      <c r="A300" s="81"/>
      <c r="B300" s="82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7"/>
    </row>
    <row r="301" spans="1:13" ht="15.75" x14ac:dyDescent="0.25">
      <c r="A301" s="81"/>
      <c r="B301" s="82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7"/>
    </row>
    <row r="302" spans="1:13" ht="15.75" x14ac:dyDescent="0.25">
      <c r="A302" s="81"/>
      <c r="B302" s="82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7"/>
    </row>
    <row r="303" spans="1:13" ht="15.75" x14ac:dyDescent="0.25">
      <c r="A303" s="81"/>
      <c r="B303" s="82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7"/>
    </row>
    <row r="304" spans="1:13" ht="15.75" x14ac:dyDescent="0.25">
      <c r="A304" s="81"/>
      <c r="B304" s="82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7"/>
    </row>
    <row r="305" spans="1:13" ht="15.75" x14ac:dyDescent="0.25">
      <c r="A305" s="81"/>
      <c r="B305" s="82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7"/>
    </row>
    <row r="306" spans="1:13" ht="15.75" x14ac:dyDescent="0.25">
      <c r="A306" s="81"/>
      <c r="B306" s="82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7"/>
    </row>
    <row r="307" spans="1:13" ht="15.75" x14ac:dyDescent="0.25">
      <c r="A307" s="81"/>
      <c r="B307" s="82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7"/>
    </row>
    <row r="308" spans="1:13" ht="15.75" x14ac:dyDescent="0.25">
      <c r="A308" s="81"/>
      <c r="B308" s="82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7"/>
    </row>
    <row r="309" spans="1:13" ht="15.75" x14ac:dyDescent="0.25">
      <c r="A309" s="81"/>
      <c r="B309" s="82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7"/>
    </row>
    <row r="310" spans="1:13" ht="15.75" x14ac:dyDescent="0.25">
      <c r="A310" s="81"/>
      <c r="B310" s="82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7"/>
    </row>
    <row r="311" spans="1:13" ht="15.75" x14ac:dyDescent="0.25">
      <c r="A311" s="81"/>
      <c r="B311" s="82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7"/>
    </row>
    <row r="312" spans="1:13" ht="15.75" x14ac:dyDescent="0.25">
      <c r="A312" s="81"/>
      <c r="B312" s="82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7"/>
    </row>
    <row r="313" spans="1:13" ht="15.75" x14ac:dyDescent="0.25">
      <c r="A313" s="81"/>
      <c r="B313" s="82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7"/>
    </row>
    <row r="314" spans="1:13" ht="15.75" x14ac:dyDescent="0.25">
      <c r="A314" s="81"/>
      <c r="B314" s="82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7"/>
    </row>
    <row r="315" spans="1:13" ht="15.75" x14ac:dyDescent="0.25">
      <c r="A315" s="81"/>
      <c r="B315" s="82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7"/>
    </row>
    <row r="316" spans="1:13" ht="15.75" x14ac:dyDescent="0.25">
      <c r="A316" s="81"/>
      <c r="B316" s="82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7"/>
    </row>
    <row r="317" spans="1:13" ht="15.75" x14ac:dyDescent="0.25">
      <c r="A317" s="81"/>
      <c r="B317" s="82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7"/>
    </row>
    <row r="318" spans="1:13" ht="15.75" x14ac:dyDescent="0.25">
      <c r="A318" s="81"/>
      <c r="B318" s="82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7"/>
    </row>
    <row r="319" spans="1:13" ht="15.75" x14ac:dyDescent="0.25">
      <c r="A319" s="81"/>
      <c r="B319" s="82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7"/>
    </row>
    <row r="320" spans="1:13" ht="15.75" x14ac:dyDescent="0.25">
      <c r="A320" s="81"/>
      <c r="B320" s="82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7"/>
    </row>
    <row r="321" spans="1:13" ht="15.75" x14ac:dyDescent="0.25">
      <c r="A321" s="81"/>
      <c r="B321" s="82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7"/>
    </row>
    <row r="322" spans="1:13" ht="15.75" x14ac:dyDescent="0.25">
      <c r="A322" s="81"/>
      <c r="B322" s="82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7"/>
    </row>
    <row r="323" spans="1:13" ht="15.75" x14ac:dyDescent="0.25">
      <c r="A323" s="81"/>
      <c r="B323" s="82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7"/>
    </row>
    <row r="324" spans="1:13" ht="15.75" x14ac:dyDescent="0.25">
      <c r="A324" s="81"/>
      <c r="B324" s="82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7"/>
    </row>
    <row r="325" spans="1:13" ht="15.75" x14ac:dyDescent="0.25">
      <c r="A325" s="81"/>
      <c r="B325" s="82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7"/>
    </row>
    <row r="326" spans="1:13" ht="15.75" x14ac:dyDescent="0.25">
      <c r="A326" s="81"/>
      <c r="B326" s="82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7"/>
    </row>
    <row r="327" spans="1:13" ht="15.75" x14ac:dyDescent="0.25">
      <c r="A327" s="81"/>
      <c r="B327" s="82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7"/>
    </row>
    <row r="328" spans="1:13" ht="15.75" x14ac:dyDescent="0.25">
      <c r="A328" s="81"/>
      <c r="B328" s="82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7"/>
    </row>
    <row r="329" spans="1:13" ht="15.75" x14ac:dyDescent="0.25">
      <c r="A329" s="81"/>
      <c r="B329" s="82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7"/>
    </row>
    <row r="330" spans="1:13" ht="15.75" x14ac:dyDescent="0.25">
      <c r="A330" s="81"/>
      <c r="B330" s="82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7"/>
    </row>
    <row r="331" spans="1:13" ht="15.75" x14ac:dyDescent="0.25">
      <c r="A331" s="81"/>
      <c r="B331" s="82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7"/>
    </row>
    <row r="332" spans="1:13" ht="15.75" x14ac:dyDescent="0.25">
      <c r="A332" s="81"/>
      <c r="B332" s="82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7"/>
    </row>
    <row r="333" spans="1:13" ht="15.75" x14ac:dyDescent="0.25">
      <c r="A333" s="81"/>
      <c r="B333" s="82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7"/>
    </row>
    <row r="334" spans="1:13" ht="15.75" x14ac:dyDescent="0.25">
      <c r="A334" s="81"/>
      <c r="B334" s="82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7"/>
    </row>
    <row r="335" spans="1:13" ht="15.75" x14ac:dyDescent="0.25">
      <c r="A335" s="81"/>
      <c r="B335" s="82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7"/>
    </row>
    <row r="336" spans="1:13" ht="15.75" x14ac:dyDescent="0.25">
      <c r="A336" s="81"/>
      <c r="B336" s="82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7"/>
    </row>
    <row r="337" spans="1:13" ht="15.75" x14ac:dyDescent="0.25">
      <c r="A337" s="81"/>
      <c r="B337" s="82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7"/>
    </row>
    <row r="338" spans="1:13" ht="15.75" x14ac:dyDescent="0.25">
      <c r="A338" s="81"/>
      <c r="B338" s="82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7"/>
    </row>
    <row r="339" spans="1:13" ht="15.75" x14ac:dyDescent="0.25">
      <c r="A339" s="81"/>
      <c r="B339" s="82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7"/>
    </row>
    <row r="340" spans="1:13" ht="15.75" x14ac:dyDescent="0.25">
      <c r="A340" s="81"/>
      <c r="B340" s="82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7"/>
    </row>
    <row r="341" spans="1:13" ht="15.75" x14ac:dyDescent="0.25">
      <c r="A341" s="81"/>
      <c r="B341" s="82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7"/>
    </row>
    <row r="342" spans="1:13" ht="15.75" x14ac:dyDescent="0.25">
      <c r="A342" s="81"/>
      <c r="B342" s="82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7"/>
    </row>
    <row r="343" spans="1:13" ht="15.75" x14ac:dyDescent="0.25">
      <c r="A343" s="81"/>
      <c r="B343" s="82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7"/>
    </row>
    <row r="344" spans="1:13" ht="15.75" x14ac:dyDescent="0.25">
      <c r="A344" s="81"/>
      <c r="B344" s="82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7"/>
    </row>
    <row r="345" spans="1:13" ht="15.75" x14ac:dyDescent="0.25">
      <c r="A345" s="81"/>
      <c r="B345" s="82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7"/>
    </row>
    <row r="346" spans="1:13" ht="15.75" x14ac:dyDescent="0.25">
      <c r="A346" s="81"/>
      <c r="B346" s="82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7"/>
    </row>
    <row r="347" spans="1:13" ht="15.75" x14ac:dyDescent="0.25">
      <c r="A347" s="81"/>
      <c r="B347" s="82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7"/>
    </row>
    <row r="348" spans="1:13" ht="15.75" x14ac:dyDescent="0.25">
      <c r="A348" s="81"/>
      <c r="B348" s="82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7"/>
    </row>
    <row r="349" spans="1:13" ht="15.75" x14ac:dyDescent="0.25">
      <c r="A349" s="81"/>
      <c r="B349" s="82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7"/>
    </row>
    <row r="350" spans="1:13" ht="15.75" x14ac:dyDescent="0.25">
      <c r="A350" s="81"/>
      <c r="B350" s="82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7"/>
    </row>
    <row r="351" spans="1:13" ht="15.75" x14ac:dyDescent="0.25">
      <c r="A351" s="81"/>
      <c r="B351" s="82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7"/>
    </row>
    <row r="352" spans="1:13" ht="15.75" x14ac:dyDescent="0.25">
      <c r="A352" s="81"/>
      <c r="B352" s="82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7"/>
    </row>
    <row r="353" spans="1:13" ht="15.75" x14ac:dyDescent="0.25">
      <c r="A353" s="81"/>
      <c r="B353" s="82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7"/>
    </row>
    <row r="354" spans="1:13" ht="15.75" x14ac:dyDescent="0.25">
      <c r="A354" s="81"/>
      <c r="B354" s="82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7"/>
    </row>
    <row r="355" spans="1:13" ht="15.75" x14ac:dyDescent="0.25">
      <c r="A355" s="81"/>
      <c r="B355" s="82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7"/>
    </row>
    <row r="356" spans="1:13" ht="15.75" x14ac:dyDescent="0.25">
      <c r="A356" s="81"/>
      <c r="B356" s="82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7"/>
    </row>
    <row r="357" spans="1:13" ht="15.75" x14ac:dyDescent="0.25">
      <c r="A357" s="81"/>
      <c r="B357" s="82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7"/>
    </row>
    <row r="358" spans="1:13" ht="15.75" x14ac:dyDescent="0.25">
      <c r="A358" s="81"/>
      <c r="B358" s="82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7"/>
    </row>
    <row r="359" spans="1:13" ht="15.75" x14ac:dyDescent="0.25">
      <c r="A359" s="81"/>
      <c r="B359" s="82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7"/>
    </row>
    <row r="360" spans="1:13" ht="15.75" x14ac:dyDescent="0.25">
      <c r="A360" s="81"/>
      <c r="B360" s="82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7"/>
    </row>
    <row r="361" spans="1:13" ht="15.75" x14ac:dyDescent="0.25">
      <c r="A361" s="81"/>
      <c r="B361" s="82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7"/>
    </row>
    <row r="362" spans="1:13" ht="15.75" x14ac:dyDescent="0.25">
      <c r="A362" s="81"/>
      <c r="B362" s="82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7"/>
    </row>
    <row r="363" spans="1:13" ht="15.75" x14ac:dyDescent="0.25">
      <c r="A363" s="81"/>
      <c r="B363" s="82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7"/>
    </row>
    <row r="364" spans="1:13" ht="15.75" x14ac:dyDescent="0.25">
      <c r="A364" s="81"/>
      <c r="B364" s="82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7"/>
    </row>
    <row r="365" spans="1:13" ht="15.75" x14ac:dyDescent="0.25">
      <c r="A365" s="81"/>
      <c r="B365" s="82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7"/>
    </row>
    <row r="366" spans="1:13" ht="15.75" x14ac:dyDescent="0.25">
      <c r="A366" s="81"/>
      <c r="B366" s="82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7"/>
    </row>
    <row r="367" spans="1:13" ht="15.75" x14ac:dyDescent="0.25">
      <c r="A367" s="81"/>
      <c r="B367" s="82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7"/>
    </row>
    <row r="368" spans="1:13" ht="15.75" x14ac:dyDescent="0.25">
      <c r="A368" s="81"/>
      <c r="B368" s="82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7"/>
    </row>
    <row r="369" spans="1:13" ht="15.75" x14ac:dyDescent="0.25">
      <c r="A369" s="81"/>
      <c r="B369" s="82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7"/>
    </row>
    <row r="370" spans="1:13" ht="15.75" x14ac:dyDescent="0.25">
      <c r="A370" s="81"/>
      <c r="B370" s="82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7"/>
    </row>
    <row r="371" spans="1:13" ht="15.75" x14ac:dyDescent="0.25">
      <c r="A371" s="81"/>
      <c r="B371" s="82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7"/>
    </row>
    <row r="372" spans="1:13" ht="15.75" x14ac:dyDescent="0.25">
      <c r="A372" s="81"/>
      <c r="B372" s="82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7"/>
    </row>
    <row r="373" spans="1:13" ht="15.75" x14ac:dyDescent="0.25">
      <c r="A373" s="81"/>
      <c r="B373" s="82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7"/>
    </row>
    <row r="374" spans="1:13" ht="15.75" x14ac:dyDescent="0.25">
      <c r="A374" s="81"/>
      <c r="B374" s="82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7"/>
    </row>
    <row r="375" spans="1:13" ht="15.75" x14ac:dyDescent="0.25">
      <c r="A375" s="81"/>
      <c r="B375" s="82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7"/>
    </row>
    <row r="376" spans="1:13" ht="15.75" x14ac:dyDescent="0.25">
      <c r="A376" s="81"/>
      <c r="B376" s="82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7"/>
    </row>
    <row r="377" spans="1:13" ht="15.75" x14ac:dyDescent="0.25">
      <c r="A377" s="81"/>
      <c r="B377" s="82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7"/>
    </row>
    <row r="378" spans="1:13" ht="15.75" x14ac:dyDescent="0.25">
      <c r="A378" s="81"/>
      <c r="B378" s="82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7"/>
    </row>
    <row r="379" spans="1:13" ht="15.75" x14ac:dyDescent="0.25">
      <c r="A379" s="81"/>
      <c r="B379" s="82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7"/>
    </row>
    <row r="380" spans="1:13" ht="15.75" x14ac:dyDescent="0.25">
      <c r="A380" s="81"/>
      <c r="B380" s="82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7"/>
    </row>
    <row r="381" spans="1:13" ht="15.75" x14ac:dyDescent="0.25">
      <c r="A381" s="81"/>
      <c r="B381" s="82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7"/>
    </row>
    <row r="382" spans="1:13" ht="15.75" x14ac:dyDescent="0.25">
      <c r="A382" s="81"/>
      <c r="B382" s="82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7"/>
    </row>
    <row r="383" spans="1:13" ht="15.75" x14ac:dyDescent="0.25">
      <c r="A383" s="81"/>
      <c r="B383" s="82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7"/>
    </row>
    <row r="384" spans="1:13" ht="15.75" x14ac:dyDescent="0.25">
      <c r="A384" s="81"/>
      <c r="B384" s="82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7"/>
    </row>
    <row r="385" spans="1:13" ht="15.75" x14ac:dyDescent="0.25">
      <c r="A385" s="81"/>
      <c r="B385" s="82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7"/>
    </row>
    <row r="386" spans="1:13" ht="15.75" x14ac:dyDescent="0.25">
      <c r="A386" s="81"/>
      <c r="B386" s="82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7"/>
    </row>
    <row r="387" spans="1:13" ht="15.75" x14ac:dyDescent="0.25">
      <c r="A387" s="81"/>
      <c r="B387" s="82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7"/>
    </row>
    <row r="388" spans="1:13" ht="15.75" x14ac:dyDescent="0.25">
      <c r="A388" s="81"/>
      <c r="B388" s="82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7"/>
    </row>
    <row r="389" spans="1:13" ht="15.75" x14ac:dyDescent="0.25">
      <c r="A389" s="81"/>
      <c r="B389" s="82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7"/>
    </row>
    <row r="390" spans="1:13" ht="15.75" x14ac:dyDescent="0.25">
      <c r="A390" s="81"/>
      <c r="B390" s="82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7"/>
    </row>
    <row r="391" spans="1:13" ht="15.75" x14ac:dyDescent="0.25">
      <c r="A391" s="81"/>
      <c r="B391" s="82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7"/>
    </row>
    <row r="392" spans="1:13" ht="15.75" x14ac:dyDescent="0.25">
      <c r="A392" s="81"/>
      <c r="B392" s="82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7"/>
    </row>
    <row r="393" spans="1:13" ht="15.75" x14ac:dyDescent="0.25">
      <c r="A393" s="81"/>
      <c r="B393" s="82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7"/>
    </row>
    <row r="394" spans="1:13" ht="15.75" x14ac:dyDescent="0.25">
      <c r="A394" s="81"/>
      <c r="B394" s="82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7"/>
    </row>
    <row r="395" spans="1:13" ht="15.75" x14ac:dyDescent="0.25">
      <c r="A395" s="81"/>
      <c r="B395" s="82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7"/>
    </row>
    <row r="396" spans="1:13" ht="15.75" x14ac:dyDescent="0.25">
      <c r="A396" s="81"/>
      <c r="B396" s="82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7"/>
    </row>
    <row r="397" spans="1:13" ht="15.75" x14ac:dyDescent="0.25">
      <c r="A397" s="81"/>
      <c r="B397" s="82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7"/>
    </row>
    <row r="398" spans="1:13" ht="15.75" x14ac:dyDescent="0.25">
      <c r="A398" s="81"/>
      <c r="B398" s="82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7"/>
    </row>
    <row r="399" spans="1:13" ht="15.75" x14ac:dyDescent="0.25">
      <c r="A399" s="81"/>
      <c r="B399" s="82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7"/>
    </row>
    <row r="400" spans="1:13" ht="15.75" x14ac:dyDescent="0.25">
      <c r="A400" s="81"/>
      <c r="B400" s="82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7"/>
    </row>
    <row r="401" spans="1:13" ht="15.75" x14ac:dyDescent="0.25">
      <c r="A401" s="81"/>
      <c r="B401" s="82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7"/>
    </row>
    <row r="402" spans="1:13" ht="15.75" x14ac:dyDescent="0.25">
      <c r="A402" s="81"/>
      <c r="B402" s="82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7"/>
    </row>
    <row r="403" spans="1:13" ht="15.75" x14ac:dyDescent="0.25">
      <c r="A403" s="81"/>
      <c r="B403" s="82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7"/>
    </row>
    <row r="404" spans="1:13" ht="15.75" x14ac:dyDescent="0.25">
      <c r="A404" s="81"/>
      <c r="B404" s="82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7"/>
    </row>
    <row r="405" spans="1:13" ht="15.75" x14ac:dyDescent="0.25">
      <c r="A405" s="81"/>
      <c r="B405" s="82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7"/>
    </row>
    <row r="406" spans="1:13" ht="15.75" x14ac:dyDescent="0.25">
      <c r="A406" s="81"/>
      <c r="B406" s="82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7"/>
    </row>
    <row r="407" spans="1:13" ht="15.75" x14ac:dyDescent="0.25">
      <c r="A407" s="81"/>
      <c r="B407" s="82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7"/>
    </row>
    <row r="408" spans="1:13" ht="15.75" x14ac:dyDescent="0.25">
      <c r="A408" s="81"/>
      <c r="B408" s="82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7"/>
    </row>
    <row r="409" spans="1:13" ht="15.75" x14ac:dyDescent="0.25">
      <c r="A409" s="81"/>
      <c r="B409" s="82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7"/>
    </row>
    <row r="410" spans="1:13" ht="15.75" x14ac:dyDescent="0.25">
      <c r="A410" s="81"/>
      <c r="B410" s="82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7"/>
    </row>
    <row r="411" spans="1:13" ht="15.75" x14ac:dyDescent="0.25">
      <c r="A411" s="81"/>
      <c r="B411" s="82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7"/>
    </row>
    <row r="412" spans="1:13" ht="15.75" x14ac:dyDescent="0.25">
      <c r="A412" s="81"/>
      <c r="B412" s="82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7"/>
    </row>
    <row r="413" spans="1:13" ht="15.75" x14ac:dyDescent="0.25">
      <c r="A413" s="81"/>
      <c r="B413" s="82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7"/>
    </row>
    <row r="414" spans="1:13" ht="15.75" x14ac:dyDescent="0.25">
      <c r="A414" s="81"/>
      <c r="B414" s="82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7"/>
    </row>
    <row r="415" spans="1:13" ht="15.75" x14ac:dyDescent="0.25">
      <c r="A415" s="81"/>
      <c r="B415" s="82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7"/>
    </row>
    <row r="416" spans="1:13" ht="15.75" x14ac:dyDescent="0.25">
      <c r="A416" s="81"/>
      <c r="B416" s="82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7"/>
    </row>
    <row r="417" spans="1:13" ht="15.75" x14ac:dyDescent="0.25">
      <c r="A417" s="81"/>
      <c r="B417" s="82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7"/>
    </row>
    <row r="418" spans="1:13" ht="15.75" x14ac:dyDescent="0.25">
      <c r="A418" s="81"/>
      <c r="B418" s="82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7"/>
    </row>
    <row r="419" spans="1:13" ht="15.75" x14ac:dyDescent="0.25">
      <c r="A419" s="81"/>
      <c r="B419" s="82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7"/>
    </row>
    <row r="420" spans="1:13" ht="15.75" x14ac:dyDescent="0.25">
      <c r="A420" s="81"/>
      <c r="B420" s="82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7"/>
    </row>
    <row r="421" spans="1:13" ht="15.75" x14ac:dyDescent="0.25">
      <c r="A421" s="81"/>
      <c r="B421" s="82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7"/>
    </row>
    <row r="422" spans="1:13" ht="15.75" x14ac:dyDescent="0.25">
      <c r="A422" s="81"/>
      <c r="B422" s="82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7"/>
    </row>
    <row r="423" spans="1:13" ht="15.75" x14ac:dyDescent="0.25">
      <c r="A423" s="81"/>
      <c r="B423" s="82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7"/>
    </row>
    <row r="424" spans="1:13" ht="15.75" x14ac:dyDescent="0.25">
      <c r="A424" s="81"/>
      <c r="B424" s="82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7"/>
    </row>
    <row r="425" spans="1:13" ht="15.75" x14ac:dyDescent="0.25">
      <c r="A425" s="81"/>
      <c r="B425" s="82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7"/>
    </row>
    <row r="426" spans="1:13" ht="15.75" x14ac:dyDescent="0.25">
      <c r="A426" s="81"/>
      <c r="B426" s="82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7"/>
    </row>
    <row r="427" spans="1:13" ht="15.75" x14ac:dyDescent="0.25">
      <c r="A427" s="81"/>
      <c r="B427" s="82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7"/>
    </row>
    <row r="428" spans="1:13" ht="15.75" x14ac:dyDescent="0.25">
      <c r="A428" s="81"/>
      <c r="B428" s="82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7"/>
    </row>
    <row r="429" spans="1:13" ht="15.75" x14ac:dyDescent="0.25">
      <c r="A429" s="81"/>
      <c r="B429" s="82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7"/>
    </row>
    <row r="430" spans="1:13" ht="15.75" x14ac:dyDescent="0.25">
      <c r="A430" s="81"/>
      <c r="B430" s="82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7"/>
    </row>
    <row r="431" spans="1:13" ht="15.75" x14ac:dyDescent="0.25">
      <c r="A431" s="81"/>
      <c r="B431" s="82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7"/>
    </row>
    <row r="432" spans="1:13" ht="15.75" x14ac:dyDescent="0.25">
      <c r="A432" s="81"/>
      <c r="B432" s="82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7"/>
    </row>
    <row r="433" spans="1:13" ht="15.75" x14ac:dyDescent="0.25">
      <c r="A433" s="81"/>
      <c r="B433" s="82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7"/>
    </row>
    <row r="434" spans="1:13" ht="15.75" x14ac:dyDescent="0.25">
      <c r="A434" s="81"/>
      <c r="B434" s="82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7"/>
    </row>
    <row r="435" spans="1:13" ht="15.75" x14ac:dyDescent="0.25">
      <c r="A435" s="81"/>
      <c r="B435" s="82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7"/>
    </row>
    <row r="436" spans="1:13" ht="15.75" x14ac:dyDescent="0.25">
      <c r="A436" s="81"/>
      <c r="B436" s="82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7"/>
    </row>
    <row r="437" spans="1:13" ht="15.75" x14ac:dyDescent="0.25">
      <c r="A437" s="81"/>
      <c r="B437" s="82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7"/>
    </row>
    <row r="438" spans="1:13" ht="15.75" x14ac:dyDescent="0.25">
      <c r="A438" s="81"/>
      <c r="B438" s="82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7"/>
    </row>
    <row r="439" spans="1:13" ht="15.75" x14ac:dyDescent="0.25">
      <c r="A439" s="81"/>
      <c r="B439" s="82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7"/>
    </row>
    <row r="440" spans="1:13" ht="15.75" x14ac:dyDescent="0.25">
      <c r="A440" s="81"/>
      <c r="B440" s="82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7"/>
    </row>
    <row r="441" spans="1:13" ht="15.75" x14ac:dyDescent="0.25">
      <c r="A441" s="81"/>
      <c r="B441" s="82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7"/>
    </row>
    <row r="442" spans="1:13" ht="15.75" x14ac:dyDescent="0.25">
      <c r="A442" s="81"/>
      <c r="B442" s="82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7"/>
    </row>
    <row r="443" spans="1:13" ht="15.75" x14ac:dyDescent="0.25">
      <c r="A443" s="81"/>
      <c r="B443" s="82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7"/>
    </row>
    <row r="444" spans="1:13" ht="15.75" x14ac:dyDescent="0.25">
      <c r="A444" s="81"/>
      <c r="B444" s="82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7"/>
    </row>
    <row r="445" spans="1:13" ht="15.75" x14ac:dyDescent="0.25">
      <c r="A445" s="81"/>
      <c r="B445" s="82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7"/>
    </row>
    <row r="446" spans="1:13" ht="15.75" x14ac:dyDescent="0.25">
      <c r="A446" s="81"/>
      <c r="B446" s="82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7"/>
    </row>
    <row r="447" spans="1:13" ht="15.75" x14ac:dyDescent="0.25">
      <c r="A447" s="81"/>
      <c r="B447" s="82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7"/>
    </row>
    <row r="448" spans="1:13" ht="15.75" x14ac:dyDescent="0.25">
      <c r="A448" s="81"/>
      <c r="B448" s="82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7"/>
    </row>
    <row r="449" spans="1:13" ht="15.75" x14ac:dyDescent="0.25">
      <c r="A449" s="81"/>
      <c r="B449" s="82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7"/>
    </row>
    <row r="450" spans="1:13" ht="15.75" x14ac:dyDescent="0.25">
      <c r="A450" s="81"/>
      <c r="B450" s="82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7"/>
    </row>
    <row r="451" spans="1:13" ht="15.75" x14ac:dyDescent="0.25">
      <c r="A451" s="81"/>
      <c r="B451" s="82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7"/>
    </row>
    <row r="452" spans="1:13" ht="15.75" x14ac:dyDescent="0.25">
      <c r="A452" s="81"/>
      <c r="B452" s="82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7"/>
    </row>
    <row r="453" spans="1:13" ht="15.75" x14ac:dyDescent="0.25">
      <c r="A453" s="81"/>
      <c r="B453" s="82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7"/>
    </row>
    <row r="454" spans="1:13" ht="15.75" x14ac:dyDescent="0.25">
      <c r="A454" s="81"/>
      <c r="B454" s="82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7"/>
    </row>
    <row r="455" spans="1:13" ht="15.75" x14ac:dyDescent="0.25">
      <c r="A455" s="81"/>
      <c r="B455" s="82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7"/>
    </row>
    <row r="456" spans="1:13" ht="15.75" x14ac:dyDescent="0.25">
      <c r="A456" s="81"/>
      <c r="B456" s="82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7"/>
    </row>
    <row r="457" spans="1:13" ht="15.75" x14ac:dyDescent="0.25">
      <c r="A457" s="81"/>
      <c r="B457" s="82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7"/>
    </row>
    <row r="458" spans="1:13" ht="15.75" x14ac:dyDescent="0.25">
      <c r="A458" s="81"/>
      <c r="B458" s="82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7"/>
    </row>
    <row r="459" spans="1:13" ht="15.75" x14ac:dyDescent="0.25">
      <c r="A459" s="81"/>
      <c r="B459" s="82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7"/>
    </row>
    <row r="460" spans="1:13" ht="15.75" x14ac:dyDescent="0.25">
      <c r="A460" s="81"/>
      <c r="B460" s="82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7"/>
    </row>
    <row r="461" spans="1:13" ht="15.75" x14ac:dyDescent="0.25">
      <c r="A461" s="81"/>
      <c r="B461" s="82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7"/>
    </row>
    <row r="462" spans="1:13" ht="15.75" x14ac:dyDescent="0.25">
      <c r="A462" s="81"/>
      <c r="B462" s="82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7"/>
    </row>
    <row r="463" spans="1:13" ht="15.75" x14ac:dyDescent="0.25">
      <c r="A463" s="81"/>
      <c r="B463" s="82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7"/>
    </row>
    <row r="464" spans="1:13" ht="15.75" x14ac:dyDescent="0.25">
      <c r="A464" s="81"/>
      <c r="B464" s="82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7"/>
    </row>
    <row r="465" spans="1:13" ht="15.75" x14ac:dyDescent="0.25">
      <c r="A465" s="81"/>
      <c r="B465" s="82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7"/>
    </row>
    <row r="466" spans="1:13" ht="15.75" x14ac:dyDescent="0.25">
      <c r="A466" s="81"/>
      <c r="B466" s="82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7"/>
    </row>
    <row r="467" spans="1:13" ht="15.75" x14ac:dyDescent="0.25">
      <c r="A467" s="81"/>
      <c r="B467" s="82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7"/>
    </row>
    <row r="468" spans="1:13" ht="15.75" x14ac:dyDescent="0.25">
      <c r="A468" s="81"/>
      <c r="B468" s="82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7"/>
    </row>
    <row r="469" spans="1:13" ht="15.75" x14ac:dyDescent="0.25">
      <c r="A469" s="81"/>
      <c r="B469" s="82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7"/>
    </row>
    <row r="470" spans="1:13" ht="15.75" x14ac:dyDescent="0.25">
      <c r="A470" s="81"/>
      <c r="B470" s="82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7"/>
    </row>
    <row r="471" spans="1:13" ht="15.75" x14ac:dyDescent="0.25">
      <c r="A471" s="81"/>
      <c r="B471" s="82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7"/>
    </row>
    <row r="472" spans="1:13" ht="15.75" x14ac:dyDescent="0.25">
      <c r="A472" s="81"/>
      <c r="B472" s="82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7"/>
    </row>
    <row r="473" spans="1:13" ht="15.75" x14ac:dyDescent="0.25">
      <c r="A473" s="81"/>
      <c r="B473" s="82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7"/>
    </row>
    <row r="474" spans="1:13" ht="15.75" x14ac:dyDescent="0.25">
      <c r="A474" s="81"/>
      <c r="B474" s="82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7"/>
    </row>
    <row r="475" spans="1:13" ht="15.75" x14ac:dyDescent="0.25">
      <c r="A475" s="81"/>
      <c r="B475" s="82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7"/>
    </row>
    <row r="476" spans="1:13" ht="15.75" x14ac:dyDescent="0.25">
      <c r="A476" s="81"/>
      <c r="B476" s="82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7"/>
    </row>
    <row r="477" spans="1:13" ht="15.75" x14ac:dyDescent="0.25">
      <c r="A477" s="81"/>
      <c r="B477" s="82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7"/>
    </row>
    <row r="478" spans="1:13" ht="15.75" x14ac:dyDescent="0.25">
      <c r="A478" s="81"/>
      <c r="B478" s="82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7"/>
    </row>
    <row r="479" spans="1:13" ht="15.75" x14ac:dyDescent="0.25">
      <c r="A479" s="81"/>
      <c r="B479" s="82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7"/>
    </row>
    <row r="480" spans="1:13" ht="15.75" x14ac:dyDescent="0.25">
      <c r="A480" s="81"/>
      <c r="B480" s="82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7"/>
    </row>
    <row r="481" spans="1:13" ht="15.75" x14ac:dyDescent="0.25">
      <c r="A481" s="81"/>
      <c r="B481" s="82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7"/>
    </row>
    <row r="482" spans="1:13" ht="15.75" x14ac:dyDescent="0.25">
      <c r="A482" s="81"/>
      <c r="B482" s="82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7"/>
    </row>
    <row r="483" spans="1:13" ht="15.75" x14ac:dyDescent="0.25">
      <c r="A483" s="81"/>
      <c r="B483" s="82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7"/>
    </row>
    <row r="484" spans="1:13" ht="15.75" x14ac:dyDescent="0.25">
      <c r="A484" s="81"/>
      <c r="B484" s="82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7"/>
    </row>
    <row r="485" spans="1:13" ht="15.75" x14ac:dyDescent="0.25">
      <c r="A485" s="81"/>
      <c r="B485" s="82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7"/>
    </row>
    <row r="486" spans="1:13" ht="15.75" x14ac:dyDescent="0.25">
      <c r="A486" s="81"/>
      <c r="B486" s="82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7"/>
    </row>
    <row r="487" spans="1:13" ht="15.75" x14ac:dyDescent="0.25">
      <c r="A487" s="81"/>
      <c r="B487" s="82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7"/>
    </row>
    <row r="488" spans="1:13" ht="15.75" x14ac:dyDescent="0.25">
      <c r="A488" s="81"/>
      <c r="B488" s="82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7"/>
    </row>
    <row r="489" spans="1:13" ht="15.75" x14ac:dyDescent="0.25">
      <c r="A489" s="81"/>
      <c r="B489" s="82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7"/>
    </row>
    <row r="490" spans="1:13" ht="15.75" x14ac:dyDescent="0.25">
      <c r="A490" s="81"/>
      <c r="B490" s="82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7"/>
    </row>
    <row r="491" spans="1:13" ht="15.75" x14ac:dyDescent="0.25">
      <c r="A491" s="81"/>
      <c r="B491" s="82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7"/>
    </row>
    <row r="492" spans="1:13" ht="15.75" x14ac:dyDescent="0.25">
      <c r="A492" s="81"/>
      <c r="B492" s="82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7"/>
    </row>
    <row r="493" spans="1:13" ht="15.75" x14ac:dyDescent="0.25">
      <c r="A493" s="81"/>
      <c r="B493" s="82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7"/>
    </row>
    <row r="494" spans="1:13" ht="15.75" x14ac:dyDescent="0.25">
      <c r="A494" s="81"/>
      <c r="B494" s="82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7"/>
    </row>
    <row r="495" spans="1:13" ht="15.75" x14ac:dyDescent="0.25">
      <c r="A495" s="81"/>
      <c r="B495" s="82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7"/>
    </row>
    <row r="496" spans="1:13" ht="15.75" x14ac:dyDescent="0.25">
      <c r="A496" s="81"/>
      <c r="B496" s="82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7"/>
    </row>
    <row r="497" spans="1:13" ht="15.75" x14ac:dyDescent="0.25">
      <c r="A497" s="81"/>
      <c r="B497" s="82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7"/>
    </row>
    <row r="498" spans="1:13" ht="15.75" x14ac:dyDescent="0.25">
      <c r="A498" s="81"/>
      <c r="B498" s="82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7"/>
    </row>
    <row r="499" spans="1:13" ht="15.75" x14ac:dyDescent="0.25">
      <c r="A499" s="81"/>
      <c r="B499" s="82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7"/>
    </row>
    <row r="500" spans="1:13" ht="15.75" x14ac:dyDescent="0.25">
      <c r="A500" s="81"/>
      <c r="B500" s="82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7"/>
    </row>
    <row r="501" spans="1:13" ht="15.75" x14ac:dyDescent="0.25">
      <c r="A501" s="81"/>
      <c r="B501" s="82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7"/>
    </row>
    <row r="502" spans="1:13" ht="15.75" x14ac:dyDescent="0.25">
      <c r="A502" s="81"/>
      <c r="B502" s="82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7"/>
    </row>
    <row r="503" spans="1:13" ht="15.75" x14ac:dyDescent="0.25">
      <c r="A503" s="81"/>
      <c r="B503" s="82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7"/>
    </row>
    <row r="504" spans="1:13" ht="15.75" x14ac:dyDescent="0.25">
      <c r="A504" s="81"/>
      <c r="B504" s="82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7"/>
    </row>
    <row r="505" spans="1:13" ht="15.75" x14ac:dyDescent="0.25">
      <c r="A505" s="81"/>
      <c r="B505" s="82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7"/>
    </row>
    <row r="506" spans="1:13" ht="15.75" x14ac:dyDescent="0.25">
      <c r="A506" s="81"/>
      <c r="B506" s="82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7"/>
    </row>
    <row r="507" spans="1:13" ht="15.75" x14ac:dyDescent="0.25">
      <c r="A507" s="81"/>
      <c r="B507" s="82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7"/>
    </row>
    <row r="508" spans="1:13" ht="15.75" x14ac:dyDescent="0.25">
      <c r="A508" s="81"/>
      <c r="B508" s="82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7"/>
    </row>
    <row r="509" spans="1:13" ht="15.75" x14ac:dyDescent="0.25">
      <c r="A509" s="81"/>
      <c r="B509" s="82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7"/>
    </row>
    <row r="510" spans="1:13" ht="15.75" x14ac:dyDescent="0.25">
      <c r="A510" s="81"/>
      <c r="B510" s="82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7"/>
    </row>
    <row r="511" spans="1:13" ht="15.75" x14ac:dyDescent="0.25">
      <c r="A511" s="81"/>
      <c r="B511" s="82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7"/>
    </row>
    <row r="512" spans="1:13" ht="15.75" x14ac:dyDescent="0.25">
      <c r="A512" s="81"/>
      <c r="B512" s="82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7"/>
    </row>
    <row r="513" spans="1:13" ht="15.75" x14ac:dyDescent="0.25">
      <c r="A513" s="81"/>
      <c r="B513" s="82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7"/>
    </row>
    <row r="514" spans="1:13" ht="15.75" x14ac:dyDescent="0.25">
      <c r="A514" s="81"/>
      <c r="B514" s="82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7"/>
    </row>
    <row r="515" spans="1:13" ht="15.75" x14ac:dyDescent="0.25">
      <c r="A515" s="81"/>
      <c r="B515" s="82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7"/>
    </row>
    <row r="516" spans="1:13" ht="15.75" x14ac:dyDescent="0.25">
      <c r="A516" s="81"/>
      <c r="B516" s="82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7"/>
    </row>
    <row r="517" spans="1:13" ht="15.75" x14ac:dyDescent="0.25">
      <c r="A517" s="81"/>
      <c r="B517" s="82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7"/>
    </row>
    <row r="518" spans="1:13" ht="15.75" x14ac:dyDescent="0.25">
      <c r="A518" s="81"/>
      <c r="B518" s="82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7"/>
    </row>
    <row r="519" spans="1:13" ht="15.75" x14ac:dyDescent="0.25">
      <c r="A519" s="81"/>
      <c r="B519" s="82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7"/>
    </row>
    <row r="520" spans="1:13" ht="15.75" x14ac:dyDescent="0.25">
      <c r="A520" s="81"/>
      <c r="B520" s="82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7"/>
    </row>
    <row r="521" spans="1:13" ht="15.75" x14ac:dyDescent="0.25">
      <c r="A521" s="81"/>
      <c r="B521" s="82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7"/>
    </row>
    <row r="522" spans="1:13" ht="15.75" x14ac:dyDescent="0.25">
      <c r="A522" s="81"/>
      <c r="B522" s="82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7"/>
    </row>
    <row r="523" spans="1:13" ht="15.75" x14ac:dyDescent="0.25">
      <c r="A523" s="81"/>
      <c r="B523" s="82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7"/>
    </row>
    <row r="524" spans="1:13" ht="15.75" x14ac:dyDescent="0.25">
      <c r="A524" s="81"/>
      <c r="B524" s="82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7"/>
    </row>
    <row r="525" spans="1:13" ht="15.75" x14ac:dyDescent="0.25">
      <c r="A525" s="81"/>
      <c r="B525" s="82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7"/>
    </row>
    <row r="526" spans="1:13" ht="15.75" x14ac:dyDescent="0.25">
      <c r="A526" s="81"/>
      <c r="B526" s="82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7"/>
    </row>
    <row r="527" spans="1:13" ht="15.75" x14ac:dyDescent="0.25">
      <c r="A527" s="81"/>
      <c r="B527" s="82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7"/>
    </row>
    <row r="528" spans="1:13" ht="15.75" x14ac:dyDescent="0.25">
      <c r="A528" s="81"/>
      <c r="B528" s="82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7"/>
    </row>
    <row r="529" spans="1:13" ht="15.75" x14ac:dyDescent="0.25">
      <c r="A529" s="81"/>
      <c r="B529" s="82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7"/>
    </row>
    <row r="530" spans="1:13" ht="15.75" x14ac:dyDescent="0.25">
      <c r="A530" s="81"/>
      <c r="B530" s="82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7"/>
    </row>
    <row r="531" spans="1:13" ht="15.75" x14ac:dyDescent="0.25">
      <c r="A531" s="81"/>
      <c r="B531" s="82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7"/>
    </row>
    <row r="532" spans="1:13" ht="15.75" x14ac:dyDescent="0.25">
      <c r="A532" s="81"/>
      <c r="B532" s="82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7"/>
    </row>
    <row r="533" spans="1:13" ht="15.75" x14ac:dyDescent="0.25">
      <c r="A533" s="81"/>
      <c r="B533" s="82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7"/>
    </row>
    <row r="534" spans="1:13" ht="15.75" x14ac:dyDescent="0.25">
      <c r="A534" s="81"/>
      <c r="B534" s="82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7"/>
    </row>
    <row r="535" spans="1:13" ht="15.75" x14ac:dyDescent="0.25">
      <c r="A535" s="81"/>
      <c r="B535" s="82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7"/>
    </row>
    <row r="536" spans="1:13" ht="15.75" x14ac:dyDescent="0.25">
      <c r="A536" s="81"/>
      <c r="B536" s="82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7"/>
    </row>
    <row r="537" spans="1:13" ht="15.75" x14ac:dyDescent="0.25">
      <c r="A537" s="81"/>
      <c r="B537" s="82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7"/>
    </row>
    <row r="538" spans="1:13" ht="15.75" x14ac:dyDescent="0.25">
      <c r="A538" s="81"/>
      <c r="B538" s="82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7"/>
    </row>
    <row r="539" spans="1:13" ht="15.75" x14ac:dyDescent="0.25">
      <c r="A539" s="81"/>
      <c r="B539" s="82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7"/>
    </row>
    <row r="540" spans="1:13" ht="15.75" x14ac:dyDescent="0.25">
      <c r="A540" s="81"/>
      <c r="B540" s="82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7"/>
    </row>
    <row r="541" spans="1:13" ht="15.75" x14ac:dyDescent="0.25">
      <c r="A541" s="81"/>
      <c r="B541" s="82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7"/>
    </row>
    <row r="542" spans="1:13" ht="15.75" x14ac:dyDescent="0.25">
      <c r="A542" s="81"/>
      <c r="B542" s="82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7"/>
    </row>
    <row r="543" spans="1:13" ht="15.75" x14ac:dyDescent="0.25">
      <c r="A543" s="81"/>
      <c r="B543" s="82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7"/>
    </row>
    <row r="544" spans="1:13" ht="15.75" x14ac:dyDescent="0.25">
      <c r="A544" s="81"/>
      <c r="B544" s="82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7"/>
    </row>
    <row r="545" spans="1:13" ht="15.75" x14ac:dyDescent="0.25">
      <c r="A545" s="81"/>
      <c r="B545" s="82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7"/>
    </row>
    <row r="546" spans="1:13" ht="15.75" x14ac:dyDescent="0.25">
      <c r="A546" s="81"/>
      <c r="B546" s="82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7"/>
    </row>
    <row r="547" spans="1:13" ht="15.75" x14ac:dyDescent="0.25">
      <c r="A547" s="81"/>
      <c r="B547" s="82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7"/>
    </row>
    <row r="548" spans="1:13" ht="15.75" x14ac:dyDescent="0.25">
      <c r="A548" s="81"/>
      <c r="B548" s="82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7"/>
    </row>
    <row r="549" spans="1:13" ht="15.75" x14ac:dyDescent="0.25">
      <c r="A549" s="81"/>
      <c r="B549" s="82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7"/>
    </row>
    <row r="550" spans="1:13" ht="15.75" x14ac:dyDescent="0.25">
      <c r="A550" s="81"/>
      <c r="B550" s="82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7"/>
    </row>
    <row r="551" spans="1:13" ht="15.75" x14ac:dyDescent="0.25">
      <c r="A551" s="81"/>
      <c r="B551" s="82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7"/>
    </row>
    <row r="552" spans="1:13" ht="15.75" x14ac:dyDescent="0.25">
      <c r="A552" s="81"/>
      <c r="B552" s="82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7"/>
    </row>
    <row r="553" spans="1:13" ht="15.75" x14ac:dyDescent="0.25">
      <c r="A553" s="81"/>
      <c r="B553" s="82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7"/>
    </row>
    <row r="554" spans="1:13" ht="15.75" x14ac:dyDescent="0.25">
      <c r="A554" s="81"/>
      <c r="B554" s="82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7"/>
    </row>
    <row r="555" spans="1:13" ht="15.75" x14ac:dyDescent="0.25">
      <c r="A555" s="81"/>
      <c r="B555" s="82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7"/>
    </row>
    <row r="556" spans="1:13" ht="15.75" x14ac:dyDescent="0.25">
      <c r="A556" s="81"/>
      <c r="B556" s="82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7"/>
    </row>
    <row r="557" spans="1:13" ht="15.75" x14ac:dyDescent="0.25">
      <c r="A557" s="81"/>
      <c r="B557" s="82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7"/>
    </row>
    <row r="558" spans="1:13" ht="15.75" x14ac:dyDescent="0.25">
      <c r="A558" s="81"/>
      <c r="B558" s="82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7"/>
    </row>
    <row r="559" spans="1:13" ht="15.75" x14ac:dyDescent="0.25">
      <c r="A559" s="81"/>
      <c r="B559" s="82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7"/>
    </row>
    <row r="560" spans="1:13" ht="15.75" x14ac:dyDescent="0.25">
      <c r="A560" s="81"/>
      <c r="B560" s="82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7"/>
    </row>
    <row r="561" spans="1:13" ht="15.75" x14ac:dyDescent="0.25">
      <c r="A561" s="81"/>
      <c r="B561" s="82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7"/>
    </row>
    <row r="562" spans="1:13" ht="15.75" x14ac:dyDescent="0.25">
      <c r="A562" s="81"/>
      <c r="B562" s="82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7"/>
    </row>
    <row r="563" spans="1:13" ht="15.75" x14ac:dyDescent="0.25">
      <c r="A563" s="81"/>
      <c r="B563" s="82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7"/>
    </row>
    <row r="564" spans="1:13" ht="15.75" x14ac:dyDescent="0.25">
      <c r="A564" s="81"/>
      <c r="B564" s="82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7"/>
    </row>
    <row r="565" spans="1:13" ht="15.75" x14ac:dyDescent="0.25">
      <c r="A565" s="81"/>
      <c r="B565" s="82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7"/>
    </row>
    <row r="566" spans="1:13" ht="15.75" x14ac:dyDescent="0.25">
      <c r="A566" s="81"/>
      <c r="B566" s="82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7"/>
    </row>
    <row r="567" spans="1:13" ht="15.75" x14ac:dyDescent="0.25">
      <c r="A567" s="81"/>
      <c r="B567" s="82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7"/>
    </row>
    <row r="568" spans="1:13" ht="15.75" x14ac:dyDescent="0.25">
      <c r="A568" s="81"/>
      <c r="B568" s="82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7"/>
    </row>
    <row r="569" spans="1:13" ht="15.75" x14ac:dyDescent="0.25">
      <c r="A569" s="81"/>
      <c r="B569" s="82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7"/>
    </row>
    <row r="570" spans="1:13" ht="15.75" x14ac:dyDescent="0.25">
      <c r="A570" s="81"/>
      <c r="B570" s="82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7"/>
    </row>
    <row r="571" spans="1:13" ht="15.75" x14ac:dyDescent="0.25">
      <c r="A571" s="81"/>
      <c r="B571" s="82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7"/>
    </row>
    <row r="572" spans="1:13" ht="15.75" x14ac:dyDescent="0.25">
      <c r="A572" s="81"/>
      <c r="B572" s="82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7"/>
    </row>
    <row r="573" spans="1:13" ht="15.75" x14ac:dyDescent="0.25">
      <c r="A573" s="81"/>
      <c r="B573" s="82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7"/>
    </row>
    <row r="574" spans="1:13" ht="15.75" x14ac:dyDescent="0.25">
      <c r="A574" s="81"/>
      <c r="B574" s="82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7"/>
    </row>
    <row r="575" spans="1:13" ht="15.75" x14ac:dyDescent="0.25">
      <c r="A575" s="81"/>
      <c r="B575" s="82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7"/>
    </row>
    <row r="576" spans="1:13" ht="15.75" x14ac:dyDescent="0.25">
      <c r="A576" s="81"/>
      <c r="B576" s="82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7"/>
    </row>
    <row r="577" spans="1:13" ht="15.75" x14ac:dyDescent="0.25">
      <c r="A577" s="81"/>
      <c r="B577" s="82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7"/>
    </row>
    <row r="578" spans="1:13" ht="15.75" x14ac:dyDescent="0.25">
      <c r="A578" s="81"/>
      <c r="B578" s="82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7"/>
    </row>
    <row r="579" spans="1:13" ht="15.75" x14ac:dyDescent="0.25">
      <c r="A579" s="81"/>
      <c r="B579" s="82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7"/>
    </row>
    <row r="580" spans="1:13" ht="15.75" x14ac:dyDescent="0.25">
      <c r="A580" s="81"/>
      <c r="B580" s="82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7"/>
    </row>
    <row r="581" spans="1:13" ht="15.75" x14ac:dyDescent="0.25">
      <c r="A581" s="81"/>
      <c r="B581" s="82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7"/>
    </row>
    <row r="582" spans="1:13" ht="15.75" x14ac:dyDescent="0.25">
      <c r="A582" s="81"/>
      <c r="B582" s="82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7"/>
    </row>
    <row r="583" spans="1:13" ht="15.75" x14ac:dyDescent="0.25">
      <c r="A583" s="81"/>
      <c r="B583" s="82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7"/>
    </row>
    <row r="584" spans="1:13" ht="15.75" x14ac:dyDescent="0.25">
      <c r="A584" s="81"/>
      <c r="B584" s="82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7"/>
    </row>
    <row r="585" spans="1:13" ht="15.75" x14ac:dyDescent="0.25">
      <c r="A585" s="81"/>
      <c r="B585" s="82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7"/>
    </row>
    <row r="586" spans="1:13" ht="15.75" x14ac:dyDescent="0.25">
      <c r="A586" s="81"/>
      <c r="B586" s="82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7"/>
    </row>
    <row r="587" spans="1:13" ht="15.75" x14ac:dyDescent="0.25">
      <c r="A587" s="81"/>
      <c r="B587" s="82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7"/>
    </row>
    <row r="588" spans="1:13" ht="15.75" x14ac:dyDescent="0.25">
      <c r="A588" s="81"/>
      <c r="B588" s="82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7"/>
    </row>
    <row r="589" spans="1:13" ht="15.75" x14ac:dyDescent="0.25">
      <c r="A589" s="81"/>
      <c r="B589" s="82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7"/>
    </row>
    <row r="590" spans="1:13" ht="15.75" x14ac:dyDescent="0.25">
      <c r="A590" s="81"/>
      <c r="B590" s="82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7"/>
    </row>
    <row r="591" spans="1:13" ht="15.75" x14ac:dyDescent="0.25">
      <c r="A591" s="81"/>
      <c r="B591" s="82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7"/>
    </row>
    <row r="592" spans="1:13" ht="15.75" x14ac:dyDescent="0.25">
      <c r="A592" s="81"/>
      <c r="B592" s="82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7"/>
    </row>
    <row r="593" spans="1:13" ht="15.75" x14ac:dyDescent="0.25">
      <c r="A593" s="81"/>
      <c r="B593" s="82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7"/>
    </row>
    <row r="594" spans="1:13" ht="15.75" x14ac:dyDescent="0.25">
      <c r="A594" s="81"/>
      <c r="B594" s="82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7"/>
    </row>
    <row r="595" spans="1:13" ht="15.75" x14ac:dyDescent="0.25">
      <c r="A595" s="81"/>
      <c r="B595" s="82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7"/>
    </row>
    <row r="596" spans="1:13" ht="15.75" x14ac:dyDescent="0.25">
      <c r="A596" s="81"/>
      <c r="B596" s="82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7"/>
    </row>
    <row r="597" spans="1:13" ht="15.75" x14ac:dyDescent="0.25">
      <c r="A597" s="81"/>
      <c r="B597" s="82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7"/>
    </row>
    <row r="598" spans="1:13" ht="15.75" x14ac:dyDescent="0.25">
      <c r="A598" s="81"/>
      <c r="B598" s="82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7"/>
    </row>
    <row r="599" spans="1:13" ht="15.75" x14ac:dyDescent="0.25">
      <c r="A599" s="81"/>
      <c r="B599" s="82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7"/>
    </row>
    <row r="600" spans="1:13" ht="15.75" x14ac:dyDescent="0.25">
      <c r="A600" s="81"/>
      <c r="B600" s="82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7"/>
    </row>
    <row r="601" spans="1:13" ht="15.75" x14ac:dyDescent="0.25">
      <c r="A601" s="81"/>
      <c r="B601" s="82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7"/>
    </row>
    <row r="602" spans="1:13" ht="15.75" x14ac:dyDescent="0.25">
      <c r="A602" s="81"/>
      <c r="B602" s="82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7"/>
    </row>
    <row r="603" spans="1:13" ht="15.75" x14ac:dyDescent="0.25">
      <c r="A603" s="81"/>
      <c r="B603" s="82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7"/>
    </row>
    <row r="604" spans="1:13" ht="15.75" x14ac:dyDescent="0.25">
      <c r="A604" s="81"/>
      <c r="B604" s="82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7"/>
    </row>
    <row r="605" spans="1:13" ht="15.75" x14ac:dyDescent="0.25">
      <c r="A605" s="81"/>
      <c r="B605" s="82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7"/>
    </row>
    <row r="606" spans="1:13" ht="15.75" x14ac:dyDescent="0.25">
      <c r="A606" s="81"/>
      <c r="B606" s="82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7"/>
    </row>
    <row r="607" spans="1:13" ht="15.75" x14ac:dyDescent="0.25">
      <c r="A607" s="81"/>
      <c r="B607" s="82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7"/>
    </row>
    <row r="608" spans="1:13" ht="15.75" x14ac:dyDescent="0.25">
      <c r="A608" s="81"/>
      <c r="B608" s="82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7"/>
    </row>
    <row r="609" spans="1:13" ht="15.75" x14ac:dyDescent="0.25">
      <c r="A609" s="81"/>
      <c r="B609" s="82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7"/>
    </row>
    <row r="610" spans="1:13" ht="15.75" x14ac:dyDescent="0.25">
      <c r="A610" s="81"/>
      <c r="B610" s="82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7"/>
    </row>
    <row r="611" spans="1:13" ht="15.75" x14ac:dyDescent="0.25">
      <c r="A611" s="81"/>
      <c r="B611" s="82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7"/>
    </row>
    <row r="612" spans="1:13" ht="15.75" x14ac:dyDescent="0.25">
      <c r="A612" s="81"/>
      <c r="B612" s="82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7"/>
    </row>
    <row r="613" spans="1:13" ht="15.75" x14ac:dyDescent="0.25">
      <c r="A613" s="81"/>
      <c r="B613" s="82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7"/>
    </row>
    <row r="614" spans="1:13" ht="15.75" x14ac:dyDescent="0.25">
      <c r="A614" s="81"/>
      <c r="B614" s="82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7"/>
    </row>
    <row r="615" spans="1:13" ht="15.75" x14ac:dyDescent="0.25">
      <c r="A615" s="81"/>
      <c r="B615" s="82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7"/>
    </row>
    <row r="616" spans="1:13" ht="15.75" x14ac:dyDescent="0.25">
      <c r="A616" s="81"/>
      <c r="B616" s="82"/>
      <c r="C616" s="85"/>
      <c r="D616" s="85"/>
      <c r="E616" s="85"/>
      <c r="F616" s="85"/>
      <c r="G616" s="85"/>
      <c r="H616" s="85"/>
      <c r="I616" s="85"/>
      <c r="J616" s="85"/>
      <c r="K616" s="85"/>
      <c r="L616" s="85"/>
      <c r="M616" s="87"/>
    </row>
    <row r="617" spans="1:13" ht="15.75" x14ac:dyDescent="0.25">
      <c r="A617" s="81"/>
      <c r="B617" s="82"/>
      <c r="C617" s="85"/>
      <c r="D617" s="85"/>
      <c r="E617" s="85"/>
      <c r="F617" s="85"/>
      <c r="G617" s="85"/>
      <c r="H617" s="85"/>
      <c r="I617" s="85"/>
      <c r="J617" s="85"/>
      <c r="K617" s="85"/>
      <c r="L617" s="85"/>
      <c r="M617" s="87"/>
    </row>
    <row r="618" spans="1:13" ht="15.75" x14ac:dyDescent="0.25">
      <c r="A618" s="81"/>
      <c r="B618" s="82"/>
      <c r="C618" s="85"/>
      <c r="D618" s="85"/>
      <c r="E618" s="85"/>
      <c r="F618" s="85"/>
      <c r="G618" s="85"/>
      <c r="H618" s="85"/>
      <c r="I618" s="85"/>
      <c r="J618" s="85"/>
      <c r="K618" s="85"/>
      <c r="L618" s="85"/>
      <c r="M618" s="87"/>
    </row>
    <row r="619" spans="1:13" ht="15.75" x14ac:dyDescent="0.25">
      <c r="A619" s="81"/>
      <c r="B619" s="82"/>
      <c r="C619" s="85"/>
      <c r="D619" s="85"/>
      <c r="E619" s="85"/>
      <c r="F619" s="85"/>
      <c r="G619" s="85"/>
      <c r="H619" s="85"/>
      <c r="I619" s="85"/>
      <c r="J619" s="85"/>
      <c r="K619" s="85"/>
      <c r="L619" s="85"/>
      <c r="M619" s="87"/>
    </row>
    <row r="620" spans="1:13" ht="15.75" x14ac:dyDescent="0.25">
      <c r="A620" s="81"/>
      <c r="B620" s="82"/>
      <c r="C620" s="85"/>
      <c r="D620" s="85"/>
      <c r="E620" s="85"/>
      <c r="F620" s="85"/>
      <c r="G620" s="85"/>
      <c r="H620" s="85"/>
      <c r="I620" s="85"/>
      <c r="J620" s="85"/>
      <c r="K620" s="85"/>
      <c r="L620" s="85"/>
      <c r="M620" s="87"/>
    </row>
    <row r="621" spans="1:13" ht="15.75" x14ac:dyDescent="0.25">
      <c r="A621" s="81"/>
      <c r="B621" s="82"/>
      <c r="C621" s="85"/>
      <c r="D621" s="85"/>
      <c r="E621" s="85"/>
      <c r="F621" s="85"/>
      <c r="G621" s="85"/>
      <c r="H621" s="85"/>
      <c r="I621" s="85"/>
      <c r="J621" s="85"/>
      <c r="K621" s="85"/>
      <c r="L621" s="85"/>
      <c r="M621" s="87"/>
    </row>
    <row r="622" spans="1:13" ht="15.75" x14ac:dyDescent="0.25">
      <c r="A622" s="81"/>
      <c r="B622" s="82"/>
      <c r="C622" s="85"/>
      <c r="D622" s="85"/>
      <c r="E622" s="85"/>
      <c r="F622" s="85"/>
      <c r="G622" s="85"/>
      <c r="H622" s="85"/>
      <c r="I622" s="85"/>
      <c r="J622" s="85"/>
      <c r="K622" s="85"/>
      <c r="L622" s="85"/>
      <c r="M622" s="87"/>
    </row>
    <row r="623" spans="1:13" ht="15.75" x14ac:dyDescent="0.25">
      <c r="A623" s="81"/>
      <c r="B623" s="82"/>
      <c r="C623" s="85"/>
      <c r="D623" s="85"/>
      <c r="E623" s="85"/>
      <c r="F623" s="85"/>
      <c r="G623" s="85"/>
      <c r="H623" s="85"/>
      <c r="I623" s="85"/>
      <c r="J623" s="85"/>
      <c r="K623" s="85"/>
      <c r="L623" s="85"/>
      <c r="M623" s="87"/>
    </row>
    <row r="624" spans="1:13" ht="15.75" x14ac:dyDescent="0.25">
      <c r="A624" s="81"/>
      <c r="B624" s="82"/>
      <c r="C624" s="85"/>
      <c r="D624" s="85"/>
      <c r="E624" s="85"/>
      <c r="F624" s="85"/>
      <c r="G624" s="85"/>
      <c r="H624" s="85"/>
      <c r="I624" s="85"/>
      <c r="J624" s="85"/>
      <c r="K624" s="85"/>
      <c r="L624" s="85"/>
      <c r="M624" s="87"/>
    </row>
    <row r="625" spans="1:13" ht="15.75" x14ac:dyDescent="0.25">
      <c r="A625" s="81"/>
      <c r="B625" s="82"/>
      <c r="C625" s="85"/>
      <c r="D625" s="85"/>
      <c r="E625" s="85"/>
      <c r="F625" s="85"/>
      <c r="G625" s="85"/>
      <c r="H625" s="85"/>
      <c r="I625" s="85"/>
      <c r="J625" s="85"/>
      <c r="K625" s="85"/>
      <c r="L625" s="85"/>
      <c r="M625" s="87"/>
    </row>
    <row r="626" spans="1:13" ht="15.75" x14ac:dyDescent="0.25">
      <c r="A626" s="81"/>
      <c r="B626" s="82"/>
      <c r="C626" s="85"/>
      <c r="D626" s="85"/>
      <c r="E626" s="85"/>
      <c r="F626" s="85"/>
      <c r="G626" s="85"/>
      <c r="H626" s="85"/>
      <c r="I626" s="85"/>
      <c r="J626" s="85"/>
      <c r="K626" s="85"/>
      <c r="L626" s="85"/>
      <c r="M626" s="87"/>
    </row>
    <row r="627" spans="1:13" ht="15.75" x14ac:dyDescent="0.25">
      <c r="A627" s="81"/>
      <c r="B627" s="82"/>
      <c r="C627" s="85"/>
      <c r="D627" s="85"/>
      <c r="E627" s="85"/>
      <c r="F627" s="85"/>
      <c r="G627" s="85"/>
      <c r="H627" s="85"/>
      <c r="I627" s="85"/>
      <c r="J627" s="85"/>
      <c r="K627" s="85"/>
      <c r="L627" s="85"/>
      <c r="M627" s="87"/>
    </row>
    <row r="628" spans="1:13" ht="15.75" x14ac:dyDescent="0.25">
      <c r="A628" s="81"/>
      <c r="B628" s="82"/>
      <c r="C628" s="85"/>
      <c r="D628" s="85"/>
      <c r="E628" s="85"/>
      <c r="F628" s="85"/>
      <c r="G628" s="85"/>
      <c r="H628" s="85"/>
      <c r="I628" s="85"/>
      <c r="J628" s="85"/>
      <c r="K628" s="85"/>
      <c r="L628" s="85"/>
      <c r="M628" s="87"/>
    </row>
    <row r="629" spans="1:13" ht="15.75" x14ac:dyDescent="0.25">
      <c r="A629" s="81"/>
      <c r="B629" s="82"/>
      <c r="C629" s="85"/>
      <c r="D629" s="85"/>
      <c r="E629" s="85"/>
      <c r="F629" s="85"/>
      <c r="G629" s="85"/>
      <c r="H629" s="85"/>
      <c r="I629" s="85"/>
      <c r="J629" s="85"/>
      <c r="K629" s="85"/>
      <c r="L629" s="85"/>
      <c r="M629" s="87"/>
    </row>
    <row r="630" spans="1:13" ht="15.75" x14ac:dyDescent="0.25">
      <c r="A630" s="81"/>
      <c r="B630" s="82"/>
      <c r="C630" s="85"/>
      <c r="D630" s="85"/>
      <c r="E630" s="85"/>
      <c r="F630" s="85"/>
      <c r="G630" s="85"/>
      <c r="H630" s="85"/>
      <c r="I630" s="85"/>
      <c r="J630" s="85"/>
      <c r="K630" s="85"/>
      <c r="L630" s="85"/>
      <c r="M630" s="87"/>
    </row>
    <row r="631" spans="1:13" ht="15.75" x14ac:dyDescent="0.25">
      <c r="A631" s="81"/>
      <c r="B631" s="82"/>
      <c r="C631" s="85"/>
      <c r="D631" s="85"/>
      <c r="E631" s="85"/>
      <c r="F631" s="85"/>
      <c r="G631" s="85"/>
      <c r="H631" s="85"/>
      <c r="I631" s="85"/>
      <c r="J631" s="85"/>
      <c r="K631" s="85"/>
      <c r="L631" s="85"/>
      <c r="M631" s="87"/>
    </row>
    <row r="632" spans="1:13" ht="15.75" x14ac:dyDescent="0.25">
      <c r="A632" s="81"/>
      <c r="B632" s="82"/>
      <c r="C632" s="85"/>
      <c r="D632" s="85"/>
      <c r="E632" s="85"/>
      <c r="F632" s="85"/>
      <c r="G632" s="85"/>
      <c r="H632" s="85"/>
      <c r="I632" s="85"/>
      <c r="J632" s="85"/>
      <c r="K632" s="85"/>
      <c r="L632" s="85"/>
      <c r="M632" s="87"/>
    </row>
    <row r="633" spans="1:13" ht="15.75" x14ac:dyDescent="0.25">
      <c r="A633" s="81"/>
      <c r="B633" s="82"/>
      <c r="C633" s="85"/>
      <c r="D633" s="85"/>
      <c r="E633" s="85"/>
      <c r="F633" s="85"/>
      <c r="G633" s="85"/>
      <c r="H633" s="85"/>
      <c r="I633" s="85"/>
      <c r="J633" s="85"/>
      <c r="K633" s="85"/>
      <c r="L633" s="85"/>
      <c r="M633" s="87"/>
    </row>
    <row r="634" spans="1:13" ht="15.75" x14ac:dyDescent="0.25">
      <c r="A634" s="81"/>
      <c r="B634" s="82"/>
      <c r="C634" s="85"/>
      <c r="D634" s="85"/>
      <c r="E634" s="85"/>
      <c r="F634" s="85"/>
      <c r="G634" s="85"/>
      <c r="H634" s="85"/>
      <c r="I634" s="85"/>
      <c r="J634" s="85"/>
      <c r="K634" s="85"/>
      <c r="L634" s="85"/>
      <c r="M634" s="87"/>
    </row>
    <row r="635" spans="1:13" ht="15.75" x14ac:dyDescent="0.25">
      <c r="A635" s="81"/>
      <c r="B635" s="82"/>
      <c r="C635" s="85"/>
      <c r="D635" s="85"/>
      <c r="E635" s="85"/>
      <c r="F635" s="85"/>
      <c r="G635" s="85"/>
      <c r="H635" s="85"/>
      <c r="I635" s="85"/>
      <c r="J635" s="85"/>
      <c r="K635" s="85"/>
      <c r="L635" s="85"/>
      <c r="M635" s="87"/>
    </row>
    <row r="636" spans="1:13" ht="15.75" x14ac:dyDescent="0.25">
      <c r="A636" s="81"/>
      <c r="B636" s="82"/>
      <c r="C636" s="85"/>
      <c r="D636" s="85"/>
      <c r="E636" s="85"/>
      <c r="F636" s="85"/>
      <c r="G636" s="85"/>
      <c r="H636" s="85"/>
      <c r="I636" s="85"/>
      <c r="J636" s="85"/>
      <c r="K636" s="85"/>
      <c r="L636" s="85"/>
      <c r="M636" s="87"/>
    </row>
    <row r="637" spans="1:13" ht="15.75" x14ac:dyDescent="0.25">
      <c r="A637" s="81"/>
      <c r="B637" s="82"/>
      <c r="C637" s="85"/>
      <c r="D637" s="85"/>
      <c r="E637" s="85"/>
      <c r="F637" s="85"/>
      <c r="G637" s="85"/>
      <c r="H637" s="85"/>
      <c r="I637" s="85"/>
      <c r="J637" s="85"/>
      <c r="K637" s="85"/>
      <c r="L637" s="85"/>
      <c r="M637" s="87"/>
    </row>
    <row r="638" spans="1:13" ht="15.75" x14ac:dyDescent="0.25">
      <c r="A638" s="81"/>
      <c r="B638" s="82"/>
      <c r="C638" s="85"/>
      <c r="D638" s="85"/>
      <c r="E638" s="85"/>
      <c r="F638" s="85"/>
      <c r="G638" s="85"/>
      <c r="H638" s="85"/>
      <c r="I638" s="85"/>
      <c r="J638" s="85"/>
      <c r="K638" s="85"/>
      <c r="L638" s="85"/>
      <c r="M638" s="87"/>
    </row>
    <row r="639" spans="1:13" ht="15.75" x14ac:dyDescent="0.25">
      <c r="A639" s="81"/>
      <c r="B639" s="82"/>
      <c r="C639" s="85"/>
      <c r="D639" s="85"/>
      <c r="E639" s="85"/>
      <c r="F639" s="85"/>
      <c r="G639" s="85"/>
      <c r="H639" s="85"/>
      <c r="I639" s="85"/>
      <c r="J639" s="85"/>
      <c r="K639" s="85"/>
      <c r="L639" s="85"/>
      <c r="M639" s="87"/>
    </row>
    <row r="640" spans="1:13" ht="15.75" x14ac:dyDescent="0.25">
      <c r="A640" s="81"/>
      <c r="B640" s="82"/>
      <c r="C640" s="85"/>
      <c r="D640" s="85"/>
      <c r="E640" s="85"/>
      <c r="F640" s="85"/>
      <c r="G640" s="85"/>
      <c r="H640" s="85"/>
      <c r="I640" s="85"/>
      <c r="J640" s="85"/>
      <c r="K640" s="85"/>
      <c r="L640" s="85"/>
      <c r="M640" s="87"/>
    </row>
    <row r="641" spans="1:13" ht="15.75" x14ac:dyDescent="0.25">
      <c r="A641" s="81"/>
      <c r="B641" s="82"/>
      <c r="C641" s="85"/>
      <c r="D641" s="85"/>
      <c r="E641" s="85"/>
      <c r="F641" s="85"/>
      <c r="G641" s="85"/>
      <c r="H641" s="85"/>
      <c r="I641" s="85"/>
      <c r="J641" s="85"/>
      <c r="K641" s="85"/>
      <c r="L641" s="85"/>
      <c r="M641" s="87"/>
    </row>
    <row r="642" spans="1:13" ht="15.75" x14ac:dyDescent="0.25">
      <c r="A642" s="81"/>
      <c r="B642" s="82"/>
      <c r="C642" s="85"/>
      <c r="D642" s="85"/>
      <c r="E642" s="85"/>
      <c r="F642" s="85"/>
      <c r="G642" s="85"/>
      <c r="H642" s="85"/>
      <c r="I642" s="85"/>
      <c r="J642" s="85"/>
      <c r="K642" s="85"/>
      <c r="L642" s="85"/>
      <c r="M642" s="87"/>
    </row>
    <row r="643" spans="1:13" ht="15.75" x14ac:dyDescent="0.25">
      <c r="A643" s="81"/>
      <c r="B643" s="82"/>
      <c r="C643" s="85"/>
      <c r="D643" s="85"/>
      <c r="E643" s="85"/>
      <c r="F643" s="85"/>
      <c r="G643" s="85"/>
      <c r="H643" s="85"/>
      <c r="I643" s="85"/>
      <c r="J643" s="85"/>
      <c r="K643" s="85"/>
      <c r="L643" s="85"/>
      <c r="M643" s="87"/>
    </row>
    <row r="644" spans="1:13" ht="15.75" x14ac:dyDescent="0.25">
      <c r="A644" s="81"/>
      <c r="B644" s="82"/>
      <c r="C644" s="85"/>
      <c r="D644" s="85"/>
      <c r="E644" s="85"/>
      <c r="F644" s="85"/>
      <c r="G644" s="85"/>
      <c r="H644" s="85"/>
      <c r="I644" s="85"/>
      <c r="J644" s="85"/>
      <c r="K644" s="85"/>
      <c r="L644" s="85"/>
      <c r="M644" s="87"/>
    </row>
    <row r="645" spans="1:13" ht="15.75" x14ac:dyDescent="0.25">
      <c r="A645" s="81"/>
      <c r="B645" s="82"/>
      <c r="C645" s="85"/>
      <c r="D645" s="85"/>
      <c r="E645" s="85"/>
      <c r="F645" s="85"/>
      <c r="G645" s="85"/>
      <c r="H645" s="85"/>
      <c r="I645" s="85"/>
      <c r="J645" s="85"/>
      <c r="K645" s="85"/>
      <c r="L645" s="85"/>
      <c r="M645" s="87"/>
    </row>
    <row r="646" spans="1:13" ht="15.75" x14ac:dyDescent="0.25">
      <c r="A646" s="81"/>
      <c r="B646" s="82"/>
      <c r="C646" s="85"/>
      <c r="D646" s="85"/>
      <c r="E646" s="85"/>
      <c r="F646" s="85"/>
      <c r="G646" s="85"/>
      <c r="H646" s="85"/>
      <c r="I646" s="85"/>
      <c r="J646" s="85"/>
      <c r="K646" s="85"/>
      <c r="L646" s="85"/>
      <c r="M646" s="87"/>
    </row>
    <row r="647" spans="1:13" ht="15.75" x14ac:dyDescent="0.25">
      <c r="A647" s="81"/>
      <c r="B647" s="82"/>
      <c r="C647" s="85"/>
      <c r="D647" s="85"/>
      <c r="E647" s="85"/>
      <c r="F647" s="85"/>
      <c r="G647" s="85"/>
      <c r="H647" s="85"/>
      <c r="I647" s="85"/>
      <c r="J647" s="85"/>
      <c r="K647" s="85"/>
      <c r="L647" s="85"/>
      <c r="M647" s="87"/>
    </row>
    <row r="648" spans="1:13" ht="15.75" x14ac:dyDescent="0.25">
      <c r="A648" s="81"/>
      <c r="B648" s="82"/>
      <c r="C648" s="85"/>
      <c r="D648" s="85"/>
      <c r="E648" s="85"/>
      <c r="F648" s="85"/>
      <c r="G648" s="85"/>
      <c r="H648" s="85"/>
      <c r="I648" s="85"/>
      <c r="J648" s="85"/>
      <c r="K648" s="85"/>
      <c r="L648" s="85"/>
      <c r="M648" s="87"/>
    </row>
    <row r="649" spans="1:13" ht="15.75" x14ac:dyDescent="0.25">
      <c r="A649" s="81"/>
      <c r="B649" s="82"/>
      <c r="C649" s="85"/>
      <c r="D649" s="85"/>
      <c r="E649" s="85"/>
      <c r="F649" s="85"/>
      <c r="G649" s="85"/>
      <c r="H649" s="85"/>
      <c r="I649" s="85"/>
      <c r="J649" s="85"/>
      <c r="K649" s="85"/>
      <c r="L649" s="85"/>
      <c r="M649" s="87"/>
    </row>
    <row r="650" spans="1:13" ht="15.75" x14ac:dyDescent="0.25">
      <c r="A650" s="81"/>
      <c r="B650" s="82"/>
      <c r="C650" s="85"/>
      <c r="D650" s="85"/>
      <c r="E650" s="85"/>
      <c r="F650" s="85"/>
      <c r="G650" s="85"/>
      <c r="H650" s="85"/>
      <c r="I650" s="85"/>
      <c r="J650" s="85"/>
      <c r="K650" s="85"/>
      <c r="L650" s="85"/>
      <c r="M650" s="87"/>
    </row>
    <row r="651" spans="1:13" ht="15.75" x14ac:dyDescent="0.25">
      <c r="A651" s="81"/>
      <c r="B651" s="82"/>
      <c r="C651" s="85"/>
      <c r="D651" s="85"/>
      <c r="E651" s="85"/>
      <c r="F651" s="85"/>
      <c r="G651" s="85"/>
      <c r="H651" s="85"/>
      <c r="I651" s="85"/>
      <c r="J651" s="85"/>
      <c r="K651" s="85"/>
      <c r="L651" s="85"/>
      <c r="M651" s="87"/>
    </row>
    <row r="652" spans="1:13" ht="15.75" x14ac:dyDescent="0.25">
      <c r="A652" s="81"/>
      <c r="B652" s="82"/>
      <c r="C652" s="85"/>
      <c r="D652" s="85"/>
      <c r="E652" s="85"/>
      <c r="F652" s="85"/>
      <c r="G652" s="85"/>
      <c r="H652" s="85"/>
      <c r="I652" s="85"/>
      <c r="J652" s="85"/>
      <c r="K652" s="85"/>
      <c r="L652" s="85"/>
      <c r="M652" s="87"/>
    </row>
    <row r="653" spans="1:13" ht="15.75" x14ac:dyDescent="0.25">
      <c r="A653" s="81"/>
      <c r="B653" s="82"/>
      <c r="C653" s="85"/>
      <c r="D653" s="85"/>
      <c r="E653" s="85"/>
      <c r="F653" s="85"/>
      <c r="G653" s="85"/>
      <c r="H653" s="85"/>
      <c r="I653" s="85"/>
      <c r="J653" s="85"/>
      <c r="K653" s="85"/>
      <c r="L653" s="85"/>
      <c r="M653" s="87"/>
    </row>
    <row r="654" spans="1:13" ht="15.75" x14ac:dyDescent="0.25">
      <c r="A654" s="81"/>
      <c r="B654" s="82"/>
      <c r="C654" s="85"/>
      <c r="D654" s="85"/>
      <c r="E654" s="85"/>
      <c r="F654" s="85"/>
      <c r="G654" s="85"/>
      <c r="H654" s="85"/>
      <c r="I654" s="85"/>
      <c r="J654" s="85"/>
      <c r="K654" s="85"/>
      <c r="L654" s="85"/>
      <c r="M654" s="87"/>
    </row>
    <row r="655" spans="1:13" ht="15.75" x14ac:dyDescent="0.25">
      <c r="A655" s="81"/>
      <c r="B655" s="82"/>
      <c r="C655" s="85"/>
      <c r="D655" s="85"/>
      <c r="E655" s="85"/>
      <c r="F655" s="85"/>
      <c r="G655" s="85"/>
      <c r="H655" s="85"/>
      <c r="I655" s="85"/>
      <c r="J655" s="85"/>
      <c r="K655" s="85"/>
      <c r="L655" s="85"/>
      <c r="M655" s="87"/>
    </row>
    <row r="656" spans="1:13" ht="15.75" x14ac:dyDescent="0.25">
      <c r="A656" s="81"/>
      <c r="B656" s="82"/>
      <c r="C656" s="85"/>
      <c r="D656" s="85"/>
      <c r="E656" s="85"/>
      <c r="F656" s="85"/>
      <c r="G656" s="85"/>
      <c r="H656" s="85"/>
      <c r="I656" s="85"/>
      <c r="J656" s="85"/>
      <c r="K656" s="85"/>
      <c r="L656" s="85"/>
      <c r="M656" s="87"/>
    </row>
    <row r="657" spans="1:13" ht="15.75" x14ac:dyDescent="0.25">
      <c r="A657" s="81"/>
      <c r="B657" s="82"/>
      <c r="C657" s="85"/>
      <c r="D657" s="85"/>
      <c r="E657" s="85"/>
      <c r="F657" s="85"/>
      <c r="G657" s="85"/>
      <c r="H657" s="85"/>
      <c r="I657" s="85"/>
      <c r="J657" s="85"/>
      <c r="K657" s="85"/>
      <c r="L657" s="85"/>
      <c r="M657" s="87"/>
    </row>
    <row r="658" spans="1:13" ht="15.75" x14ac:dyDescent="0.25">
      <c r="A658" s="81"/>
      <c r="B658" s="82"/>
      <c r="C658" s="85"/>
      <c r="D658" s="85"/>
      <c r="E658" s="85"/>
      <c r="F658" s="85"/>
      <c r="G658" s="85"/>
      <c r="H658" s="85"/>
      <c r="I658" s="85"/>
      <c r="J658" s="85"/>
      <c r="K658" s="85"/>
      <c r="L658" s="85"/>
      <c r="M658" s="87"/>
    </row>
    <row r="659" spans="1:13" ht="15.75" x14ac:dyDescent="0.25">
      <c r="A659" s="81"/>
      <c r="B659" s="82"/>
      <c r="C659" s="85"/>
      <c r="D659" s="85"/>
      <c r="E659" s="85"/>
      <c r="F659" s="85"/>
      <c r="G659" s="85"/>
      <c r="H659" s="85"/>
      <c r="I659" s="85"/>
      <c r="J659" s="85"/>
      <c r="K659" s="85"/>
      <c r="L659" s="85"/>
      <c r="M659" s="87"/>
    </row>
    <row r="660" spans="1:13" ht="15.75" x14ac:dyDescent="0.25">
      <c r="A660" s="81"/>
      <c r="B660" s="82"/>
      <c r="C660" s="85"/>
      <c r="D660" s="85"/>
      <c r="E660" s="85"/>
      <c r="F660" s="85"/>
      <c r="G660" s="85"/>
      <c r="H660" s="85"/>
      <c r="I660" s="85"/>
      <c r="J660" s="85"/>
      <c r="K660" s="85"/>
      <c r="L660" s="85"/>
      <c r="M660" s="87"/>
    </row>
    <row r="661" spans="1:13" ht="15.75" x14ac:dyDescent="0.25">
      <c r="A661" s="81"/>
      <c r="B661" s="82"/>
      <c r="C661" s="85"/>
      <c r="D661" s="85"/>
      <c r="E661" s="85"/>
      <c r="F661" s="85"/>
      <c r="G661" s="85"/>
      <c r="H661" s="85"/>
      <c r="I661" s="85"/>
      <c r="J661" s="85"/>
      <c r="K661" s="85"/>
      <c r="L661" s="85"/>
      <c r="M661" s="87"/>
    </row>
    <row r="662" spans="1:13" ht="15.75" x14ac:dyDescent="0.25">
      <c r="A662" s="81"/>
      <c r="B662" s="82"/>
      <c r="C662" s="85"/>
      <c r="D662" s="85"/>
      <c r="E662" s="85"/>
      <c r="F662" s="85"/>
      <c r="G662" s="85"/>
      <c r="H662" s="85"/>
      <c r="I662" s="85"/>
      <c r="J662" s="85"/>
      <c r="K662" s="85"/>
      <c r="L662" s="85"/>
      <c r="M662" s="87"/>
    </row>
    <row r="663" spans="1:13" ht="15.75" x14ac:dyDescent="0.25">
      <c r="A663" s="81"/>
      <c r="B663" s="82"/>
      <c r="C663" s="85"/>
      <c r="D663" s="85"/>
      <c r="E663" s="85"/>
      <c r="F663" s="85"/>
      <c r="G663" s="85"/>
      <c r="H663" s="85"/>
      <c r="I663" s="85"/>
      <c r="J663" s="85"/>
      <c r="K663" s="85"/>
      <c r="L663" s="85"/>
      <c r="M663" s="87"/>
    </row>
    <row r="664" spans="1:13" ht="15.75" x14ac:dyDescent="0.25">
      <c r="A664" s="81"/>
      <c r="B664" s="82"/>
      <c r="C664" s="85"/>
      <c r="D664" s="85"/>
      <c r="E664" s="85"/>
      <c r="F664" s="85"/>
      <c r="G664" s="85"/>
      <c r="H664" s="85"/>
      <c r="I664" s="85"/>
      <c r="J664" s="85"/>
      <c r="K664" s="85"/>
      <c r="L664" s="85"/>
      <c r="M664" s="87"/>
    </row>
    <row r="665" spans="1:13" ht="15.75" x14ac:dyDescent="0.25">
      <c r="A665" s="81"/>
      <c r="B665" s="82"/>
      <c r="C665" s="85"/>
      <c r="D665" s="85"/>
      <c r="E665" s="85"/>
      <c r="F665" s="85"/>
      <c r="G665" s="85"/>
      <c r="H665" s="85"/>
      <c r="I665" s="85"/>
      <c r="J665" s="85"/>
      <c r="K665" s="85"/>
      <c r="L665" s="85"/>
      <c r="M665" s="87"/>
    </row>
    <row r="666" spans="1:13" ht="15.75" x14ac:dyDescent="0.25">
      <c r="A666" s="81"/>
      <c r="B666" s="82"/>
      <c r="C666" s="85"/>
      <c r="D666" s="85"/>
      <c r="E666" s="85"/>
      <c r="F666" s="85"/>
      <c r="G666" s="85"/>
      <c r="H666" s="85"/>
      <c r="I666" s="85"/>
      <c r="J666" s="85"/>
      <c r="K666" s="85"/>
      <c r="L666" s="85"/>
      <c r="M666" s="87"/>
    </row>
    <row r="667" spans="1:13" ht="15.75" x14ac:dyDescent="0.25">
      <c r="A667" s="81"/>
      <c r="B667" s="82"/>
      <c r="C667" s="85"/>
      <c r="D667" s="85"/>
      <c r="E667" s="85"/>
      <c r="F667" s="85"/>
      <c r="G667" s="85"/>
      <c r="H667" s="85"/>
      <c r="I667" s="85"/>
      <c r="J667" s="85"/>
      <c r="K667" s="85"/>
      <c r="L667" s="85"/>
      <c r="M667" s="87"/>
    </row>
    <row r="668" spans="1:13" ht="15.75" x14ac:dyDescent="0.25">
      <c r="A668" s="81"/>
      <c r="B668" s="82"/>
      <c r="C668" s="85"/>
      <c r="D668" s="85"/>
      <c r="E668" s="85"/>
      <c r="F668" s="85"/>
      <c r="G668" s="85"/>
      <c r="H668" s="85"/>
      <c r="I668" s="85"/>
      <c r="J668" s="85"/>
      <c r="K668" s="85"/>
      <c r="L668" s="85"/>
      <c r="M668" s="87"/>
    </row>
    <row r="669" spans="1:13" ht="15.75" x14ac:dyDescent="0.25">
      <c r="A669" s="81"/>
      <c r="B669" s="82"/>
      <c r="C669" s="85"/>
      <c r="D669" s="85"/>
      <c r="E669" s="85"/>
      <c r="F669" s="85"/>
      <c r="G669" s="85"/>
      <c r="H669" s="85"/>
      <c r="I669" s="85"/>
      <c r="J669" s="85"/>
      <c r="K669" s="85"/>
      <c r="L669" s="85"/>
      <c r="M669" s="87"/>
    </row>
    <row r="670" spans="1:13" ht="15.75" x14ac:dyDescent="0.25">
      <c r="A670" s="81"/>
      <c r="B670" s="82"/>
      <c r="C670" s="85"/>
      <c r="D670" s="85"/>
      <c r="E670" s="85"/>
      <c r="F670" s="85"/>
      <c r="G670" s="85"/>
      <c r="H670" s="85"/>
      <c r="I670" s="85"/>
      <c r="J670" s="85"/>
      <c r="K670" s="85"/>
      <c r="L670" s="85"/>
      <c r="M670" s="87"/>
    </row>
    <row r="671" spans="1:13" ht="15.75" x14ac:dyDescent="0.25">
      <c r="A671" s="81"/>
      <c r="B671" s="82"/>
      <c r="C671" s="85"/>
      <c r="D671" s="85"/>
      <c r="E671" s="85"/>
      <c r="F671" s="85"/>
      <c r="G671" s="85"/>
      <c r="H671" s="85"/>
      <c r="I671" s="85"/>
      <c r="J671" s="85"/>
      <c r="K671" s="85"/>
      <c r="L671" s="85"/>
      <c r="M671" s="87"/>
    </row>
    <row r="672" spans="1:13" ht="15.75" x14ac:dyDescent="0.25">
      <c r="A672" s="81"/>
      <c r="B672" s="82"/>
      <c r="C672" s="85"/>
      <c r="D672" s="85"/>
      <c r="E672" s="85"/>
      <c r="F672" s="85"/>
      <c r="G672" s="85"/>
      <c r="H672" s="85"/>
      <c r="I672" s="85"/>
      <c r="J672" s="85"/>
      <c r="K672" s="85"/>
      <c r="L672" s="85"/>
      <c r="M672" s="87"/>
    </row>
    <row r="673" spans="1:13" ht="15.75" x14ac:dyDescent="0.25">
      <c r="A673" s="81"/>
      <c r="B673" s="82"/>
      <c r="C673" s="85"/>
      <c r="D673" s="85"/>
      <c r="E673" s="85"/>
      <c r="F673" s="85"/>
      <c r="G673" s="85"/>
      <c r="H673" s="85"/>
      <c r="I673" s="85"/>
      <c r="J673" s="85"/>
      <c r="K673" s="85"/>
      <c r="L673" s="85"/>
      <c r="M673" s="87"/>
    </row>
    <row r="674" spans="1:13" ht="15.75" x14ac:dyDescent="0.25">
      <c r="A674" s="81"/>
      <c r="B674" s="82"/>
      <c r="C674" s="85"/>
      <c r="D674" s="85"/>
      <c r="E674" s="85"/>
      <c r="F674" s="85"/>
      <c r="G674" s="85"/>
      <c r="H674" s="85"/>
      <c r="I674" s="85"/>
      <c r="J674" s="85"/>
      <c r="K674" s="85"/>
      <c r="L674" s="85"/>
      <c r="M674" s="87"/>
    </row>
    <row r="675" spans="1:13" ht="15.75" x14ac:dyDescent="0.25">
      <c r="A675" s="81"/>
      <c r="B675" s="82"/>
      <c r="C675" s="85"/>
      <c r="D675" s="85"/>
      <c r="E675" s="85"/>
      <c r="F675" s="85"/>
      <c r="G675" s="85"/>
      <c r="H675" s="85"/>
      <c r="I675" s="85"/>
      <c r="J675" s="85"/>
      <c r="K675" s="85"/>
      <c r="L675" s="85"/>
      <c r="M675" s="87"/>
    </row>
    <row r="676" spans="1:13" ht="15.75" x14ac:dyDescent="0.25">
      <c r="A676" s="81"/>
      <c r="B676" s="82"/>
      <c r="C676" s="85"/>
      <c r="D676" s="85"/>
      <c r="E676" s="85"/>
      <c r="F676" s="85"/>
      <c r="G676" s="85"/>
      <c r="H676" s="85"/>
      <c r="I676" s="85"/>
      <c r="J676" s="85"/>
      <c r="K676" s="85"/>
      <c r="L676" s="85"/>
      <c r="M676" s="87"/>
    </row>
    <row r="677" spans="1:13" ht="15.75" x14ac:dyDescent="0.25">
      <c r="A677" s="81"/>
      <c r="B677" s="82"/>
      <c r="C677" s="85"/>
      <c r="D677" s="85"/>
      <c r="E677" s="85"/>
      <c r="F677" s="85"/>
      <c r="G677" s="85"/>
      <c r="H677" s="85"/>
      <c r="I677" s="85"/>
      <c r="J677" s="85"/>
      <c r="K677" s="85"/>
      <c r="L677" s="85"/>
      <c r="M677" s="87"/>
    </row>
    <row r="678" spans="1:13" ht="15.75" x14ac:dyDescent="0.25">
      <c r="A678" s="81"/>
      <c r="B678" s="82"/>
      <c r="C678" s="85"/>
      <c r="D678" s="85"/>
      <c r="E678" s="85"/>
      <c r="F678" s="85"/>
      <c r="G678" s="85"/>
      <c r="H678" s="85"/>
      <c r="I678" s="85"/>
      <c r="J678" s="85"/>
      <c r="K678" s="85"/>
      <c r="L678" s="85"/>
      <c r="M678" s="87"/>
    </row>
    <row r="679" spans="1:13" ht="15.75" x14ac:dyDescent="0.25">
      <c r="A679" s="81"/>
      <c r="B679" s="82"/>
      <c r="C679" s="85"/>
      <c r="D679" s="85"/>
      <c r="E679" s="85"/>
      <c r="F679" s="85"/>
      <c r="G679" s="85"/>
      <c r="H679" s="85"/>
      <c r="I679" s="85"/>
      <c r="J679" s="85"/>
      <c r="K679" s="85"/>
      <c r="L679" s="85"/>
      <c r="M679" s="87"/>
    </row>
    <row r="680" spans="1:13" ht="15.75" x14ac:dyDescent="0.25">
      <c r="A680" s="81"/>
      <c r="B680" s="82"/>
      <c r="C680" s="85"/>
      <c r="D680" s="85"/>
      <c r="E680" s="85"/>
      <c r="F680" s="85"/>
      <c r="G680" s="85"/>
      <c r="H680" s="85"/>
      <c r="I680" s="85"/>
      <c r="J680" s="85"/>
      <c r="K680" s="85"/>
      <c r="L680" s="85"/>
      <c r="M680" s="87"/>
    </row>
    <row r="681" spans="1:13" ht="15.75" x14ac:dyDescent="0.25">
      <c r="A681" s="81"/>
      <c r="B681" s="82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7"/>
    </row>
    <row r="682" spans="1:13" ht="15.75" x14ac:dyDescent="0.25">
      <c r="A682" s="81"/>
      <c r="B682" s="82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7"/>
    </row>
    <row r="683" spans="1:13" ht="15.75" x14ac:dyDescent="0.25">
      <c r="A683" s="81"/>
      <c r="B683" s="82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7"/>
    </row>
    <row r="684" spans="1:13" ht="15.75" x14ac:dyDescent="0.25">
      <c r="A684" s="81"/>
      <c r="B684" s="82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7"/>
    </row>
    <row r="685" spans="1:13" ht="15.75" x14ac:dyDescent="0.25">
      <c r="A685" s="81"/>
      <c r="B685" s="82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7"/>
    </row>
    <row r="686" spans="1:13" ht="15.75" x14ac:dyDescent="0.25">
      <c r="A686" s="81"/>
      <c r="B686" s="82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7"/>
    </row>
    <row r="687" spans="1:13" ht="15.75" x14ac:dyDescent="0.25">
      <c r="A687" s="81"/>
      <c r="B687" s="82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7"/>
    </row>
    <row r="688" spans="1:13" ht="15.75" x14ac:dyDescent="0.25">
      <c r="A688" s="81"/>
      <c r="B688" s="82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7"/>
    </row>
    <row r="689" spans="1:13" ht="15.75" x14ac:dyDescent="0.25">
      <c r="A689" s="81"/>
      <c r="B689" s="82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7"/>
    </row>
    <row r="690" spans="1:13" ht="15.75" x14ac:dyDescent="0.25">
      <c r="A690" s="81"/>
      <c r="B690" s="82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7"/>
    </row>
    <row r="691" spans="1:13" ht="15.75" x14ac:dyDescent="0.25">
      <c r="A691" s="81"/>
      <c r="B691" s="82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7"/>
    </row>
    <row r="692" spans="1:13" ht="15.75" x14ac:dyDescent="0.25">
      <c r="A692" s="81"/>
      <c r="B692" s="82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7"/>
    </row>
    <row r="693" spans="1:13" ht="15.75" x14ac:dyDescent="0.25">
      <c r="A693" s="81"/>
      <c r="B693" s="82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7"/>
    </row>
    <row r="694" spans="1:13" ht="15.75" x14ac:dyDescent="0.25">
      <c r="A694" s="81"/>
      <c r="B694" s="82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7"/>
    </row>
    <row r="695" spans="1:13" ht="15.75" x14ac:dyDescent="0.25">
      <c r="A695" s="81"/>
      <c r="B695" s="82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7"/>
    </row>
    <row r="696" spans="1:13" ht="15.75" x14ac:dyDescent="0.25">
      <c r="A696" s="81"/>
      <c r="B696" s="82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7"/>
    </row>
    <row r="697" spans="1:13" ht="15.75" x14ac:dyDescent="0.25">
      <c r="A697" s="81"/>
      <c r="B697" s="82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7"/>
    </row>
    <row r="698" spans="1:13" ht="15.75" x14ac:dyDescent="0.25">
      <c r="A698" s="81"/>
      <c r="B698" s="82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7"/>
    </row>
    <row r="699" spans="1:13" ht="15.75" x14ac:dyDescent="0.25">
      <c r="A699" s="81"/>
      <c r="B699" s="82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7"/>
    </row>
    <row r="700" spans="1:13" ht="15.75" x14ac:dyDescent="0.25">
      <c r="A700" s="81"/>
      <c r="B700" s="82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7"/>
    </row>
    <row r="701" spans="1:13" ht="15.75" x14ac:dyDescent="0.25">
      <c r="A701" s="81"/>
      <c r="B701" s="82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7"/>
    </row>
    <row r="702" spans="1:13" ht="15.75" x14ac:dyDescent="0.25">
      <c r="A702" s="81"/>
      <c r="B702" s="82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7"/>
    </row>
    <row r="703" spans="1:13" ht="15.75" x14ac:dyDescent="0.25">
      <c r="A703" s="81"/>
      <c r="B703" s="82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7"/>
    </row>
    <row r="704" spans="1:13" ht="15.75" x14ac:dyDescent="0.25">
      <c r="A704" s="81"/>
      <c r="B704" s="82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7"/>
    </row>
    <row r="705" spans="1:13" ht="15.75" x14ac:dyDescent="0.25">
      <c r="A705" s="81"/>
      <c r="B705" s="82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7"/>
    </row>
    <row r="706" spans="1:13" ht="15.75" x14ac:dyDescent="0.25">
      <c r="A706" s="81"/>
      <c r="B706" s="82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7"/>
    </row>
    <row r="707" spans="1:13" ht="15.75" x14ac:dyDescent="0.25">
      <c r="A707" s="81"/>
      <c r="B707" s="82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7"/>
    </row>
    <row r="708" spans="1:13" ht="15.75" x14ac:dyDescent="0.25">
      <c r="A708" s="81"/>
      <c r="B708" s="82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7"/>
    </row>
    <row r="709" spans="1:13" ht="15.75" x14ac:dyDescent="0.25">
      <c r="A709" s="81"/>
      <c r="B709" s="82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7"/>
    </row>
    <row r="710" spans="1:13" ht="15.75" x14ac:dyDescent="0.25">
      <c r="A710" s="81"/>
      <c r="B710" s="82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7"/>
    </row>
    <row r="711" spans="1:13" ht="15.75" x14ac:dyDescent="0.25">
      <c r="A711" s="81"/>
      <c r="B711" s="82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7"/>
    </row>
    <row r="712" spans="1:13" ht="15.75" x14ac:dyDescent="0.25">
      <c r="A712" s="81"/>
      <c r="B712" s="82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7"/>
    </row>
    <row r="713" spans="1:13" ht="15.75" x14ac:dyDescent="0.25">
      <c r="A713" s="81"/>
      <c r="B713" s="82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7"/>
    </row>
    <row r="714" spans="1:13" ht="15.75" x14ac:dyDescent="0.25">
      <c r="A714" s="81"/>
      <c r="B714" s="82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7"/>
    </row>
    <row r="715" spans="1:13" ht="15.75" x14ac:dyDescent="0.25">
      <c r="A715" s="81"/>
      <c r="B715" s="82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7"/>
    </row>
    <row r="716" spans="1:13" ht="15.75" x14ac:dyDescent="0.25">
      <c r="A716" s="81"/>
      <c r="B716" s="82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7"/>
    </row>
    <row r="717" spans="1:13" ht="15.75" x14ac:dyDescent="0.25">
      <c r="A717" s="81"/>
      <c r="B717" s="82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7"/>
    </row>
    <row r="718" spans="1:13" ht="15.75" x14ac:dyDescent="0.25">
      <c r="A718" s="81"/>
      <c r="B718" s="82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7"/>
    </row>
    <row r="719" spans="1:13" ht="15.75" x14ac:dyDescent="0.25">
      <c r="A719" s="81"/>
      <c r="B719" s="82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7"/>
    </row>
    <row r="720" spans="1:13" ht="15.75" x14ac:dyDescent="0.25">
      <c r="A720" s="81"/>
      <c r="B720" s="82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7"/>
    </row>
    <row r="721" spans="1:13" ht="15.75" x14ac:dyDescent="0.25">
      <c r="A721" s="81"/>
      <c r="B721" s="82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7"/>
    </row>
    <row r="722" spans="1:13" ht="15.75" x14ac:dyDescent="0.25">
      <c r="A722" s="81"/>
      <c r="B722" s="82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7"/>
    </row>
    <row r="723" spans="1:13" ht="15.75" x14ac:dyDescent="0.25">
      <c r="A723" s="81"/>
      <c r="B723" s="82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7"/>
    </row>
    <row r="724" spans="1:13" ht="15.75" x14ac:dyDescent="0.25">
      <c r="A724" s="81"/>
      <c r="B724" s="82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7"/>
    </row>
    <row r="725" spans="1:13" ht="15.75" x14ac:dyDescent="0.25">
      <c r="A725" s="81"/>
      <c r="B725" s="82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7"/>
    </row>
    <row r="726" spans="1:13" ht="15.75" x14ac:dyDescent="0.25">
      <c r="A726" s="81"/>
      <c r="B726" s="82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7"/>
    </row>
    <row r="727" spans="1:13" ht="15.75" x14ac:dyDescent="0.25">
      <c r="A727" s="81"/>
      <c r="B727" s="82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7"/>
    </row>
    <row r="728" spans="1:13" ht="15.75" x14ac:dyDescent="0.25">
      <c r="A728" s="81"/>
      <c r="B728" s="82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7"/>
    </row>
    <row r="729" spans="1:13" ht="15.75" x14ac:dyDescent="0.25">
      <c r="A729" s="81"/>
      <c r="B729" s="82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7"/>
    </row>
    <row r="730" spans="1:13" ht="15.75" x14ac:dyDescent="0.25">
      <c r="A730" s="81"/>
      <c r="B730" s="82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7"/>
    </row>
    <row r="731" spans="1:13" ht="15.75" x14ac:dyDescent="0.25">
      <c r="A731" s="81"/>
      <c r="B731" s="82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7"/>
    </row>
    <row r="732" spans="1:13" ht="15.75" x14ac:dyDescent="0.25">
      <c r="A732" s="81"/>
      <c r="B732" s="82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7"/>
    </row>
    <row r="733" spans="1:13" ht="15.75" x14ac:dyDescent="0.25">
      <c r="A733" s="81"/>
      <c r="B733" s="82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7"/>
    </row>
    <row r="734" spans="1:13" ht="15.75" x14ac:dyDescent="0.25">
      <c r="A734" s="81"/>
      <c r="B734" s="82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7"/>
    </row>
    <row r="735" spans="1:13" ht="15.75" x14ac:dyDescent="0.25">
      <c r="A735" s="81"/>
      <c r="B735" s="82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7"/>
    </row>
    <row r="736" spans="1:13" ht="15.75" x14ac:dyDescent="0.25">
      <c r="A736" s="81"/>
      <c r="B736" s="82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7"/>
    </row>
    <row r="737" spans="1:13" ht="15.75" x14ac:dyDescent="0.25">
      <c r="A737" s="81"/>
      <c r="B737" s="82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7"/>
    </row>
    <row r="738" spans="1:13" ht="15.75" x14ac:dyDescent="0.25">
      <c r="A738" s="81"/>
      <c r="B738" s="82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7"/>
    </row>
    <row r="739" spans="1:13" ht="15.75" x14ac:dyDescent="0.25">
      <c r="A739" s="81"/>
      <c r="B739" s="82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7"/>
    </row>
    <row r="740" spans="1:13" ht="15.75" x14ac:dyDescent="0.25">
      <c r="A740" s="81"/>
      <c r="B740" s="82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7"/>
    </row>
    <row r="741" spans="1:13" ht="15.75" x14ac:dyDescent="0.25">
      <c r="A741" s="81"/>
      <c r="B741" s="82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7"/>
    </row>
    <row r="742" spans="1:13" ht="15.75" x14ac:dyDescent="0.25">
      <c r="A742" s="81"/>
      <c r="B742" s="82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7"/>
    </row>
    <row r="743" spans="1:13" ht="15.75" x14ac:dyDescent="0.25">
      <c r="A743" s="81"/>
      <c r="B743" s="82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7"/>
    </row>
    <row r="744" spans="1:13" ht="15.75" x14ac:dyDescent="0.25">
      <c r="A744" s="81"/>
      <c r="B744" s="82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7"/>
    </row>
    <row r="745" spans="1:13" ht="15.75" x14ac:dyDescent="0.25">
      <c r="A745" s="81"/>
      <c r="B745" s="82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7"/>
    </row>
    <row r="746" spans="1:13" ht="15.75" x14ac:dyDescent="0.25">
      <c r="A746" s="81"/>
      <c r="B746" s="82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7"/>
    </row>
    <row r="747" spans="1:13" ht="15.75" x14ac:dyDescent="0.25">
      <c r="A747" s="81"/>
      <c r="B747" s="82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7"/>
    </row>
    <row r="748" spans="1:13" ht="15.75" x14ac:dyDescent="0.25">
      <c r="A748" s="81"/>
      <c r="B748" s="82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7"/>
    </row>
    <row r="749" spans="1:13" ht="15.75" x14ac:dyDescent="0.25">
      <c r="A749" s="81"/>
      <c r="B749" s="82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7"/>
    </row>
    <row r="750" spans="1:13" ht="15.75" x14ac:dyDescent="0.25">
      <c r="A750" s="81"/>
      <c r="B750" s="82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7"/>
    </row>
    <row r="751" spans="1:13" ht="15.75" x14ac:dyDescent="0.25">
      <c r="A751" s="81"/>
      <c r="B751" s="82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7"/>
    </row>
    <row r="752" spans="1:13" ht="15.75" x14ac:dyDescent="0.25">
      <c r="A752" s="81"/>
      <c r="B752" s="82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7"/>
    </row>
    <row r="753" spans="1:13" ht="15.75" x14ac:dyDescent="0.25">
      <c r="A753" s="81"/>
      <c r="B753" s="82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7"/>
    </row>
    <row r="754" spans="1:13" ht="15.75" x14ac:dyDescent="0.25">
      <c r="A754" s="81"/>
      <c r="B754" s="82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7"/>
    </row>
    <row r="755" spans="1:13" ht="15.75" x14ac:dyDescent="0.25">
      <c r="A755" s="81"/>
      <c r="B755" s="82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7"/>
    </row>
    <row r="756" spans="1:13" ht="15.75" x14ac:dyDescent="0.25">
      <c r="A756" s="81"/>
      <c r="B756" s="82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7"/>
    </row>
    <row r="757" spans="1:13" ht="15.75" x14ac:dyDescent="0.25">
      <c r="A757" s="81"/>
      <c r="B757" s="82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7"/>
    </row>
    <row r="758" spans="1:13" ht="15.75" x14ac:dyDescent="0.25">
      <c r="A758" s="81"/>
      <c r="B758" s="82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7"/>
    </row>
    <row r="759" spans="1:13" ht="15.75" x14ac:dyDescent="0.25">
      <c r="A759" s="81"/>
      <c r="B759" s="82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7"/>
    </row>
    <row r="760" spans="1:13" ht="15.75" x14ac:dyDescent="0.25">
      <c r="A760" s="81"/>
      <c r="B760" s="82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7"/>
    </row>
    <row r="761" spans="1:13" ht="15.75" x14ac:dyDescent="0.25">
      <c r="A761" s="81"/>
      <c r="B761" s="82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7"/>
    </row>
    <row r="762" spans="1:13" ht="15.75" x14ac:dyDescent="0.25">
      <c r="A762" s="81"/>
      <c r="B762" s="82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7"/>
    </row>
    <row r="763" spans="1:13" ht="15.75" x14ac:dyDescent="0.25">
      <c r="A763" s="81"/>
      <c r="B763" s="82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7"/>
    </row>
    <row r="764" spans="1:13" ht="15.75" x14ac:dyDescent="0.25">
      <c r="A764" s="81"/>
      <c r="B764" s="82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7"/>
    </row>
    <row r="765" spans="1:13" ht="15.75" x14ac:dyDescent="0.25">
      <c r="A765" s="81"/>
      <c r="B765" s="82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7"/>
    </row>
    <row r="766" spans="1:13" ht="15.75" x14ac:dyDescent="0.25">
      <c r="A766" s="81"/>
      <c r="B766" s="82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7"/>
    </row>
    <row r="767" spans="1:13" ht="15.75" x14ac:dyDescent="0.25">
      <c r="A767" s="81"/>
      <c r="B767" s="82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7"/>
    </row>
    <row r="768" spans="1:13" ht="15.75" x14ac:dyDescent="0.25">
      <c r="A768" s="81"/>
      <c r="B768" s="82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7"/>
    </row>
    <row r="769" spans="1:13" ht="15.75" x14ac:dyDescent="0.25">
      <c r="A769" s="81"/>
      <c r="B769" s="82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7"/>
    </row>
    <row r="770" spans="1:13" ht="15.75" x14ac:dyDescent="0.25">
      <c r="A770" s="81"/>
      <c r="B770" s="82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7"/>
    </row>
    <row r="771" spans="1:13" ht="15.75" x14ac:dyDescent="0.25">
      <c r="A771" s="81"/>
      <c r="B771" s="82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7"/>
    </row>
    <row r="772" spans="1:13" ht="15.75" x14ac:dyDescent="0.25">
      <c r="A772" s="81"/>
      <c r="B772" s="82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7"/>
    </row>
    <row r="773" spans="1:13" ht="15.75" x14ac:dyDescent="0.25">
      <c r="A773" s="81"/>
      <c r="B773" s="82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7"/>
    </row>
    <row r="774" spans="1:13" ht="15.75" x14ac:dyDescent="0.25">
      <c r="A774" s="81"/>
      <c r="B774" s="82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7"/>
    </row>
    <row r="775" spans="1:13" ht="15.75" x14ac:dyDescent="0.25">
      <c r="A775" s="81"/>
      <c r="B775" s="82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7"/>
    </row>
    <row r="776" spans="1:13" ht="15.75" x14ac:dyDescent="0.25">
      <c r="A776" s="81"/>
      <c r="B776" s="82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7"/>
    </row>
    <row r="777" spans="1:13" ht="15.75" x14ac:dyDescent="0.25">
      <c r="A777" s="81"/>
      <c r="B777" s="82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7"/>
    </row>
    <row r="778" spans="1:13" ht="15.75" x14ac:dyDescent="0.25">
      <c r="A778" s="81"/>
      <c r="B778" s="82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7"/>
    </row>
    <row r="779" spans="1:13" ht="15.75" x14ac:dyDescent="0.25">
      <c r="A779" s="81"/>
      <c r="B779" s="82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7"/>
    </row>
    <row r="780" spans="1:13" ht="15.75" x14ac:dyDescent="0.25">
      <c r="A780" s="81"/>
      <c r="B780" s="82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7"/>
    </row>
    <row r="781" spans="1:13" ht="15.75" x14ac:dyDescent="0.25">
      <c r="A781" s="81"/>
      <c r="B781" s="82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7"/>
    </row>
    <row r="782" spans="1:13" ht="15.75" x14ac:dyDescent="0.25">
      <c r="A782" s="81"/>
      <c r="B782" s="82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7"/>
    </row>
    <row r="783" spans="1:13" ht="15.75" x14ac:dyDescent="0.25">
      <c r="A783" s="81"/>
      <c r="B783" s="82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7"/>
    </row>
    <row r="784" spans="1:13" ht="15.75" x14ac:dyDescent="0.25">
      <c r="A784" s="81"/>
      <c r="B784" s="82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7"/>
    </row>
    <row r="785" spans="1:13" ht="15.75" x14ac:dyDescent="0.25">
      <c r="A785" s="81"/>
      <c r="B785" s="82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7"/>
    </row>
    <row r="786" spans="1:13" ht="15.75" x14ac:dyDescent="0.25">
      <c r="A786" s="81"/>
      <c r="B786" s="82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7"/>
    </row>
    <row r="787" spans="1:13" ht="15.75" x14ac:dyDescent="0.25">
      <c r="A787" s="81"/>
      <c r="B787" s="82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7"/>
    </row>
    <row r="788" spans="1:13" ht="15.75" x14ac:dyDescent="0.25">
      <c r="A788" s="81"/>
      <c r="B788" s="82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7"/>
    </row>
    <row r="789" spans="1:13" ht="15.75" x14ac:dyDescent="0.25">
      <c r="A789" s="81"/>
      <c r="B789" s="82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7"/>
    </row>
    <row r="790" spans="1:13" ht="15.75" x14ac:dyDescent="0.25">
      <c r="A790" s="81"/>
      <c r="B790" s="82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7"/>
    </row>
    <row r="791" spans="1:13" ht="15.75" x14ac:dyDescent="0.25">
      <c r="A791" s="81"/>
      <c r="B791" s="82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7"/>
    </row>
    <row r="792" spans="1:13" ht="15.75" x14ac:dyDescent="0.25">
      <c r="A792" s="81"/>
      <c r="B792" s="82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7"/>
    </row>
    <row r="793" spans="1:13" ht="15.75" x14ac:dyDescent="0.25">
      <c r="A793" s="81"/>
      <c r="B793" s="82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7"/>
    </row>
    <row r="794" spans="1:13" ht="15.75" x14ac:dyDescent="0.25">
      <c r="A794" s="81"/>
      <c r="B794" s="82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7"/>
    </row>
    <row r="795" spans="1:13" ht="15.75" x14ac:dyDescent="0.25">
      <c r="A795" s="81"/>
      <c r="B795" s="82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7"/>
    </row>
    <row r="796" spans="1:13" ht="15.75" x14ac:dyDescent="0.25">
      <c r="A796" s="81"/>
      <c r="B796" s="82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7"/>
    </row>
    <row r="797" spans="1:13" ht="15.75" x14ac:dyDescent="0.25">
      <c r="A797" s="81"/>
      <c r="B797" s="82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7"/>
    </row>
    <row r="798" spans="1:13" ht="15.75" x14ac:dyDescent="0.25">
      <c r="A798" s="81"/>
      <c r="B798" s="82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7"/>
    </row>
    <row r="799" spans="1:13" ht="15.75" x14ac:dyDescent="0.25">
      <c r="A799" s="81"/>
      <c r="B799" s="82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7"/>
    </row>
    <row r="800" spans="1:13" ht="15.75" x14ac:dyDescent="0.25">
      <c r="A800" s="81"/>
      <c r="B800" s="82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7"/>
    </row>
    <row r="801" spans="1:13" ht="15.75" x14ac:dyDescent="0.25">
      <c r="A801" s="81"/>
      <c r="B801" s="82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7"/>
    </row>
    <row r="802" spans="1:13" ht="15.75" x14ac:dyDescent="0.25">
      <c r="A802" s="81"/>
      <c r="B802" s="82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7"/>
    </row>
    <row r="803" spans="1:13" ht="15.75" x14ac:dyDescent="0.25">
      <c r="A803" s="81"/>
      <c r="B803" s="82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7"/>
    </row>
    <row r="804" spans="1:13" ht="15.75" x14ac:dyDescent="0.25">
      <c r="A804" s="81"/>
      <c r="B804" s="82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7"/>
    </row>
    <row r="805" spans="1:13" ht="15.75" x14ac:dyDescent="0.25">
      <c r="A805" s="81"/>
      <c r="B805" s="82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7"/>
    </row>
    <row r="806" spans="1:13" ht="15.75" x14ac:dyDescent="0.25">
      <c r="A806" s="81"/>
      <c r="B806" s="82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7"/>
    </row>
    <row r="807" spans="1:13" ht="15.75" x14ac:dyDescent="0.25">
      <c r="A807" s="81"/>
      <c r="B807" s="82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7"/>
    </row>
    <row r="808" spans="1:13" ht="15.75" x14ac:dyDescent="0.25">
      <c r="A808" s="81"/>
      <c r="B808" s="82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7"/>
    </row>
    <row r="809" spans="1:13" ht="15.75" x14ac:dyDescent="0.25">
      <c r="A809" s="81"/>
      <c r="B809" s="82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7"/>
    </row>
    <row r="810" spans="1:13" ht="15.75" x14ac:dyDescent="0.25">
      <c r="A810" s="81"/>
      <c r="B810" s="82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7"/>
    </row>
    <row r="811" spans="1:13" ht="15.75" x14ac:dyDescent="0.25">
      <c r="A811" s="81"/>
      <c r="B811" s="82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7"/>
    </row>
    <row r="812" spans="1:13" ht="15.75" x14ac:dyDescent="0.25">
      <c r="A812" s="81"/>
      <c r="B812" s="82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7"/>
    </row>
    <row r="813" spans="1:13" ht="15.75" x14ac:dyDescent="0.25">
      <c r="A813" s="81"/>
      <c r="B813" s="82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7"/>
    </row>
    <row r="814" spans="1:13" ht="15.75" x14ac:dyDescent="0.25">
      <c r="A814" s="81"/>
      <c r="B814" s="82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7"/>
    </row>
    <row r="815" spans="1:13" ht="15.75" x14ac:dyDescent="0.25">
      <c r="A815" s="81"/>
      <c r="B815" s="82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7"/>
    </row>
    <row r="816" spans="1:13" ht="15.75" x14ac:dyDescent="0.25">
      <c r="A816" s="81"/>
      <c r="B816" s="82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7"/>
    </row>
    <row r="817" spans="1:13" ht="15.75" x14ac:dyDescent="0.25">
      <c r="A817" s="81"/>
      <c r="B817" s="82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7"/>
    </row>
    <row r="818" spans="1:13" ht="15.75" x14ac:dyDescent="0.25">
      <c r="A818" s="81"/>
      <c r="B818" s="82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7"/>
    </row>
    <row r="819" spans="1:13" ht="15.75" x14ac:dyDescent="0.25">
      <c r="A819" s="81"/>
      <c r="B819" s="82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7"/>
    </row>
    <row r="820" spans="1:13" ht="15.75" x14ac:dyDescent="0.25">
      <c r="A820" s="81"/>
      <c r="B820" s="82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7"/>
    </row>
    <row r="821" spans="1:13" ht="15.75" x14ac:dyDescent="0.25">
      <c r="A821" s="81"/>
      <c r="B821" s="82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7"/>
    </row>
    <row r="822" spans="1:13" ht="15.75" x14ac:dyDescent="0.25">
      <c r="A822" s="81"/>
      <c r="B822" s="82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7"/>
    </row>
    <row r="823" spans="1:13" ht="15.75" x14ac:dyDescent="0.25">
      <c r="A823" s="81"/>
      <c r="B823" s="82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7"/>
    </row>
    <row r="824" spans="1:13" ht="15.75" x14ac:dyDescent="0.25">
      <c r="A824" s="81"/>
      <c r="B824" s="82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7"/>
    </row>
    <row r="825" spans="1:13" ht="15.75" x14ac:dyDescent="0.25">
      <c r="A825" s="81"/>
      <c r="B825" s="82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7"/>
    </row>
    <row r="826" spans="1:13" ht="15.75" x14ac:dyDescent="0.25">
      <c r="A826" s="81"/>
      <c r="B826" s="82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7"/>
    </row>
    <row r="827" spans="1:13" ht="15.75" x14ac:dyDescent="0.25">
      <c r="A827" s="81"/>
      <c r="B827" s="82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7"/>
    </row>
    <row r="828" spans="1:13" ht="15.75" x14ac:dyDescent="0.25">
      <c r="A828" s="81"/>
      <c r="B828" s="82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7"/>
    </row>
    <row r="829" spans="1:13" ht="15.75" x14ac:dyDescent="0.25">
      <c r="A829" s="81"/>
      <c r="B829" s="82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7"/>
    </row>
    <row r="830" spans="1:13" ht="15.75" x14ac:dyDescent="0.25">
      <c r="A830" s="81"/>
      <c r="B830" s="82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7"/>
    </row>
    <row r="831" spans="1:13" ht="15.75" x14ac:dyDescent="0.25">
      <c r="A831" s="81"/>
      <c r="B831" s="82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7"/>
    </row>
    <row r="832" spans="1:13" ht="15.75" x14ac:dyDescent="0.25">
      <c r="A832" s="81"/>
      <c r="B832" s="82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7"/>
    </row>
    <row r="833" spans="1:13" ht="15.75" x14ac:dyDescent="0.25">
      <c r="A833" s="81"/>
      <c r="B833" s="82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7"/>
    </row>
    <row r="834" spans="1:13" ht="15.75" x14ac:dyDescent="0.25">
      <c r="A834" s="81"/>
      <c r="B834" s="82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7"/>
    </row>
    <row r="835" spans="1:13" ht="15.75" x14ac:dyDescent="0.25">
      <c r="A835" s="81"/>
      <c r="B835" s="82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7"/>
    </row>
    <row r="836" spans="1:13" ht="15.75" x14ac:dyDescent="0.25">
      <c r="A836" s="81"/>
      <c r="B836" s="82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7"/>
    </row>
    <row r="837" spans="1:13" ht="15.75" x14ac:dyDescent="0.25">
      <c r="A837" s="81"/>
      <c r="B837" s="82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7"/>
    </row>
    <row r="838" spans="1:13" ht="15.75" x14ac:dyDescent="0.25">
      <c r="A838" s="81"/>
      <c r="B838" s="82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7"/>
    </row>
    <row r="839" spans="1:13" ht="15.75" x14ac:dyDescent="0.25">
      <c r="A839" s="81"/>
      <c r="B839" s="82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7"/>
    </row>
    <row r="840" spans="1:13" ht="15.75" x14ac:dyDescent="0.25">
      <c r="A840" s="81"/>
      <c r="B840" s="82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7"/>
    </row>
    <row r="841" spans="1:13" ht="15.75" x14ac:dyDescent="0.25">
      <c r="A841" s="81"/>
      <c r="B841" s="82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7"/>
    </row>
    <row r="842" spans="1:13" ht="15.75" x14ac:dyDescent="0.25">
      <c r="A842" s="81"/>
      <c r="B842" s="82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7"/>
    </row>
    <row r="843" spans="1:13" ht="15.75" x14ac:dyDescent="0.25">
      <c r="A843" s="81"/>
      <c r="B843" s="82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7"/>
    </row>
    <row r="844" spans="1:13" ht="15.75" x14ac:dyDescent="0.25">
      <c r="A844" s="81"/>
      <c r="B844" s="82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7"/>
    </row>
    <row r="845" spans="1:13" ht="15.75" x14ac:dyDescent="0.25">
      <c r="A845" s="81"/>
      <c r="B845" s="82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7"/>
    </row>
    <row r="846" spans="1:13" ht="15.75" x14ac:dyDescent="0.25">
      <c r="A846" s="81"/>
      <c r="B846" s="82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7"/>
    </row>
    <row r="847" spans="1:13" ht="15.75" x14ac:dyDescent="0.25">
      <c r="A847" s="81"/>
      <c r="B847" s="82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7"/>
    </row>
    <row r="848" spans="1:13" ht="15.75" x14ac:dyDescent="0.25">
      <c r="A848" s="81"/>
      <c r="B848" s="82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7"/>
    </row>
    <row r="849" spans="1:13" ht="15.75" x14ac:dyDescent="0.25">
      <c r="A849" s="81"/>
      <c r="B849" s="82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7"/>
    </row>
    <row r="850" spans="1:13" ht="15.75" x14ac:dyDescent="0.25">
      <c r="A850" s="81"/>
      <c r="B850" s="82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7"/>
    </row>
    <row r="851" spans="1:13" ht="15.75" x14ac:dyDescent="0.25">
      <c r="A851" s="81"/>
      <c r="B851" s="82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7"/>
    </row>
    <row r="852" spans="1:13" ht="15.75" x14ac:dyDescent="0.25">
      <c r="A852" s="81"/>
      <c r="B852" s="82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7"/>
    </row>
    <row r="853" spans="1:13" ht="15.75" x14ac:dyDescent="0.25">
      <c r="A853" s="81"/>
      <c r="B853" s="82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7"/>
    </row>
    <row r="854" spans="1:13" ht="15.75" x14ac:dyDescent="0.25">
      <c r="A854" s="81"/>
      <c r="B854" s="82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7"/>
    </row>
    <row r="855" spans="1:13" ht="15.75" x14ac:dyDescent="0.25">
      <c r="A855" s="81"/>
      <c r="B855" s="82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7"/>
    </row>
    <row r="856" spans="1:13" ht="15.75" x14ac:dyDescent="0.25">
      <c r="A856" s="81"/>
      <c r="B856" s="82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7"/>
    </row>
    <row r="857" spans="1:13" ht="15.75" x14ac:dyDescent="0.25">
      <c r="A857" s="81"/>
      <c r="B857" s="82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7"/>
    </row>
    <row r="858" spans="1:13" ht="15.75" x14ac:dyDescent="0.25">
      <c r="A858" s="81"/>
      <c r="B858" s="82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7"/>
    </row>
    <row r="859" spans="1:13" ht="15.75" x14ac:dyDescent="0.25">
      <c r="A859" s="81"/>
      <c r="B859" s="82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7"/>
    </row>
    <row r="860" spans="1:13" ht="15.75" x14ac:dyDescent="0.25">
      <c r="A860" s="81"/>
      <c r="B860" s="82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7"/>
    </row>
    <row r="861" spans="1:13" ht="15.75" x14ac:dyDescent="0.25">
      <c r="A861" s="81"/>
      <c r="B861" s="82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7"/>
    </row>
    <row r="862" spans="1:13" ht="15.75" x14ac:dyDescent="0.25">
      <c r="A862" s="81"/>
      <c r="B862" s="82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7"/>
    </row>
    <row r="863" spans="1:13" ht="15.75" x14ac:dyDescent="0.25">
      <c r="A863" s="81"/>
      <c r="B863" s="82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7"/>
    </row>
    <row r="864" spans="1:13" ht="15.75" x14ac:dyDescent="0.25">
      <c r="A864" s="81"/>
      <c r="B864" s="82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7"/>
    </row>
    <row r="865" spans="1:13" ht="15.75" x14ac:dyDescent="0.25">
      <c r="A865" s="81"/>
      <c r="B865" s="82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7"/>
    </row>
    <row r="866" spans="1:13" ht="15.75" x14ac:dyDescent="0.25">
      <c r="A866" s="81"/>
      <c r="B866" s="82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7"/>
    </row>
    <row r="867" spans="1:13" ht="15.75" x14ac:dyDescent="0.25">
      <c r="A867" s="81"/>
      <c r="B867" s="82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7"/>
    </row>
    <row r="868" spans="1:13" ht="15.75" x14ac:dyDescent="0.25">
      <c r="A868" s="81"/>
      <c r="B868" s="82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7"/>
    </row>
    <row r="869" spans="1:13" ht="15.75" x14ac:dyDescent="0.25">
      <c r="A869" s="81"/>
      <c r="B869" s="82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7"/>
    </row>
    <row r="870" spans="1:13" ht="15.75" x14ac:dyDescent="0.25">
      <c r="A870" s="81"/>
      <c r="B870" s="82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7"/>
    </row>
    <row r="871" spans="1:13" ht="15.75" x14ac:dyDescent="0.25">
      <c r="A871" s="81"/>
      <c r="B871" s="82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7"/>
    </row>
    <row r="872" spans="1:13" ht="15.75" x14ac:dyDescent="0.25">
      <c r="A872" s="81"/>
      <c r="B872" s="82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7"/>
    </row>
    <row r="873" spans="1:13" ht="15.75" x14ac:dyDescent="0.25">
      <c r="A873" s="81"/>
      <c r="B873" s="82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7"/>
    </row>
    <row r="874" spans="1:13" ht="15.75" x14ac:dyDescent="0.25">
      <c r="A874" s="81"/>
      <c r="B874" s="82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7"/>
    </row>
    <row r="875" spans="1:13" ht="15.75" x14ac:dyDescent="0.25">
      <c r="A875" s="81"/>
      <c r="B875" s="82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7"/>
    </row>
    <row r="876" spans="1:13" ht="15.75" x14ac:dyDescent="0.25">
      <c r="A876" s="81"/>
      <c r="B876" s="82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7"/>
    </row>
    <row r="877" spans="1:13" ht="15.75" x14ac:dyDescent="0.25">
      <c r="A877" s="81"/>
      <c r="B877" s="82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7"/>
    </row>
    <row r="878" spans="1:13" ht="15.75" x14ac:dyDescent="0.25">
      <c r="A878" s="81"/>
      <c r="B878" s="82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7"/>
    </row>
    <row r="879" spans="1:13" ht="15.75" x14ac:dyDescent="0.25">
      <c r="A879" s="81"/>
      <c r="B879" s="82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7"/>
    </row>
    <row r="880" spans="1:13" ht="15.75" x14ac:dyDescent="0.25">
      <c r="A880" s="81"/>
      <c r="B880" s="82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7"/>
    </row>
    <row r="881" spans="1:13" ht="15.75" x14ac:dyDescent="0.25">
      <c r="A881" s="81"/>
      <c r="B881" s="82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7"/>
    </row>
    <row r="882" spans="1:13" ht="15.75" x14ac:dyDescent="0.25">
      <c r="A882" s="81"/>
      <c r="B882" s="82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7"/>
    </row>
    <row r="883" spans="1:13" ht="15.75" x14ac:dyDescent="0.25">
      <c r="A883" s="81"/>
      <c r="B883" s="82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7"/>
    </row>
    <row r="884" spans="1:13" ht="15.75" x14ac:dyDescent="0.25">
      <c r="A884" s="81"/>
      <c r="B884" s="82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7"/>
    </row>
    <row r="885" spans="1:13" ht="15.75" x14ac:dyDescent="0.25">
      <c r="A885" s="81"/>
      <c r="B885" s="82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7"/>
    </row>
    <row r="886" spans="1:13" ht="15.75" x14ac:dyDescent="0.25">
      <c r="A886" s="81"/>
      <c r="B886" s="82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7"/>
    </row>
    <row r="887" spans="1:13" ht="15.75" x14ac:dyDescent="0.25">
      <c r="A887" s="81"/>
      <c r="B887" s="82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7"/>
    </row>
    <row r="888" spans="1:13" ht="15.75" x14ac:dyDescent="0.25">
      <c r="A888" s="81"/>
      <c r="B888" s="82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7"/>
    </row>
    <row r="889" spans="1:13" ht="15.75" x14ac:dyDescent="0.25">
      <c r="A889" s="81"/>
      <c r="B889" s="82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7"/>
    </row>
    <row r="890" spans="1:13" ht="15.75" x14ac:dyDescent="0.25">
      <c r="A890" s="81"/>
      <c r="B890" s="82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7"/>
    </row>
    <row r="891" spans="1:13" ht="15.75" x14ac:dyDescent="0.25">
      <c r="A891" s="81"/>
      <c r="B891" s="82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7"/>
    </row>
    <row r="892" spans="1:13" ht="15.75" x14ac:dyDescent="0.25">
      <c r="A892" s="81"/>
      <c r="B892" s="82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7"/>
    </row>
    <row r="893" spans="1:13" ht="15.75" x14ac:dyDescent="0.25">
      <c r="A893" s="81"/>
      <c r="B893" s="82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7"/>
    </row>
    <row r="894" spans="1:13" ht="15.75" x14ac:dyDescent="0.25">
      <c r="A894" s="81"/>
      <c r="B894" s="82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7"/>
    </row>
    <row r="895" spans="1:13" ht="15.75" x14ac:dyDescent="0.25">
      <c r="A895" s="81"/>
      <c r="B895" s="82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7"/>
    </row>
    <row r="896" spans="1:13" ht="15.75" x14ac:dyDescent="0.25">
      <c r="A896" s="81"/>
      <c r="B896" s="82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7"/>
    </row>
    <row r="897" spans="1:13" ht="15.75" x14ac:dyDescent="0.25">
      <c r="A897" s="81"/>
      <c r="B897" s="82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7"/>
    </row>
    <row r="898" spans="1:13" ht="15.75" x14ac:dyDescent="0.25">
      <c r="A898" s="81"/>
      <c r="B898" s="82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7"/>
    </row>
    <row r="899" spans="1:13" ht="15.75" x14ac:dyDescent="0.25">
      <c r="A899" s="81"/>
      <c r="B899" s="82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7"/>
    </row>
    <row r="900" spans="1:13" ht="15.75" x14ac:dyDescent="0.25">
      <c r="A900" s="81"/>
      <c r="B900" s="82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7"/>
    </row>
    <row r="901" spans="1:13" ht="15.75" x14ac:dyDescent="0.25">
      <c r="A901" s="81"/>
      <c r="B901" s="82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7"/>
    </row>
    <row r="902" spans="1:13" ht="15.75" x14ac:dyDescent="0.25">
      <c r="A902" s="81"/>
      <c r="B902" s="82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7"/>
    </row>
    <row r="903" spans="1:13" ht="15.75" x14ac:dyDescent="0.25">
      <c r="A903" s="81"/>
      <c r="B903" s="82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7"/>
    </row>
    <row r="904" spans="1:13" ht="15.75" x14ac:dyDescent="0.25">
      <c r="A904" s="81"/>
      <c r="B904" s="82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7"/>
    </row>
    <row r="905" spans="1:13" ht="15.75" x14ac:dyDescent="0.25">
      <c r="A905" s="81"/>
      <c r="B905" s="82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7"/>
    </row>
    <row r="906" spans="1:13" ht="15.75" x14ac:dyDescent="0.25">
      <c r="A906" s="81"/>
      <c r="B906" s="82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7"/>
    </row>
    <row r="907" spans="1:13" ht="15.75" x14ac:dyDescent="0.25">
      <c r="A907" s="81"/>
      <c r="B907" s="82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7"/>
    </row>
    <row r="908" spans="1:13" ht="15.75" x14ac:dyDescent="0.25">
      <c r="A908" s="81"/>
      <c r="B908" s="82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7"/>
    </row>
    <row r="909" spans="1:13" ht="15.75" x14ac:dyDescent="0.25">
      <c r="A909" s="81"/>
      <c r="B909" s="82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7"/>
    </row>
    <row r="910" spans="1:13" ht="15.75" x14ac:dyDescent="0.25">
      <c r="A910" s="81"/>
      <c r="B910" s="82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7"/>
    </row>
    <row r="911" spans="1:13" ht="15.75" x14ac:dyDescent="0.25">
      <c r="A911" s="81"/>
      <c r="B911" s="82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7"/>
    </row>
    <row r="912" spans="1:13" ht="15.75" x14ac:dyDescent="0.25">
      <c r="A912" s="81"/>
      <c r="B912" s="82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7"/>
    </row>
    <row r="913" spans="1:13" ht="15.75" x14ac:dyDescent="0.25">
      <c r="A913" s="81"/>
      <c r="B913" s="82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7"/>
    </row>
    <row r="914" spans="1:13" ht="15.75" x14ac:dyDescent="0.25">
      <c r="A914" s="81"/>
      <c r="B914" s="82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7"/>
    </row>
    <row r="915" spans="1:13" ht="15.75" x14ac:dyDescent="0.25">
      <c r="A915" s="81"/>
      <c r="B915" s="82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7"/>
    </row>
    <row r="916" spans="1:13" ht="15.75" x14ac:dyDescent="0.25">
      <c r="A916" s="81"/>
      <c r="B916" s="82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7"/>
    </row>
    <row r="917" spans="1:13" ht="15.75" x14ac:dyDescent="0.25">
      <c r="A917" s="81"/>
      <c r="B917" s="82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7"/>
    </row>
    <row r="918" spans="1:13" ht="15.75" x14ac:dyDescent="0.25">
      <c r="A918" s="81"/>
      <c r="B918" s="82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7"/>
    </row>
    <row r="919" spans="1:13" ht="15.75" x14ac:dyDescent="0.25">
      <c r="A919" s="81"/>
      <c r="B919" s="82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7"/>
    </row>
    <row r="920" spans="1:13" ht="15.75" x14ac:dyDescent="0.25">
      <c r="A920" s="81"/>
      <c r="B920" s="82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7"/>
    </row>
    <row r="921" spans="1:13" ht="15.75" x14ac:dyDescent="0.25">
      <c r="A921" s="81"/>
      <c r="B921" s="82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7"/>
    </row>
    <row r="922" spans="1:13" ht="15.75" x14ac:dyDescent="0.25">
      <c r="A922" s="81"/>
      <c r="B922" s="82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7"/>
    </row>
    <row r="923" spans="1:13" ht="15.75" x14ac:dyDescent="0.25">
      <c r="A923" s="81"/>
      <c r="B923" s="82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7"/>
    </row>
    <row r="924" spans="1:13" ht="15.75" x14ac:dyDescent="0.25">
      <c r="A924" s="81"/>
      <c r="B924" s="82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7"/>
    </row>
    <row r="925" spans="1:13" ht="15.75" x14ac:dyDescent="0.25">
      <c r="A925" s="81"/>
      <c r="B925" s="82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7"/>
    </row>
    <row r="926" spans="1:13" ht="15.75" x14ac:dyDescent="0.25">
      <c r="A926" s="81"/>
      <c r="B926" s="82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7"/>
    </row>
    <row r="927" spans="1:13" ht="15.75" x14ac:dyDescent="0.25">
      <c r="A927" s="81"/>
      <c r="B927" s="82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7"/>
    </row>
    <row r="928" spans="1:13" ht="15.75" x14ac:dyDescent="0.25">
      <c r="A928" s="81"/>
      <c r="B928" s="82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7"/>
    </row>
    <row r="929" spans="1:13" ht="15.75" x14ac:dyDescent="0.25">
      <c r="A929" s="81"/>
      <c r="B929" s="82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7"/>
    </row>
    <row r="930" spans="1:13" ht="15.75" x14ac:dyDescent="0.25">
      <c r="A930" s="81"/>
      <c r="B930" s="82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7"/>
    </row>
    <row r="931" spans="1:13" ht="15.75" x14ac:dyDescent="0.25">
      <c r="A931" s="81"/>
      <c r="B931" s="82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7"/>
    </row>
    <row r="932" spans="1:13" ht="15.75" x14ac:dyDescent="0.25">
      <c r="A932" s="81"/>
      <c r="B932" s="82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7"/>
    </row>
    <row r="933" spans="1:13" ht="15.75" x14ac:dyDescent="0.25">
      <c r="A933" s="81"/>
      <c r="B933" s="82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7"/>
    </row>
    <row r="934" spans="1:13" ht="15.75" x14ac:dyDescent="0.25">
      <c r="A934" s="81"/>
      <c r="B934" s="82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7"/>
    </row>
    <row r="935" spans="1:13" ht="15.75" x14ac:dyDescent="0.25">
      <c r="A935" s="81"/>
      <c r="B935" s="82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7"/>
    </row>
    <row r="936" spans="1:13" ht="15.75" x14ac:dyDescent="0.25">
      <c r="A936" s="81"/>
      <c r="B936" s="82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7"/>
    </row>
    <row r="937" spans="1:13" ht="15.75" x14ac:dyDescent="0.25">
      <c r="A937" s="81"/>
      <c r="B937" s="82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7"/>
    </row>
    <row r="938" spans="1:13" ht="15.75" x14ac:dyDescent="0.25">
      <c r="A938" s="81"/>
      <c r="B938" s="82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7"/>
    </row>
    <row r="939" spans="1:13" ht="15.75" x14ac:dyDescent="0.25">
      <c r="A939" s="81"/>
      <c r="B939" s="82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7"/>
    </row>
    <row r="940" spans="1:13" ht="15.75" x14ac:dyDescent="0.25">
      <c r="A940" s="81"/>
      <c r="B940" s="82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7"/>
    </row>
    <row r="941" spans="1:13" ht="15.75" x14ac:dyDescent="0.25">
      <c r="A941" s="81"/>
      <c r="B941" s="82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7"/>
    </row>
    <row r="942" spans="1:13" ht="15.75" x14ac:dyDescent="0.25">
      <c r="A942" s="81"/>
      <c r="B942" s="82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7"/>
    </row>
    <row r="943" spans="1:13" ht="15.75" x14ac:dyDescent="0.25">
      <c r="A943" s="81"/>
      <c r="B943" s="82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7"/>
    </row>
    <row r="944" spans="1:13" ht="15.75" x14ac:dyDescent="0.25">
      <c r="A944" s="81"/>
      <c r="B944" s="82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7"/>
    </row>
    <row r="945" spans="1:13" ht="15.75" x14ac:dyDescent="0.25">
      <c r="A945" s="81"/>
      <c r="B945" s="82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7"/>
    </row>
    <row r="946" spans="1:13" ht="15.75" x14ac:dyDescent="0.25">
      <c r="A946" s="81"/>
      <c r="B946" s="82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7"/>
    </row>
    <row r="947" spans="1:13" ht="15.75" x14ac:dyDescent="0.25">
      <c r="A947" s="81"/>
      <c r="B947" s="82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7"/>
    </row>
    <row r="948" spans="1:13" ht="15.75" x14ac:dyDescent="0.25">
      <c r="A948" s="81"/>
      <c r="B948" s="82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7"/>
    </row>
    <row r="949" spans="1:13" ht="15.75" x14ac:dyDescent="0.25">
      <c r="A949" s="81"/>
      <c r="B949" s="82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7"/>
    </row>
    <row r="950" spans="1:13" ht="15.75" x14ac:dyDescent="0.25">
      <c r="A950" s="81"/>
      <c r="B950" s="82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7"/>
    </row>
    <row r="951" spans="1:13" ht="15.75" x14ac:dyDescent="0.25">
      <c r="A951" s="81"/>
      <c r="B951" s="82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7"/>
    </row>
    <row r="952" spans="1:13" ht="15.75" x14ac:dyDescent="0.25">
      <c r="A952" s="81"/>
      <c r="B952" s="82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7"/>
    </row>
    <row r="953" spans="1:13" ht="15.75" x14ac:dyDescent="0.25">
      <c r="A953" s="81"/>
      <c r="B953" s="82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7"/>
    </row>
    <row r="954" spans="1:13" ht="15.75" x14ac:dyDescent="0.25">
      <c r="A954" s="81"/>
      <c r="B954" s="82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7"/>
    </row>
    <row r="955" spans="1:13" ht="15.75" x14ac:dyDescent="0.25">
      <c r="A955" s="81"/>
      <c r="B955" s="82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7"/>
    </row>
    <row r="956" spans="1:13" ht="15.75" x14ac:dyDescent="0.25">
      <c r="A956" s="81"/>
      <c r="B956" s="82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7"/>
    </row>
    <row r="957" spans="1:13" ht="15.75" x14ac:dyDescent="0.25">
      <c r="A957" s="81"/>
      <c r="B957" s="82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7"/>
    </row>
    <row r="958" spans="1:13" ht="15.75" x14ac:dyDescent="0.25">
      <c r="A958" s="81"/>
      <c r="B958" s="82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7"/>
    </row>
    <row r="959" spans="1:13" ht="15.75" x14ac:dyDescent="0.25">
      <c r="A959" s="81"/>
      <c r="B959" s="82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7"/>
    </row>
    <row r="960" spans="1:13" ht="15.75" x14ac:dyDescent="0.25">
      <c r="A960" s="81"/>
      <c r="B960" s="82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7"/>
    </row>
    <row r="961" spans="1:13" ht="15.75" x14ac:dyDescent="0.25">
      <c r="A961" s="81"/>
      <c r="B961" s="82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7"/>
    </row>
    <row r="962" spans="1:13" ht="15.75" x14ac:dyDescent="0.25">
      <c r="A962" s="81"/>
      <c r="B962" s="82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7"/>
    </row>
    <row r="963" spans="1:13" ht="15.75" x14ac:dyDescent="0.25">
      <c r="A963" s="81"/>
      <c r="B963" s="82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7"/>
    </row>
    <row r="964" spans="1:13" ht="15.75" x14ac:dyDescent="0.25">
      <c r="A964" s="81"/>
      <c r="B964" s="82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7"/>
    </row>
    <row r="965" spans="1:13" ht="15.75" x14ac:dyDescent="0.25">
      <c r="A965" s="81"/>
      <c r="B965" s="82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7"/>
    </row>
    <row r="966" spans="1:13" ht="15.75" x14ac:dyDescent="0.25">
      <c r="A966" s="81"/>
      <c r="B966" s="82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7"/>
    </row>
    <row r="967" spans="1:13" ht="15.75" x14ac:dyDescent="0.25">
      <c r="A967" s="81"/>
      <c r="B967" s="82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7"/>
    </row>
    <row r="968" spans="1:13" ht="15.75" x14ac:dyDescent="0.25">
      <c r="A968" s="81"/>
      <c r="B968" s="82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7"/>
    </row>
    <row r="969" spans="1:13" ht="15.75" x14ac:dyDescent="0.25">
      <c r="A969" s="81"/>
      <c r="B969" s="82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7"/>
    </row>
    <row r="970" spans="1:13" ht="15.75" x14ac:dyDescent="0.25">
      <c r="A970" s="81"/>
      <c r="B970" s="82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7"/>
    </row>
    <row r="971" spans="1:13" ht="15.75" x14ac:dyDescent="0.25">
      <c r="A971" s="81"/>
      <c r="B971" s="82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7"/>
    </row>
    <row r="972" spans="1:13" ht="15.75" x14ac:dyDescent="0.25">
      <c r="A972" s="81"/>
      <c r="B972" s="82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7"/>
    </row>
    <row r="973" spans="1:13" ht="15.75" x14ac:dyDescent="0.25">
      <c r="A973" s="81"/>
      <c r="B973" s="82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7"/>
    </row>
    <row r="974" spans="1:13" ht="15.75" x14ac:dyDescent="0.25">
      <c r="A974" s="81"/>
      <c r="B974" s="82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7"/>
    </row>
    <row r="975" spans="1:13" ht="15.75" x14ac:dyDescent="0.25">
      <c r="A975" s="81"/>
      <c r="B975" s="82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7"/>
    </row>
    <row r="976" spans="1:13" ht="15.75" x14ac:dyDescent="0.25">
      <c r="A976" s="81"/>
      <c r="B976" s="82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7"/>
    </row>
    <row r="977" spans="1:13" ht="15.75" x14ac:dyDescent="0.25">
      <c r="A977" s="81"/>
      <c r="B977" s="82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7"/>
    </row>
    <row r="978" spans="1:13" ht="15.75" x14ac:dyDescent="0.25">
      <c r="A978" s="81"/>
      <c r="B978" s="82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7"/>
    </row>
    <row r="979" spans="1:13" ht="15.75" x14ac:dyDescent="0.25">
      <c r="A979" s="81"/>
      <c r="B979" s="82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7"/>
    </row>
    <row r="980" spans="1:13" ht="15.75" x14ac:dyDescent="0.25">
      <c r="A980" s="81"/>
      <c r="B980" s="82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0729-C153-4072-B73A-7B4DE00BEF59}">
  <sheetPr codeName="Hoja36"/>
  <dimension ref="C10:S22"/>
  <sheetViews>
    <sheetView topLeftCell="E1" workbookViewId="0">
      <selection activeCell="E12" sqref="E12"/>
    </sheetView>
  </sheetViews>
  <sheetFormatPr baseColWidth="10" defaultRowHeight="15" x14ac:dyDescent="0.25"/>
  <cols>
    <col min="1" max="1" width="1.85546875" customWidth="1"/>
    <col min="2" max="2" width="1.140625" customWidth="1"/>
    <col min="3" max="3" width="22.140625" customWidth="1"/>
    <col min="4" max="4" width="21.7109375" customWidth="1"/>
    <col min="5" max="5" width="29" customWidth="1"/>
    <col min="6" max="6" width="17.7109375" customWidth="1"/>
    <col min="7" max="7" width="19.140625" customWidth="1"/>
    <col min="8" max="8" width="23.28515625" customWidth="1"/>
    <col min="9" max="9" width="17.140625" customWidth="1"/>
    <col min="10" max="10" width="23.7109375" customWidth="1"/>
  </cols>
  <sheetData>
    <row r="10" spans="3:19" ht="15.75" thickBot="1" x14ac:dyDescent="0.3">
      <c r="D10" s="99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99"/>
      <c r="S10" s="99"/>
    </row>
    <row r="11" spans="3:19" ht="15.75" thickTop="1" x14ac:dyDescent="0.25">
      <c r="D11" s="99"/>
      <c r="E11" s="100" t="s">
        <v>78</v>
      </c>
      <c r="F11" s="120" t="s">
        <v>79</v>
      </c>
      <c r="G11" s="120" t="s">
        <v>80</v>
      </c>
      <c r="H11" s="120" t="s">
        <v>81</v>
      </c>
      <c r="I11" s="120" t="s">
        <v>82</v>
      </c>
      <c r="J11" s="120" t="s">
        <v>83</v>
      </c>
      <c r="K11" s="122" t="s">
        <v>84</v>
      </c>
      <c r="M11" s="121"/>
      <c r="O11" s="121"/>
      <c r="Q11" s="111"/>
      <c r="R11" s="99"/>
      <c r="S11" s="99"/>
    </row>
    <row r="12" spans="3:19" ht="15.75" thickBot="1" x14ac:dyDescent="0.3">
      <c r="D12" s="99"/>
      <c r="E12" s="101" t="s">
        <v>85</v>
      </c>
      <c r="F12" s="117" t="s">
        <v>85</v>
      </c>
      <c r="G12" s="117" t="s">
        <v>85</v>
      </c>
      <c r="H12" s="117" t="s">
        <v>85</v>
      </c>
      <c r="I12" s="130" t="s">
        <v>85</v>
      </c>
      <c r="J12" s="130" t="s">
        <v>86</v>
      </c>
      <c r="K12" s="123"/>
      <c r="M12" s="118"/>
      <c r="O12" s="118"/>
      <c r="Q12" s="111"/>
      <c r="R12" s="99"/>
      <c r="S12" s="99"/>
    </row>
    <row r="13" spans="3:19" ht="16.5" thickTop="1" thickBot="1" x14ac:dyDescent="0.3">
      <c r="C13" s="102" t="s">
        <v>87</v>
      </c>
      <c r="D13" s="107">
        <v>2</v>
      </c>
      <c r="E13" s="105">
        <v>10</v>
      </c>
      <c r="F13" s="106">
        <v>261.3</v>
      </c>
      <c r="G13" s="106">
        <v>259.2</v>
      </c>
      <c r="H13" s="124">
        <v>258.2</v>
      </c>
      <c r="I13" s="134">
        <f>+AVERAGE(F13:H13)</f>
        <v>259.56666666666666</v>
      </c>
      <c r="J13" s="131">
        <f>+STDEV(F13:H13)</f>
        <v>1.582192571507455</v>
      </c>
      <c r="K13" s="127">
        <f t="shared" ref="K13:K18" si="0">+(J13/I13)*100</f>
        <v>0.6095515236319976</v>
      </c>
      <c r="M13" s="119"/>
      <c r="O13" s="106"/>
      <c r="Q13" s="111"/>
      <c r="R13" s="99"/>
      <c r="S13" s="99"/>
    </row>
    <row r="14" spans="3:19" x14ac:dyDescent="0.25">
      <c r="D14" s="99"/>
      <c r="E14" s="103">
        <v>20</v>
      </c>
      <c r="F14" s="114">
        <v>510.9</v>
      </c>
      <c r="G14" s="114">
        <v>511.2</v>
      </c>
      <c r="H14" s="125">
        <v>510.9</v>
      </c>
      <c r="I14" s="135">
        <f t="shared" ref="I14:I18" si="1">+AVERAGE(F14:H14)</f>
        <v>511</v>
      </c>
      <c r="J14" s="132">
        <f t="shared" ref="J14:J18" si="2">+STDEV(F14:H14)</f>
        <v>0.17320508075689431</v>
      </c>
      <c r="K14" s="128">
        <f t="shared" si="0"/>
        <v>3.3895319130507695E-2</v>
      </c>
      <c r="M14" s="116"/>
      <c r="O14" s="114"/>
      <c r="Q14" s="111"/>
      <c r="R14" s="99"/>
      <c r="S14" s="99"/>
    </row>
    <row r="15" spans="3:19" x14ac:dyDescent="0.25">
      <c r="D15" s="99"/>
      <c r="E15" s="103">
        <v>30</v>
      </c>
      <c r="F15" s="114">
        <v>756.1</v>
      </c>
      <c r="G15" s="114">
        <v>755.3</v>
      </c>
      <c r="H15" s="125">
        <v>758.2</v>
      </c>
      <c r="I15" s="135">
        <f t="shared" si="1"/>
        <v>756.53333333333342</v>
      </c>
      <c r="J15" s="132">
        <f t="shared" si="2"/>
        <v>1.4977761292441054</v>
      </c>
      <c r="K15" s="128">
        <f t="shared" si="0"/>
        <v>0.19797886798256589</v>
      </c>
      <c r="M15" s="116"/>
      <c r="O15" s="114"/>
      <c r="Q15" s="111"/>
      <c r="R15" s="99"/>
      <c r="S15" s="99"/>
    </row>
    <row r="16" spans="3:19" x14ac:dyDescent="0.25">
      <c r="D16" s="99"/>
      <c r="E16" s="103">
        <v>40</v>
      </c>
      <c r="F16" s="114">
        <v>1001</v>
      </c>
      <c r="G16" s="114">
        <v>1003</v>
      </c>
      <c r="H16" s="125">
        <v>1000</v>
      </c>
      <c r="I16" s="135">
        <f t="shared" si="1"/>
        <v>1001.3333333333334</v>
      </c>
      <c r="J16" s="132">
        <f t="shared" si="2"/>
        <v>1.5275252316519468</v>
      </c>
      <c r="K16" s="128">
        <f t="shared" si="0"/>
        <v>0.152549124332751</v>
      </c>
      <c r="M16" s="115"/>
      <c r="O16" s="114"/>
      <c r="Q16" s="111"/>
      <c r="R16" s="99"/>
      <c r="S16" s="99"/>
    </row>
    <row r="17" spans="4:19" x14ac:dyDescent="0.25">
      <c r="D17" s="99"/>
      <c r="E17" s="103">
        <v>50</v>
      </c>
      <c r="F17" s="114">
        <v>1216</v>
      </c>
      <c r="G17" s="114">
        <v>1221</v>
      </c>
      <c r="H17" s="125">
        <v>1216</v>
      </c>
      <c r="I17" s="135">
        <f t="shared" si="1"/>
        <v>1217.6666666666667</v>
      </c>
      <c r="J17" s="132">
        <f t="shared" si="2"/>
        <v>2.8867513459481291</v>
      </c>
      <c r="K17" s="128">
        <f t="shared" si="0"/>
        <v>0.23707237990266594</v>
      </c>
      <c r="M17" s="115"/>
      <c r="O17" s="114"/>
      <c r="Q17" s="111"/>
      <c r="R17" s="99"/>
      <c r="S17" s="99"/>
    </row>
    <row r="18" spans="4:19" ht="15.75" thickBot="1" x14ac:dyDescent="0.3">
      <c r="D18" s="99"/>
      <c r="E18" s="104">
        <v>60</v>
      </c>
      <c r="F18" s="112">
        <v>1385</v>
      </c>
      <c r="G18" s="112">
        <v>1337</v>
      </c>
      <c r="H18" s="126">
        <v>1362</v>
      </c>
      <c r="I18" s="136">
        <f t="shared" si="1"/>
        <v>1361.3333333333333</v>
      </c>
      <c r="J18" s="133">
        <f t="shared" si="2"/>
        <v>24.00694344004112</v>
      </c>
      <c r="K18" s="129">
        <f t="shared" si="0"/>
        <v>1.7634875200813753</v>
      </c>
      <c r="M18" s="113"/>
      <c r="O18" s="112"/>
      <c r="Q18" s="111"/>
      <c r="R18" s="99"/>
      <c r="S18" s="99"/>
    </row>
    <row r="19" spans="4:19" ht="15.75" thickTop="1" x14ac:dyDescent="0.25">
      <c r="D19" s="99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99"/>
      <c r="S19" s="99"/>
    </row>
    <row r="20" spans="4:19" x14ac:dyDescent="0.25"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</row>
    <row r="21" spans="4:19" x14ac:dyDescent="0.25">
      <c r="E21" s="108"/>
      <c r="F21" s="108"/>
      <c r="G21" s="108"/>
      <c r="H21" s="108"/>
      <c r="I21" s="108"/>
      <c r="J21" s="108"/>
      <c r="K21" s="108"/>
      <c r="L21" s="108"/>
    </row>
    <row r="22" spans="4:19" x14ac:dyDescent="0.25">
      <c r="E22" s="108"/>
      <c r="F22" s="109"/>
      <c r="G22" s="109"/>
      <c r="H22" s="109"/>
      <c r="I22" s="110"/>
      <c r="J22" s="110"/>
      <c r="K22" s="110"/>
      <c r="L22" s="10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9E851-976F-439A-A9EA-9F00E305FCAC}">
  <sheetPr codeName="Hoja13"/>
  <dimension ref="A1:B18"/>
  <sheetViews>
    <sheetView workbookViewId="0">
      <selection activeCell="I16" sqref="I16"/>
    </sheetView>
  </sheetViews>
  <sheetFormatPr baseColWidth="10" defaultRowHeight="15" x14ac:dyDescent="0.25"/>
  <cols>
    <col min="2" max="2" width="24.5703125" customWidth="1"/>
  </cols>
  <sheetData>
    <row r="1" spans="1:2" ht="15.75" thickBot="1" x14ac:dyDescent="0.3">
      <c r="A1" s="91" t="s">
        <v>43</v>
      </c>
      <c r="B1" s="91" t="s">
        <v>44</v>
      </c>
    </row>
    <row r="2" spans="1:2" x14ac:dyDescent="0.25">
      <c r="A2" s="92" t="s">
        <v>45</v>
      </c>
      <c r="B2" s="93" t="s">
        <v>46</v>
      </c>
    </row>
    <row r="3" spans="1:2" x14ac:dyDescent="0.25">
      <c r="A3" s="94" t="s">
        <v>47</v>
      </c>
      <c r="B3" s="95" t="s">
        <v>48</v>
      </c>
    </row>
    <row r="4" spans="1:2" ht="15.75" thickBot="1" x14ac:dyDescent="0.3">
      <c r="A4" s="94" t="s">
        <v>49</v>
      </c>
      <c r="B4" s="95" t="s">
        <v>50</v>
      </c>
    </row>
    <row r="5" spans="1:2" ht="15.75" thickBot="1" x14ac:dyDescent="0.3">
      <c r="A5" s="92" t="s">
        <v>51</v>
      </c>
      <c r="B5" s="93" t="s">
        <v>52</v>
      </c>
    </row>
    <row r="6" spans="1:2" ht="15.75" thickBot="1" x14ac:dyDescent="0.3">
      <c r="A6" s="92" t="s">
        <v>53</v>
      </c>
      <c r="B6" s="93" t="s">
        <v>54</v>
      </c>
    </row>
    <row r="7" spans="1:2" ht="15.75" thickBot="1" x14ac:dyDescent="0.3">
      <c r="A7" s="92" t="s">
        <v>55</v>
      </c>
      <c r="B7" s="93" t="s">
        <v>56</v>
      </c>
    </row>
    <row r="8" spans="1:2" ht="15.75" thickBot="1" x14ac:dyDescent="0.3">
      <c r="A8" s="92" t="s">
        <v>57</v>
      </c>
      <c r="B8" s="93" t="s">
        <v>58</v>
      </c>
    </row>
    <row r="9" spans="1:2" x14ac:dyDescent="0.25">
      <c r="A9" s="92" t="s">
        <v>59</v>
      </c>
      <c r="B9" s="93" t="s">
        <v>60</v>
      </c>
    </row>
    <row r="10" spans="1:2" x14ac:dyDescent="0.25">
      <c r="A10" s="94" t="s">
        <v>61</v>
      </c>
      <c r="B10" s="95" t="s">
        <v>62</v>
      </c>
    </row>
    <row r="11" spans="1:2" x14ac:dyDescent="0.25">
      <c r="A11" s="94" t="s">
        <v>63</v>
      </c>
      <c r="B11" s="95" t="s">
        <v>64</v>
      </c>
    </row>
    <row r="12" spans="1:2" ht="15.75" thickBot="1" x14ac:dyDescent="0.3">
      <c r="A12" s="96" t="s">
        <v>65</v>
      </c>
      <c r="B12" s="95" t="s">
        <v>64</v>
      </c>
    </row>
    <row r="13" spans="1:2" x14ac:dyDescent="0.25">
      <c r="A13" s="97" t="s">
        <v>66</v>
      </c>
      <c r="B13" s="98" t="s">
        <v>67</v>
      </c>
    </row>
    <row r="14" spans="1:2" x14ac:dyDescent="0.25">
      <c r="A14" s="97" t="s">
        <v>68</v>
      </c>
      <c r="B14" s="98" t="s">
        <v>69</v>
      </c>
    </row>
    <row r="15" spans="1:2" x14ac:dyDescent="0.25">
      <c r="A15" s="97" t="s">
        <v>70</v>
      </c>
      <c r="B15" s="98" t="s">
        <v>71</v>
      </c>
    </row>
    <row r="16" spans="1:2" x14ac:dyDescent="0.25">
      <c r="A16" s="97" t="s">
        <v>72</v>
      </c>
      <c r="B16" s="98" t="s">
        <v>73</v>
      </c>
    </row>
    <row r="17" spans="1:2" x14ac:dyDescent="0.25">
      <c r="A17" s="97" t="s">
        <v>74</v>
      </c>
      <c r="B17" s="98" t="s">
        <v>75</v>
      </c>
    </row>
    <row r="18" spans="1:2" x14ac:dyDescent="0.25">
      <c r="A18" s="97" t="s">
        <v>76</v>
      </c>
      <c r="B18" s="98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41B7C-EB1D-4F52-A14F-7CE7FB1E64A3}">
  <sheetPr codeName="Hoja9"/>
  <dimension ref="A1:BD89"/>
  <sheetViews>
    <sheetView topLeftCell="AW17" workbookViewId="0">
      <selection activeCell="BA21" sqref="BA21"/>
    </sheetView>
  </sheetViews>
  <sheetFormatPr baseColWidth="10" defaultRowHeight="15.75" x14ac:dyDescent="0.25"/>
  <cols>
    <col min="1" max="1" width="25.7109375" style="161" customWidth="1"/>
    <col min="2" max="2" width="15.7109375" style="161" customWidth="1"/>
    <col min="3" max="6" width="11.42578125" style="161"/>
    <col min="7" max="7" width="18.7109375" style="161" customWidth="1"/>
    <col min="8" max="18" width="11.42578125" style="161"/>
    <col min="19" max="19" width="15.7109375" style="161" customWidth="1"/>
    <col min="20" max="16384" width="11.42578125" style="161"/>
  </cols>
  <sheetData>
    <row r="1" spans="1:56" x14ac:dyDescent="0.25">
      <c r="C1" s="182" t="s">
        <v>88</v>
      </c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4"/>
      <c r="S1" s="174" t="s">
        <v>96</v>
      </c>
      <c r="T1" s="163">
        <v>1</v>
      </c>
      <c r="U1" s="164">
        <v>43012</v>
      </c>
      <c r="V1" s="165">
        <v>0.49722222222222223</v>
      </c>
      <c r="W1" s="164">
        <v>43012</v>
      </c>
      <c r="X1" s="166">
        <v>0.51458333333333328</v>
      </c>
    </row>
    <row r="2" spans="1:56" x14ac:dyDescent="0.25">
      <c r="A2" s="161">
        <v>3</v>
      </c>
      <c r="C2" s="185" t="s">
        <v>89</v>
      </c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7"/>
      <c r="S2" s="175" t="s">
        <v>97</v>
      </c>
      <c r="T2" s="162" t="s">
        <v>108</v>
      </c>
    </row>
    <row r="3" spans="1:56" x14ac:dyDescent="0.25">
      <c r="A3" s="161">
        <v>0</v>
      </c>
      <c r="C3" s="188" t="s">
        <v>90</v>
      </c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90"/>
      <c r="S3" s="176" t="s">
        <v>98</v>
      </c>
      <c r="T3" s="162" t="s">
        <v>108</v>
      </c>
    </row>
    <row r="4" spans="1:56" x14ac:dyDescent="0.25">
      <c r="S4" s="162" t="s">
        <v>92</v>
      </c>
      <c r="T4" s="162">
        <v>1</v>
      </c>
    </row>
    <row r="8" spans="1:56" x14ac:dyDescent="0.25">
      <c r="C8" s="162" t="s">
        <v>105</v>
      </c>
      <c r="D8" s="162" t="s">
        <v>106</v>
      </c>
      <c r="E8" s="162" t="s">
        <v>107</v>
      </c>
      <c r="G8" s="162"/>
    </row>
    <row r="9" spans="1:56" x14ac:dyDescent="0.25">
      <c r="B9" s="162" t="s">
        <v>93</v>
      </c>
      <c r="C9" s="162" t="s">
        <v>102</v>
      </c>
      <c r="D9" s="162" t="s">
        <v>103</v>
      </c>
      <c r="E9" s="162" t="s">
        <v>104</v>
      </c>
      <c r="G9" s="162" t="s">
        <v>111</v>
      </c>
    </row>
    <row r="10" spans="1:56" x14ac:dyDescent="0.25">
      <c r="B10" s="162" t="s">
        <v>94</v>
      </c>
      <c r="C10" s="167">
        <v>599.70000000000005</v>
      </c>
      <c r="D10" s="163">
        <v>595.6</v>
      </c>
      <c r="E10" s="168">
        <v>609.5</v>
      </c>
      <c r="G10" s="162">
        <v>601.6</v>
      </c>
      <c r="BB10" s="161">
        <v>599.70000000000005</v>
      </c>
      <c r="BC10" s="161">
        <v>595.6</v>
      </c>
      <c r="BD10" s="161">
        <v>609.5</v>
      </c>
    </row>
    <row r="11" spans="1:56" x14ac:dyDescent="0.25">
      <c r="B11" s="162" t="s">
        <v>9</v>
      </c>
      <c r="C11" s="167">
        <v>600.92999999999995</v>
      </c>
      <c r="D11" s="163">
        <v>599.37</v>
      </c>
      <c r="E11" s="168">
        <v>610.62</v>
      </c>
      <c r="G11" s="162">
        <v>610.62</v>
      </c>
      <c r="BB11" s="161">
        <v>600.92999999999995</v>
      </c>
      <c r="BC11" s="161">
        <v>599.37</v>
      </c>
      <c r="BD11" s="161">
        <v>610.62</v>
      </c>
    </row>
    <row r="12" spans="1:56" x14ac:dyDescent="0.25">
      <c r="B12" s="162" t="s">
        <v>95</v>
      </c>
      <c r="C12" s="167">
        <v>596.65</v>
      </c>
      <c r="D12" s="163">
        <v>587.69999999999993</v>
      </c>
      <c r="E12" s="168">
        <v>606.58999999999992</v>
      </c>
      <c r="G12" s="162">
        <v>587.69999999999993</v>
      </c>
      <c r="BB12" s="161">
        <v>596.65</v>
      </c>
      <c r="BC12" s="161">
        <v>587.69999999999993</v>
      </c>
      <c r="BD12" s="161">
        <v>606.58999999999992</v>
      </c>
    </row>
    <row r="13" spans="1:56" x14ac:dyDescent="0.25"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56" x14ac:dyDescent="0.25">
      <c r="B14" s="177"/>
      <c r="C14" s="177"/>
      <c r="D14" s="177"/>
      <c r="E14" s="177"/>
      <c r="F14" s="177"/>
      <c r="G14" s="177"/>
      <c r="H14" s="177"/>
      <c r="I14" s="177"/>
      <c r="J14" s="177"/>
    </row>
    <row r="15" spans="1:56" x14ac:dyDescent="0.25">
      <c r="B15" s="177"/>
      <c r="C15" s="177"/>
      <c r="D15" s="177"/>
      <c r="E15" s="177"/>
      <c r="F15" s="177"/>
      <c r="G15" s="177"/>
      <c r="H15" s="177"/>
      <c r="I15" s="177"/>
      <c r="J15" s="177"/>
    </row>
    <row r="16" spans="1:56" x14ac:dyDescent="0.25">
      <c r="B16" s="177"/>
      <c r="C16" s="162" t="s">
        <v>111</v>
      </c>
      <c r="D16" s="177"/>
      <c r="E16" s="177"/>
      <c r="F16" s="177"/>
      <c r="G16" s="177"/>
      <c r="H16" s="177"/>
      <c r="I16" s="177"/>
      <c r="J16" s="177"/>
    </row>
    <row r="17" spans="1:56" x14ac:dyDescent="0.25">
      <c r="B17" s="162" t="s">
        <v>94</v>
      </c>
      <c r="C17" s="162">
        <v>601.6</v>
      </c>
      <c r="D17" s="177"/>
      <c r="E17" s="177"/>
      <c r="F17" s="177"/>
      <c r="G17" s="177"/>
      <c r="H17" s="177"/>
      <c r="I17" s="177"/>
      <c r="J17" s="177"/>
    </row>
    <row r="18" spans="1:56" x14ac:dyDescent="0.25">
      <c r="B18" s="162" t="s">
        <v>9</v>
      </c>
      <c r="C18" s="162">
        <v>610.62</v>
      </c>
      <c r="D18" s="177"/>
      <c r="E18" s="177"/>
      <c r="F18" s="177"/>
      <c r="G18" s="177"/>
      <c r="H18" s="177"/>
      <c r="I18" s="177"/>
      <c r="J18" s="177"/>
    </row>
    <row r="19" spans="1:56" x14ac:dyDescent="0.25">
      <c r="B19" s="162" t="s">
        <v>95</v>
      </c>
      <c r="C19" s="162">
        <v>587.69999999999993</v>
      </c>
      <c r="D19" s="177"/>
      <c r="E19" s="177"/>
      <c r="F19" s="177"/>
      <c r="G19" s="177"/>
      <c r="H19" s="177"/>
      <c r="I19" s="177"/>
      <c r="J19" s="177"/>
      <c r="AZ19" s="161" t="s">
        <v>115</v>
      </c>
      <c r="BA19" s="161">
        <v>7</v>
      </c>
    </row>
    <row r="20" spans="1:56" x14ac:dyDescent="0.25">
      <c r="B20" s="162" t="s">
        <v>113</v>
      </c>
      <c r="C20" s="162">
        <v>18.889999999999986</v>
      </c>
    </row>
    <row r="21" spans="1:56" x14ac:dyDescent="0.25">
      <c r="AZ21" s="161" t="s">
        <v>114</v>
      </c>
      <c r="BA21" s="161">
        <v>0</v>
      </c>
    </row>
    <row r="24" spans="1:56" x14ac:dyDescent="0.25">
      <c r="G24" s="162" t="s">
        <v>113</v>
      </c>
    </row>
    <row r="25" spans="1:56" x14ac:dyDescent="0.25">
      <c r="G25" s="162">
        <v>18.889999999999986</v>
      </c>
    </row>
    <row r="28" spans="1:56" x14ac:dyDescent="0.25">
      <c r="C28" s="161" t="s">
        <v>110</v>
      </c>
      <c r="D28" s="161" t="s">
        <v>110</v>
      </c>
      <c r="E28" s="161" t="s">
        <v>110</v>
      </c>
      <c r="BB28" s="161" t="s">
        <v>110</v>
      </c>
      <c r="BC28" s="161" t="s">
        <v>110</v>
      </c>
      <c r="BD28" s="161" t="s">
        <v>110</v>
      </c>
    </row>
    <row r="29" spans="1:56" ht="16.5" thickBot="1" x14ac:dyDescent="0.3">
      <c r="A29" s="161" t="s">
        <v>91</v>
      </c>
      <c r="C29" s="161">
        <v>1</v>
      </c>
      <c r="D29" s="161">
        <v>2</v>
      </c>
      <c r="E29" s="161">
        <v>3</v>
      </c>
      <c r="BB29" s="161">
        <v>1</v>
      </c>
      <c r="BC29" s="161">
        <v>2</v>
      </c>
      <c r="BD29" s="161">
        <v>3</v>
      </c>
    </row>
    <row r="30" spans="1:56" ht="16.5" thickBot="1" x14ac:dyDescent="0.3">
      <c r="A30" s="146" t="s">
        <v>101</v>
      </c>
      <c r="B30" s="151" t="s">
        <v>109</v>
      </c>
      <c r="C30" s="146" t="s">
        <v>105</v>
      </c>
      <c r="D30" s="160" t="s">
        <v>106</v>
      </c>
      <c r="E30" s="146" t="s">
        <v>107</v>
      </c>
      <c r="F30" s="169"/>
      <c r="G30" s="162" t="s">
        <v>112</v>
      </c>
      <c r="BB30" s="137" t="s">
        <v>105</v>
      </c>
      <c r="BC30" s="138" t="s">
        <v>106</v>
      </c>
      <c r="BD30" s="139" t="s">
        <v>107</v>
      </c>
    </row>
    <row r="31" spans="1:56" x14ac:dyDescent="0.25">
      <c r="A31" s="147">
        <v>43012</v>
      </c>
      <c r="B31" s="152">
        <v>0.48402777777777778</v>
      </c>
      <c r="C31" s="156">
        <v>16.100000000000001</v>
      </c>
      <c r="D31" s="156">
        <v>14.820000000000002</v>
      </c>
      <c r="E31" s="156">
        <v>15.580000000000002</v>
      </c>
      <c r="G31" s="170">
        <v>1.2799999999999994</v>
      </c>
      <c r="BB31" s="140">
        <v>16.100000000000001</v>
      </c>
      <c r="BC31" s="140">
        <v>14.820000000000002</v>
      </c>
      <c r="BD31" s="141">
        <v>15.580000000000002</v>
      </c>
    </row>
    <row r="32" spans="1:56" x14ac:dyDescent="0.25">
      <c r="A32" s="148">
        <v>43012</v>
      </c>
      <c r="B32" s="153">
        <v>0.48472222222222222</v>
      </c>
      <c r="C32" s="157">
        <v>16.45</v>
      </c>
      <c r="D32" s="157">
        <v>15.160000000000002</v>
      </c>
      <c r="E32" s="157">
        <v>15.75</v>
      </c>
      <c r="G32" s="171">
        <v>1.2899999999999974</v>
      </c>
      <c r="BB32" s="142">
        <v>16.45</v>
      </c>
      <c r="BC32" s="142">
        <v>15.160000000000002</v>
      </c>
      <c r="BD32" s="143">
        <v>15.75</v>
      </c>
    </row>
    <row r="33" spans="1:56" x14ac:dyDescent="0.25">
      <c r="A33" s="148">
        <v>43012</v>
      </c>
      <c r="B33" s="153">
        <v>0.485416666666667</v>
      </c>
      <c r="C33" s="157">
        <v>102.07</v>
      </c>
      <c r="D33" s="157">
        <v>98.550000000000011</v>
      </c>
      <c r="E33" s="157">
        <v>84.95</v>
      </c>
      <c r="G33" s="171">
        <v>17.11999999999999</v>
      </c>
      <c r="BB33" s="142">
        <v>102.07</v>
      </c>
      <c r="BC33" s="142">
        <v>98.550000000000011</v>
      </c>
      <c r="BD33" s="143">
        <v>84.95</v>
      </c>
    </row>
    <row r="34" spans="1:56" x14ac:dyDescent="0.25">
      <c r="A34" s="148">
        <v>43012</v>
      </c>
      <c r="B34" s="153">
        <v>0.48611111111111099</v>
      </c>
      <c r="C34" s="157">
        <v>137.74</v>
      </c>
      <c r="D34" s="157">
        <v>135.51000000000002</v>
      </c>
      <c r="E34" s="157">
        <v>135.26000000000002</v>
      </c>
      <c r="G34" s="171">
        <v>2.4799999999999898</v>
      </c>
      <c r="BB34" s="142">
        <v>137.74</v>
      </c>
      <c r="BC34" s="142">
        <v>135.51000000000002</v>
      </c>
      <c r="BD34" s="143">
        <v>135.26000000000002</v>
      </c>
    </row>
    <row r="35" spans="1:56" x14ac:dyDescent="0.25">
      <c r="A35" s="148">
        <v>43012</v>
      </c>
      <c r="B35" s="153">
        <v>0.48680555555555599</v>
      </c>
      <c r="C35" s="157">
        <v>281.89</v>
      </c>
      <c r="D35" s="157">
        <v>275.34999999999997</v>
      </c>
      <c r="E35" s="157">
        <v>303.73</v>
      </c>
      <c r="G35" s="171">
        <v>28.380000000000052</v>
      </c>
      <c r="BB35" s="142">
        <v>281.89</v>
      </c>
      <c r="BC35" s="142">
        <v>275.34999999999997</v>
      </c>
      <c r="BD35" s="143">
        <v>303.73</v>
      </c>
    </row>
    <row r="36" spans="1:56" x14ac:dyDescent="0.25">
      <c r="A36" s="148">
        <v>43012</v>
      </c>
      <c r="B36" s="153">
        <v>0.48749999999999999</v>
      </c>
      <c r="C36" s="157">
        <v>354.84</v>
      </c>
      <c r="D36" s="157">
        <v>335.84999999999997</v>
      </c>
      <c r="E36" s="157">
        <v>370.98</v>
      </c>
      <c r="G36" s="171">
        <v>35.130000000000052</v>
      </c>
      <c r="BB36" s="142">
        <v>354.84</v>
      </c>
      <c r="BC36" s="142">
        <v>335.84999999999997</v>
      </c>
      <c r="BD36" s="143">
        <v>370.98</v>
      </c>
    </row>
    <row r="37" spans="1:56" x14ac:dyDescent="0.25">
      <c r="A37" s="148">
        <v>43012</v>
      </c>
      <c r="B37" s="153">
        <v>0.48819444444444399</v>
      </c>
      <c r="C37" s="157">
        <v>440.44</v>
      </c>
      <c r="D37" s="157">
        <v>414.63</v>
      </c>
      <c r="E37" s="157">
        <v>453.7</v>
      </c>
      <c r="G37" s="171">
        <v>39.069999999999993</v>
      </c>
      <c r="BB37" s="142">
        <v>440.44</v>
      </c>
      <c r="BC37" s="142">
        <v>414.63</v>
      </c>
      <c r="BD37" s="143">
        <v>453.7</v>
      </c>
    </row>
    <row r="38" spans="1:56" x14ac:dyDescent="0.25">
      <c r="A38" s="148">
        <v>43012</v>
      </c>
      <c r="B38" s="153">
        <v>0.48888888888888898</v>
      </c>
      <c r="C38" s="157">
        <v>500.48</v>
      </c>
      <c r="D38" s="157">
        <v>475.38</v>
      </c>
      <c r="E38" s="157">
        <v>514.32999999999993</v>
      </c>
      <c r="G38" s="171">
        <v>38.949999999999932</v>
      </c>
      <c r="BB38" s="142">
        <v>500.48</v>
      </c>
      <c r="BC38" s="142">
        <v>475.38</v>
      </c>
      <c r="BD38" s="143">
        <v>514.32999999999993</v>
      </c>
    </row>
    <row r="39" spans="1:56" x14ac:dyDescent="0.25">
      <c r="A39" s="148">
        <v>43012</v>
      </c>
      <c r="B39" s="153">
        <v>0.48958333333333298</v>
      </c>
      <c r="C39" s="157">
        <v>550.74</v>
      </c>
      <c r="D39" s="157">
        <v>526.37</v>
      </c>
      <c r="E39" s="157">
        <v>564.16</v>
      </c>
      <c r="G39" s="171">
        <v>37.789999999999964</v>
      </c>
      <c r="BB39" s="142">
        <v>550.74</v>
      </c>
      <c r="BC39" s="142">
        <v>526.37</v>
      </c>
      <c r="BD39" s="143">
        <v>564.16</v>
      </c>
    </row>
    <row r="40" spans="1:56" x14ac:dyDescent="0.25">
      <c r="A40" s="148">
        <v>43012</v>
      </c>
      <c r="B40" s="153">
        <v>0.49027777777777798</v>
      </c>
      <c r="C40" s="157">
        <v>558.16</v>
      </c>
      <c r="D40" s="157">
        <v>537.59</v>
      </c>
      <c r="E40" s="157">
        <v>575.1099999999999</v>
      </c>
      <c r="G40" s="171">
        <v>37.519999999999868</v>
      </c>
      <c r="BB40" s="142">
        <v>558.16</v>
      </c>
      <c r="BC40" s="142">
        <v>537.59</v>
      </c>
      <c r="BD40" s="143">
        <v>575.1099999999999</v>
      </c>
    </row>
    <row r="41" spans="1:56" x14ac:dyDescent="0.25">
      <c r="A41" s="148">
        <v>43012</v>
      </c>
      <c r="B41" s="153">
        <v>0.49097222222222198</v>
      </c>
      <c r="C41" s="157">
        <v>571.99</v>
      </c>
      <c r="D41" s="157">
        <v>552.47</v>
      </c>
      <c r="E41" s="157">
        <v>586.02</v>
      </c>
      <c r="G41" s="171">
        <v>33.549999999999955</v>
      </c>
      <c r="BB41" s="142">
        <v>571.99</v>
      </c>
      <c r="BC41" s="142">
        <v>552.47</v>
      </c>
      <c r="BD41" s="143">
        <v>586.02</v>
      </c>
    </row>
    <row r="42" spans="1:56" x14ac:dyDescent="0.25">
      <c r="A42" s="148">
        <v>43012</v>
      </c>
      <c r="B42" s="153">
        <v>0.49166666666666697</v>
      </c>
      <c r="C42" s="157">
        <v>583.24</v>
      </c>
      <c r="D42" s="157">
        <v>563.66999999999996</v>
      </c>
      <c r="E42" s="157">
        <v>594.30999999999995</v>
      </c>
      <c r="G42" s="171">
        <v>30.639999999999986</v>
      </c>
      <c r="BB42" s="142">
        <v>583.24</v>
      </c>
      <c r="BC42" s="142">
        <v>563.66999999999996</v>
      </c>
      <c r="BD42" s="143">
        <v>594.30999999999995</v>
      </c>
    </row>
    <row r="43" spans="1:56" x14ac:dyDescent="0.25">
      <c r="A43" s="148">
        <v>43012</v>
      </c>
      <c r="B43" s="153">
        <v>0.49236111111111103</v>
      </c>
      <c r="C43" s="157">
        <v>582.92999999999995</v>
      </c>
      <c r="D43" s="157">
        <v>569.55999999999995</v>
      </c>
      <c r="E43" s="157">
        <v>599.05999999999995</v>
      </c>
      <c r="G43" s="171">
        <v>29.5</v>
      </c>
      <c r="BB43" s="142">
        <v>582.92999999999995</v>
      </c>
      <c r="BC43" s="142">
        <v>569.55999999999995</v>
      </c>
      <c r="BD43" s="143">
        <v>599.05999999999995</v>
      </c>
    </row>
    <row r="44" spans="1:56" x14ac:dyDescent="0.25">
      <c r="A44" s="148">
        <v>43012</v>
      </c>
      <c r="B44" s="153">
        <v>0.49305555555555602</v>
      </c>
      <c r="C44" s="157">
        <v>590.96</v>
      </c>
      <c r="D44" s="157">
        <v>575.65</v>
      </c>
      <c r="E44" s="157">
        <v>601.89</v>
      </c>
      <c r="G44" s="171">
        <v>26.240000000000009</v>
      </c>
      <c r="BB44" s="142">
        <v>590.96</v>
      </c>
      <c r="BC44" s="142">
        <v>575.65</v>
      </c>
      <c r="BD44" s="143">
        <v>601.89</v>
      </c>
    </row>
    <row r="45" spans="1:56" x14ac:dyDescent="0.25">
      <c r="A45" s="148">
        <v>43012</v>
      </c>
      <c r="B45" s="153">
        <v>0.49375000000000002</v>
      </c>
      <c r="C45" s="157">
        <v>592.23</v>
      </c>
      <c r="D45" s="157">
        <v>578.94999999999993</v>
      </c>
      <c r="E45" s="157">
        <v>603.71999999999991</v>
      </c>
      <c r="G45" s="171">
        <v>24.769999999999982</v>
      </c>
      <c r="BB45" s="142">
        <v>592.23</v>
      </c>
      <c r="BC45" s="142">
        <v>578.94999999999993</v>
      </c>
      <c r="BD45" s="143">
        <v>603.71999999999991</v>
      </c>
    </row>
    <row r="46" spans="1:56" x14ac:dyDescent="0.25">
      <c r="A46" s="148">
        <v>43012</v>
      </c>
      <c r="B46" s="153">
        <v>0.49444444444444402</v>
      </c>
      <c r="C46" s="157">
        <v>589.41999999999996</v>
      </c>
      <c r="D46" s="157">
        <v>579.25</v>
      </c>
      <c r="E46" s="157">
        <v>603.04</v>
      </c>
      <c r="G46" s="171">
        <v>23.789999999999964</v>
      </c>
      <c r="BB46" s="142">
        <v>589.41999999999996</v>
      </c>
      <c r="BC46" s="142">
        <v>579.25</v>
      </c>
      <c r="BD46" s="143">
        <v>603.04</v>
      </c>
    </row>
    <row r="47" spans="1:56" x14ac:dyDescent="0.25">
      <c r="A47" s="148">
        <v>43012</v>
      </c>
      <c r="B47" s="153">
        <v>0.49513888888888902</v>
      </c>
      <c r="C47" s="157">
        <v>586.20000000000005</v>
      </c>
      <c r="D47" s="157">
        <v>580.04999999999995</v>
      </c>
      <c r="E47" s="157">
        <v>604.46999999999991</v>
      </c>
      <c r="G47" s="171">
        <v>24.419999999999959</v>
      </c>
      <c r="BB47" s="142">
        <v>586.20000000000005</v>
      </c>
      <c r="BC47" s="142">
        <v>580.04999999999995</v>
      </c>
      <c r="BD47" s="143">
        <v>604.46999999999991</v>
      </c>
    </row>
    <row r="48" spans="1:56" x14ac:dyDescent="0.25">
      <c r="A48" s="148">
        <v>43012</v>
      </c>
      <c r="B48" s="153">
        <v>0.49583333333333302</v>
      </c>
      <c r="C48" s="157">
        <v>594.70000000000005</v>
      </c>
      <c r="D48" s="157">
        <v>584.18999999999994</v>
      </c>
      <c r="E48" s="157">
        <v>604.89</v>
      </c>
      <c r="G48" s="171">
        <v>20.700000000000045</v>
      </c>
      <c r="BB48" s="142">
        <v>594.70000000000005</v>
      </c>
      <c r="BC48" s="142">
        <v>584.18999999999994</v>
      </c>
      <c r="BD48" s="143">
        <v>604.89</v>
      </c>
    </row>
    <row r="49" spans="1:56" x14ac:dyDescent="0.25">
      <c r="A49" s="148">
        <v>43012</v>
      </c>
      <c r="B49" s="153">
        <v>0.49652777777777801</v>
      </c>
      <c r="C49" s="157">
        <v>594.01</v>
      </c>
      <c r="D49" s="157">
        <v>585.98</v>
      </c>
      <c r="E49" s="157">
        <v>606.18999999999994</v>
      </c>
      <c r="G49" s="171">
        <v>20.209999999999923</v>
      </c>
      <c r="BB49" s="142">
        <v>594.01</v>
      </c>
      <c r="BC49" s="142">
        <v>585.98</v>
      </c>
      <c r="BD49" s="143">
        <v>606.18999999999994</v>
      </c>
    </row>
    <row r="50" spans="1:56" x14ac:dyDescent="0.25">
      <c r="A50" s="149">
        <v>43012</v>
      </c>
      <c r="B50" s="154">
        <v>0.49722222222222201</v>
      </c>
      <c r="C50" s="158">
        <v>596.65</v>
      </c>
      <c r="D50" s="158">
        <v>587.69999999999993</v>
      </c>
      <c r="E50" s="158">
        <v>606.58999999999992</v>
      </c>
      <c r="G50" s="172">
        <v>18.889999999999986</v>
      </c>
      <c r="BB50" s="142">
        <v>596.65</v>
      </c>
      <c r="BC50" s="142">
        <v>587.69999999999993</v>
      </c>
      <c r="BD50" s="143">
        <v>606.58999999999992</v>
      </c>
    </row>
    <row r="51" spans="1:56" x14ac:dyDescent="0.25">
      <c r="A51" s="149">
        <v>43012</v>
      </c>
      <c r="B51" s="154">
        <v>0.49791666666666701</v>
      </c>
      <c r="C51" s="158">
        <v>597.14</v>
      </c>
      <c r="D51" s="158">
        <v>588.30999999999995</v>
      </c>
      <c r="E51" s="158">
        <v>606.75</v>
      </c>
      <c r="G51" s="172">
        <v>18.440000000000055</v>
      </c>
      <c r="BB51" s="142">
        <v>597.14</v>
      </c>
      <c r="BC51" s="142">
        <v>588.30999999999995</v>
      </c>
      <c r="BD51" s="143">
        <v>606.75</v>
      </c>
    </row>
    <row r="52" spans="1:56" x14ac:dyDescent="0.25">
      <c r="A52" s="149">
        <v>43012</v>
      </c>
      <c r="B52" s="154">
        <v>0.49861111111111101</v>
      </c>
      <c r="C52" s="158">
        <v>598.42999999999995</v>
      </c>
      <c r="D52" s="158">
        <v>590.15</v>
      </c>
      <c r="E52" s="158">
        <v>607.94999999999993</v>
      </c>
      <c r="G52" s="172">
        <v>17.799999999999955</v>
      </c>
      <c r="BB52" s="142">
        <v>598.42999999999995</v>
      </c>
      <c r="BC52" s="142">
        <v>590.15</v>
      </c>
      <c r="BD52" s="143">
        <v>607.94999999999993</v>
      </c>
    </row>
    <row r="53" spans="1:56" x14ac:dyDescent="0.25">
      <c r="A53" s="149">
        <v>43012</v>
      </c>
      <c r="B53" s="154">
        <v>0.499305555555556</v>
      </c>
      <c r="C53" s="158">
        <v>598.53</v>
      </c>
      <c r="D53" s="158">
        <v>590.92999999999995</v>
      </c>
      <c r="E53" s="158">
        <v>607.92999999999995</v>
      </c>
      <c r="G53" s="172">
        <v>17</v>
      </c>
      <c r="BB53" s="142">
        <v>598.53</v>
      </c>
      <c r="BC53" s="142">
        <v>590.92999999999995</v>
      </c>
      <c r="BD53" s="143">
        <v>607.92999999999995</v>
      </c>
    </row>
    <row r="54" spans="1:56" x14ac:dyDescent="0.25">
      <c r="A54" s="149">
        <v>43012</v>
      </c>
      <c r="B54" s="154">
        <v>0.5</v>
      </c>
      <c r="C54" s="158">
        <v>599.94000000000005</v>
      </c>
      <c r="D54" s="158">
        <v>592.80999999999995</v>
      </c>
      <c r="E54" s="158">
        <v>609.3599999999999</v>
      </c>
      <c r="G54" s="172">
        <v>16.549999999999955</v>
      </c>
      <c r="BB54" s="142">
        <v>599.94000000000005</v>
      </c>
      <c r="BC54" s="142">
        <v>592.80999999999995</v>
      </c>
      <c r="BD54" s="143">
        <v>609.3599999999999</v>
      </c>
    </row>
    <row r="55" spans="1:56" x14ac:dyDescent="0.25">
      <c r="A55" s="149">
        <v>43012</v>
      </c>
      <c r="B55" s="154">
        <v>0.500694444444444</v>
      </c>
      <c r="C55" s="158">
        <v>599.91999999999996</v>
      </c>
      <c r="D55" s="158">
        <v>593.35</v>
      </c>
      <c r="E55" s="158">
        <v>609.29</v>
      </c>
      <c r="G55" s="172">
        <v>15.939999999999941</v>
      </c>
      <c r="BB55" s="142">
        <v>599.91999999999996</v>
      </c>
      <c r="BC55" s="142">
        <v>593.35</v>
      </c>
      <c r="BD55" s="143">
        <v>609.29</v>
      </c>
    </row>
    <row r="56" spans="1:56" x14ac:dyDescent="0.25">
      <c r="A56" s="149">
        <v>43012</v>
      </c>
      <c r="B56" s="154">
        <v>0.50138888888888899</v>
      </c>
      <c r="C56" s="158">
        <v>599.23</v>
      </c>
      <c r="D56" s="158">
        <v>593.69999999999993</v>
      </c>
      <c r="E56" s="158">
        <v>609.25</v>
      </c>
      <c r="G56" s="172">
        <v>15.550000000000068</v>
      </c>
      <c r="BB56" s="142">
        <v>599.23</v>
      </c>
      <c r="BC56" s="142">
        <v>593.69999999999993</v>
      </c>
      <c r="BD56" s="143">
        <v>609.25</v>
      </c>
    </row>
    <row r="57" spans="1:56" x14ac:dyDescent="0.25">
      <c r="A57" s="149">
        <v>43012</v>
      </c>
      <c r="B57" s="154">
        <v>0.50208333333333299</v>
      </c>
      <c r="C57" s="158">
        <v>598.98</v>
      </c>
      <c r="D57" s="158">
        <v>593.61</v>
      </c>
      <c r="E57" s="158">
        <v>608.55999999999995</v>
      </c>
      <c r="G57" s="172">
        <v>14.949999999999932</v>
      </c>
      <c r="BB57" s="142">
        <v>598.98</v>
      </c>
      <c r="BC57" s="142">
        <v>593.61</v>
      </c>
      <c r="BD57" s="143">
        <v>608.55999999999995</v>
      </c>
    </row>
    <row r="58" spans="1:56" x14ac:dyDescent="0.25">
      <c r="A58" s="149">
        <v>43012</v>
      </c>
      <c r="B58" s="154">
        <v>0.50277777777777799</v>
      </c>
      <c r="C58" s="158">
        <v>600.13</v>
      </c>
      <c r="D58" s="158">
        <v>595.09</v>
      </c>
      <c r="E58" s="158">
        <v>609.79</v>
      </c>
      <c r="G58" s="172">
        <v>14.699999999999932</v>
      </c>
      <c r="BB58" s="142">
        <v>600.13</v>
      </c>
      <c r="BC58" s="142">
        <v>595.09</v>
      </c>
      <c r="BD58" s="143">
        <v>609.79</v>
      </c>
    </row>
    <row r="59" spans="1:56" x14ac:dyDescent="0.25">
      <c r="A59" s="149">
        <v>43012</v>
      </c>
      <c r="B59" s="154">
        <v>0.50347222222222199</v>
      </c>
      <c r="C59" s="158">
        <v>600.1</v>
      </c>
      <c r="D59" s="158">
        <v>595.75</v>
      </c>
      <c r="E59" s="158">
        <v>610.02</v>
      </c>
      <c r="G59" s="172">
        <v>14.269999999999982</v>
      </c>
      <c r="BB59" s="142">
        <v>600.1</v>
      </c>
      <c r="BC59" s="142">
        <v>595.75</v>
      </c>
      <c r="BD59" s="143">
        <v>610.02</v>
      </c>
    </row>
    <row r="60" spans="1:56" x14ac:dyDescent="0.25">
      <c r="A60" s="149">
        <v>43012</v>
      </c>
      <c r="B60" s="154">
        <v>0.50416666666666698</v>
      </c>
      <c r="C60" s="158">
        <v>599.67999999999995</v>
      </c>
      <c r="D60" s="158">
        <v>595.87</v>
      </c>
      <c r="E60" s="158">
        <v>609.74</v>
      </c>
      <c r="G60" s="172">
        <v>13.870000000000005</v>
      </c>
      <c r="BB60" s="142">
        <v>599.67999999999995</v>
      </c>
      <c r="BC60" s="142">
        <v>595.87</v>
      </c>
      <c r="BD60" s="143">
        <v>609.74</v>
      </c>
    </row>
    <row r="61" spans="1:56" x14ac:dyDescent="0.25">
      <c r="A61" s="149">
        <v>43012</v>
      </c>
      <c r="B61" s="154">
        <v>0.50486111111111098</v>
      </c>
      <c r="C61" s="158">
        <v>599.85</v>
      </c>
      <c r="D61" s="158">
        <v>596.54999999999995</v>
      </c>
      <c r="E61" s="158">
        <v>610.09999999999991</v>
      </c>
      <c r="G61" s="172">
        <v>13.549999999999955</v>
      </c>
      <c r="BB61" s="142">
        <v>599.85</v>
      </c>
      <c r="BC61" s="142">
        <v>596.54999999999995</v>
      </c>
      <c r="BD61" s="143">
        <v>610.09999999999991</v>
      </c>
    </row>
    <row r="62" spans="1:56" x14ac:dyDescent="0.25">
      <c r="A62" s="149">
        <v>43012</v>
      </c>
      <c r="B62" s="154">
        <v>0.50555555555555598</v>
      </c>
      <c r="C62" s="158">
        <v>599.87</v>
      </c>
      <c r="D62" s="158">
        <v>596.68999999999994</v>
      </c>
      <c r="E62" s="158">
        <v>609.96999999999991</v>
      </c>
      <c r="G62" s="172">
        <v>13.279999999999973</v>
      </c>
      <c r="BB62" s="142">
        <v>599.87</v>
      </c>
      <c r="BC62" s="142">
        <v>596.68999999999994</v>
      </c>
      <c r="BD62" s="143">
        <v>609.96999999999991</v>
      </c>
    </row>
    <row r="63" spans="1:56" x14ac:dyDescent="0.25">
      <c r="A63" s="149">
        <v>43012</v>
      </c>
      <c r="B63" s="154">
        <v>0.50624999999999998</v>
      </c>
      <c r="C63" s="158">
        <v>599.49</v>
      </c>
      <c r="D63" s="158">
        <v>596.54999999999995</v>
      </c>
      <c r="E63" s="158">
        <v>609.54999999999995</v>
      </c>
      <c r="G63" s="172">
        <v>13</v>
      </c>
      <c r="BB63" s="142">
        <v>599.49</v>
      </c>
      <c r="BC63" s="142">
        <v>596.54999999999995</v>
      </c>
      <c r="BD63" s="143">
        <v>609.54999999999995</v>
      </c>
    </row>
    <row r="64" spans="1:56" x14ac:dyDescent="0.25">
      <c r="A64" s="149">
        <v>43012</v>
      </c>
      <c r="B64" s="154">
        <v>0.50694444444444398</v>
      </c>
      <c r="C64" s="158">
        <v>600.53</v>
      </c>
      <c r="D64" s="158">
        <v>597.67999999999995</v>
      </c>
      <c r="E64" s="158">
        <v>610.62</v>
      </c>
      <c r="G64" s="172">
        <v>12.940000000000055</v>
      </c>
      <c r="BB64" s="142">
        <v>600.53</v>
      </c>
      <c r="BC64" s="142">
        <v>597.67999999999995</v>
      </c>
      <c r="BD64" s="143">
        <v>610.62</v>
      </c>
    </row>
    <row r="65" spans="1:56" x14ac:dyDescent="0.25">
      <c r="A65" s="149">
        <v>43012</v>
      </c>
      <c r="B65" s="154">
        <v>0.50763888888888897</v>
      </c>
      <c r="C65" s="158">
        <v>600.44000000000005</v>
      </c>
      <c r="D65" s="158">
        <v>597.63</v>
      </c>
      <c r="E65" s="158">
        <v>610.29</v>
      </c>
      <c r="G65" s="172">
        <v>12.659999999999968</v>
      </c>
      <c r="BB65" s="142">
        <v>600.44000000000005</v>
      </c>
      <c r="BC65" s="142">
        <v>597.63</v>
      </c>
      <c r="BD65" s="143">
        <v>610.29</v>
      </c>
    </row>
    <row r="66" spans="1:56" x14ac:dyDescent="0.25">
      <c r="A66" s="149">
        <v>43012</v>
      </c>
      <c r="B66" s="154">
        <v>0.50833333333333297</v>
      </c>
      <c r="C66" s="158">
        <v>600.6</v>
      </c>
      <c r="D66" s="158">
        <v>597.95999999999992</v>
      </c>
      <c r="E66" s="158">
        <v>610.44999999999993</v>
      </c>
      <c r="G66" s="172">
        <v>12.490000000000009</v>
      </c>
      <c r="BB66" s="142">
        <v>600.6</v>
      </c>
      <c r="BC66" s="142">
        <v>597.95999999999992</v>
      </c>
      <c r="BD66" s="143">
        <v>610.44999999999993</v>
      </c>
    </row>
    <row r="67" spans="1:56" x14ac:dyDescent="0.25">
      <c r="A67" s="149">
        <v>43012</v>
      </c>
      <c r="B67" s="154">
        <v>0.50902777777777797</v>
      </c>
      <c r="C67" s="158">
        <v>600.37</v>
      </c>
      <c r="D67" s="158">
        <v>597.72</v>
      </c>
      <c r="E67" s="158">
        <v>610.04999999999995</v>
      </c>
      <c r="G67" s="172">
        <v>12.329999999999927</v>
      </c>
      <c r="BB67" s="142">
        <v>600.37</v>
      </c>
      <c r="BC67" s="142">
        <v>597.72</v>
      </c>
      <c r="BD67" s="143">
        <v>610.04999999999995</v>
      </c>
    </row>
    <row r="68" spans="1:56" x14ac:dyDescent="0.25">
      <c r="A68" s="149">
        <v>43012</v>
      </c>
      <c r="B68" s="154">
        <v>0.50972222222222197</v>
      </c>
      <c r="C68" s="158">
        <v>599.21</v>
      </c>
      <c r="D68" s="158">
        <v>597.13</v>
      </c>
      <c r="E68" s="158">
        <v>609.13</v>
      </c>
      <c r="G68" s="172">
        <v>12</v>
      </c>
      <c r="BB68" s="142">
        <v>599.21</v>
      </c>
      <c r="BC68" s="142">
        <v>597.13</v>
      </c>
      <c r="BD68" s="143">
        <v>609.13</v>
      </c>
    </row>
    <row r="69" spans="1:56" x14ac:dyDescent="0.25">
      <c r="A69" s="149">
        <v>43012</v>
      </c>
      <c r="B69" s="154">
        <v>0.51041666666666696</v>
      </c>
      <c r="C69" s="158">
        <v>600.15</v>
      </c>
      <c r="D69" s="158">
        <v>597.81999999999994</v>
      </c>
      <c r="E69" s="158">
        <v>609.68999999999994</v>
      </c>
      <c r="G69" s="172">
        <v>11.870000000000005</v>
      </c>
      <c r="BB69" s="142">
        <v>600.15</v>
      </c>
      <c r="BC69" s="142">
        <v>597.81999999999994</v>
      </c>
      <c r="BD69" s="143">
        <v>609.68999999999994</v>
      </c>
    </row>
    <row r="70" spans="1:56" x14ac:dyDescent="0.25">
      <c r="A70" s="149">
        <v>43012</v>
      </c>
      <c r="B70" s="154">
        <v>0.51111111111111096</v>
      </c>
      <c r="C70" s="158">
        <v>600.72</v>
      </c>
      <c r="D70" s="158">
        <v>598.54999999999995</v>
      </c>
      <c r="E70" s="158">
        <v>610.30999999999995</v>
      </c>
      <c r="G70" s="172">
        <v>11.759999999999991</v>
      </c>
      <c r="BB70" s="142">
        <v>600.72</v>
      </c>
      <c r="BC70" s="142">
        <v>598.54999999999995</v>
      </c>
      <c r="BD70" s="143">
        <v>610.30999999999995</v>
      </c>
    </row>
    <row r="71" spans="1:56" x14ac:dyDescent="0.25">
      <c r="A71" s="149">
        <v>43012</v>
      </c>
      <c r="B71" s="154">
        <v>0.51180555555555596</v>
      </c>
      <c r="C71" s="158">
        <v>600.92999999999995</v>
      </c>
      <c r="D71" s="158">
        <v>598.99</v>
      </c>
      <c r="E71" s="158">
        <v>610.56999999999994</v>
      </c>
      <c r="G71" s="172">
        <v>11.579999999999927</v>
      </c>
      <c r="BB71" s="142">
        <v>600.92999999999995</v>
      </c>
      <c r="BC71" s="142">
        <v>598.99</v>
      </c>
      <c r="BD71" s="143">
        <v>610.56999999999994</v>
      </c>
    </row>
    <row r="72" spans="1:56" x14ac:dyDescent="0.25">
      <c r="A72" s="149">
        <v>43012</v>
      </c>
      <c r="B72" s="154">
        <v>0.51249999999999996</v>
      </c>
      <c r="C72" s="158">
        <v>600.70000000000005</v>
      </c>
      <c r="D72" s="158">
        <v>598.76</v>
      </c>
      <c r="E72" s="158">
        <v>610.04999999999995</v>
      </c>
      <c r="G72" s="172">
        <v>11.289999999999964</v>
      </c>
      <c r="BB72" s="142">
        <v>600.70000000000005</v>
      </c>
      <c r="BC72" s="142">
        <v>598.76</v>
      </c>
      <c r="BD72" s="143">
        <v>610.04999999999995</v>
      </c>
    </row>
    <row r="73" spans="1:56" x14ac:dyDescent="0.25">
      <c r="A73" s="149">
        <v>43012</v>
      </c>
      <c r="B73" s="154">
        <v>0.51319444444444395</v>
      </c>
      <c r="C73" s="158">
        <v>600.91</v>
      </c>
      <c r="D73" s="158">
        <v>599.28</v>
      </c>
      <c r="E73" s="158">
        <v>610.52</v>
      </c>
      <c r="G73" s="172">
        <v>11.240000000000009</v>
      </c>
      <c r="BB73" s="142">
        <v>600.91</v>
      </c>
      <c r="BC73" s="142">
        <v>599.28</v>
      </c>
      <c r="BD73" s="143">
        <v>610.52</v>
      </c>
    </row>
    <row r="74" spans="1:56" x14ac:dyDescent="0.25">
      <c r="A74" s="149">
        <v>43012</v>
      </c>
      <c r="B74" s="154">
        <v>0.51388888888888895</v>
      </c>
      <c r="C74" s="158">
        <v>600.20000000000005</v>
      </c>
      <c r="D74" s="158">
        <v>598.85</v>
      </c>
      <c r="E74" s="158">
        <v>609.57999999999993</v>
      </c>
      <c r="G74" s="172">
        <v>10.729999999999905</v>
      </c>
      <c r="BB74" s="142">
        <v>600.20000000000005</v>
      </c>
      <c r="BC74" s="142">
        <v>598.85</v>
      </c>
      <c r="BD74" s="143">
        <v>609.57999999999993</v>
      </c>
    </row>
    <row r="75" spans="1:56" x14ac:dyDescent="0.25">
      <c r="A75" s="149">
        <v>43012</v>
      </c>
      <c r="B75" s="154">
        <v>0.51458333333333295</v>
      </c>
      <c r="C75" s="158">
        <v>600.66999999999996</v>
      </c>
      <c r="D75" s="158">
        <v>599.37</v>
      </c>
      <c r="E75" s="158">
        <v>610.29</v>
      </c>
      <c r="G75" s="172">
        <v>10.919999999999959</v>
      </c>
      <c r="BB75" s="142">
        <v>600.66999999999996</v>
      </c>
      <c r="BC75" s="142">
        <v>599.37</v>
      </c>
      <c r="BD75" s="143">
        <v>610.29</v>
      </c>
    </row>
    <row r="76" spans="1:56" x14ac:dyDescent="0.25">
      <c r="A76" s="148">
        <v>43012</v>
      </c>
      <c r="B76" s="153">
        <v>0.51527777777777795</v>
      </c>
      <c r="C76" s="157">
        <v>579.79999999999995</v>
      </c>
      <c r="D76" s="157">
        <v>577.47</v>
      </c>
      <c r="E76" s="157">
        <v>585.29</v>
      </c>
      <c r="G76" s="171">
        <v>7.8199999999999363</v>
      </c>
      <c r="BB76" s="142">
        <v>579.79999999999995</v>
      </c>
      <c r="BC76" s="142">
        <v>577.47</v>
      </c>
      <c r="BD76" s="143">
        <v>585.29</v>
      </c>
    </row>
    <row r="77" spans="1:56" x14ac:dyDescent="0.25">
      <c r="A77" s="148">
        <v>43012</v>
      </c>
      <c r="B77" s="153">
        <v>0.51597222222222205</v>
      </c>
      <c r="C77" s="157">
        <v>559.67999999999995</v>
      </c>
      <c r="D77" s="157">
        <v>557.38</v>
      </c>
      <c r="E77" s="157">
        <v>562.67999999999995</v>
      </c>
      <c r="G77" s="171">
        <v>5.2999999999999545</v>
      </c>
      <c r="BB77" s="142">
        <v>559.67999999999995</v>
      </c>
      <c r="BC77" s="142">
        <v>557.38</v>
      </c>
      <c r="BD77" s="143">
        <v>562.67999999999995</v>
      </c>
    </row>
    <row r="78" spans="1:56" x14ac:dyDescent="0.25">
      <c r="A78" s="148">
        <v>43012</v>
      </c>
      <c r="B78" s="153">
        <v>0.51666666666666705</v>
      </c>
      <c r="C78" s="157">
        <v>545.91</v>
      </c>
      <c r="D78" s="157">
        <v>543.5</v>
      </c>
      <c r="E78" s="157">
        <v>548.16999999999996</v>
      </c>
      <c r="G78" s="171">
        <v>4.6699999999999591</v>
      </c>
      <c r="BB78" s="142">
        <v>545.91</v>
      </c>
      <c r="BC78" s="142">
        <v>543.5</v>
      </c>
      <c r="BD78" s="143">
        <v>548.16999999999996</v>
      </c>
    </row>
    <row r="79" spans="1:56" x14ac:dyDescent="0.25">
      <c r="A79" s="148">
        <v>43012</v>
      </c>
      <c r="B79" s="153">
        <v>0.51736111111111105</v>
      </c>
      <c r="C79" s="157">
        <v>534.08000000000004</v>
      </c>
      <c r="D79" s="157">
        <v>531.61</v>
      </c>
      <c r="E79" s="157">
        <v>535.70999999999992</v>
      </c>
      <c r="G79" s="171">
        <v>4.0999999999999091</v>
      </c>
      <c r="BB79" s="142">
        <v>534.08000000000004</v>
      </c>
      <c r="BC79" s="142">
        <v>531.61</v>
      </c>
      <c r="BD79" s="143">
        <v>535.70999999999992</v>
      </c>
    </row>
    <row r="80" spans="1:56" x14ac:dyDescent="0.25">
      <c r="A80" s="148">
        <v>43012</v>
      </c>
      <c r="B80" s="153">
        <v>0.51805555555555505</v>
      </c>
      <c r="C80" s="157">
        <v>523.37</v>
      </c>
      <c r="D80" s="157">
        <v>520.97</v>
      </c>
      <c r="E80" s="157">
        <v>524.49</v>
      </c>
      <c r="G80" s="171">
        <v>3.5199999999999818</v>
      </c>
      <c r="BB80" s="142">
        <v>523.37</v>
      </c>
      <c r="BC80" s="142">
        <v>520.97</v>
      </c>
      <c r="BD80" s="143">
        <v>524.49</v>
      </c>
    </row>
    <row r="81" spans="1:56" x14ac:dyDescent="0.25">
      <c r="A81" s="148">
        <v>43012</v>
      </c>
      <c r="B81" s="153">
        <v>0.51875000000000004</v>
      </c>
      <c r="C81" s="157">
        <v>397.32</v>
      </c>
      <c r="D81" s="157">
        <v>286.82</v>
      </c>
      <c r="E81" s="157">
        <v>325.45</v>
      </c>
      <c r="G81" s="171">
        <v>110.5</v>
      </c>
      <c r="BB81" s="142">
        <v>397.32</v>
      </c>
      <c r="BC81" s="142">
        <v>286.82</v>
      </c>
      <c r="BD81" s="143">
        <v>325.45</v>
      </c>
    </row>
    <row r="82" spans="1:56" x14ac:dyDescent="0.25">
      <c r="A82" s="148">
        <v>43012</v>
      </c>
      <c r="B82" s="153">
        <v>0.51944444444444404</v>
      </c>
      <c r="C82" s="157">
        <v>357.98</v>
      </c>
      <c r="D82" s="157">
        <v>256.81</v>
      </c>
      <c r="E82" s="157">
        <v>280.44</v>
      </c>
      <c r="G82" s="171">
        <v>101.17000000000002</v>
      </c>
      <c r="BB82" s="142">
        <v>357.98</v>
      </c>
      <c r="BC82" s="142">
        <v>256.81</v>
      </c>
      <c r="BD82" s="143">
        <v>280.44</v>
      </c>
    </row>
    <row r="83" spans="1:56" x14ac:dyDescent="0.25">
      <c r="A83" s="148">
        <v>43012</v>
      </c>
      <c r="B83" s="153">
        <v>0.52013888888888904</v>
      </c>
      <c r="C83" s="157">
        <v>329.89</v>
      </c>
      <c r="D83" s="157">
        <v>231.09</v>
      </c>
      <c r="E83" s="157">
        <v>260.12</v>
      </c>
      <c r="G83" s="171">
        <v>98.799999999999983</v>
      </c>
      <c r="BB83" s="142">
        <v>329.89</v>
      </c>
      <c r="BC83" s="142">
        <v>231.09</v>
      </c>
      <c r="BD83" s="143">
        <v>260.12</v>
      </c>
    </row>
    <row r="84" spans="1:56" x14ac:dyDescent="0.25">
      <c r="A84" s="148">
        <v>43012</v>
      </c>
      <c r="B84" s="153">
        <v>0.52083333333333304</v>
      </c>
      <c r="C84" s="157">
        <v>311.52</v>
      </c>
      <c r="D84" s="157">
        <v>211.12</v>
      </c>
      <c r="E84" s="157">
        <v>244.63000000000002</v>
      </c>
      <c r="G84" s="171">
        <v>100.39999999999998</v>
      </c>
      <c r="BB84" s="142">
        <v>311.52</v>
      </c>
      <c r="BC84" s="142">
        <v>211.12</v>
      </c>
      <c r="BD84" s="143">
        <v>244.63000000000002</v>
      </c>
    </row>
    <row r="85" spans="1:56" x14ac:dyDescent="0.25">
      <c r="A85" s="148">
        <v>43012</v>
      </c>
      <c r="B85" s="153">
        <v>0.52152777777777803</v>
      </c>
      <c r="C85" s="157">
        <v>295.14</v>
      </c>
      <c r="D85" s="157">
        <v>206.56</v>
      </c>
      <c r="E85" s="157">
        <v>219.85000000000002</v>
      </c>
      <c r="G85" s="171">
        <v>88.579999999999984</v>
      </c>
      <c r="BB85" s="142">
        <v>295.14</v>
      </c>
      <c r="BC85" s="142">
        <v>206.56</v>
      </c>
      <c r="BD85" s="143">
        <v>219.85000000000002</v>
      </c>
    </row>
    <row r="86" spans="1:56" x14ac:dyDescent="0.25">
      <c r="A86" s="148">
        <v>43012</v>
      </c>
      <c r="B86" s="153">
        <v>0.52222222222222203</v>
      </c>
      <c r="C86" s="157">
        <v>280.73</v>
      </c>
      <c r="D86" s="157">
        <v>195.49</v>
      </c>
      <c r="E86" s="157">
        <v>202.79000000000002</v>
      </c>
      <c r="G86" s="171">
        <v>85.240000000000009</v>
      </c>
      <c r="BB86" s="142">
        <v>280.73</v>
      </c>
      <c r="BC86" s="142">
        <v>195.49</v>
      </c>
      <c r="BD86" s="143">
        <v>202.79000000000002</v>
      </c>
    </row>
    <row r="87" spans="1:56" x14ac:dyDescent="0.25">
      <c r="A87" s="148">
        <v>43012</v>
      </c>
      <c r="B87" s="153">
        <v>0.52291666666666703</v>
      </c>
      <c r="C87" s="157">
        <v>275.26</v>
      </c>
      <c r="D87" s="157">
        <v>190.82</v>
      </c>
      <c r="E87" s="157">
        <v>188.65</v>
      </c>
      <c r="G87" s="171">
        <v>86.609999999999985</v>
      </c>
      <c r="BB87" s="142">
        <v>275.26</v>
      </c>
      <c r="BC87" s="142">
        <v>190.82</v>
      </c>
      <c r="BD87" s="143">
        <v>188.65</v>
      </c>
    </row>
    <row r="88" spans="1:56" x14ac:dyDescent="0.25">
      <c r="A88" s="148">
        <v>43012</v>
      </c>
      <c r="B88" s="153">
        <v>0.52361111111111103</v>
      </c>
      <c r="C88" s="157">
        <v>262.63</v>
      </c>
      <c r="D88" s="157">
        <v>183.68</v>
      </c>
      <c r="E88" s="157">
        <v>180.20000000000002</v>
      </c>
      <c r="G88" s="171">
        <v>82.429999999999978</v>
      </c>
      <c r="BB88" s="142">
        <v>262.63</v>
      </c>
      <c r="BC88" s="142">
        <v>183.68</v>
      </c>
      <c r="BD88" s="143">
        <v>180.20000000000002</v>
      </c>
    </row>
    <row r="89" spans="1:56" ht="16.5" thickBot="1" x14ac:dyDescent="0.3">
      <c r="A89" s="150">
        <v>43012</v>
      </c>
      <c r="B89" s="155">
        <v>0.52430555555555503</v>
      </c>
      <c r="C89" s="159">
        <v>255.49</v>
      </c>
      <c r="D89" s="159">
        <v>177.64000000000001</v>
      </c>
      <c r="E89" s="159">
        <v>175.74</v>
      </c>
      <c r="G89" s="173">
        <v>79.75</v>
      </c>
      <c r="BB89" s="144">
        <v>255.49</v>
      </c>
      <c r="BC89" s="144">
        <v>177.64000000000001</v>
      </c>
      <c r="BD89" s="145">
        <v>175.74</v>
      </c>
    </row>
  </sheetData>
  <mergeCells count="3">
    <mergeCell ref="C1:Q1"/>
    <mergeCell ref="C2:Q2"/>
    <mergeCell ref="C3:Q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6C52E-606B-4507-B655-1AED96508F03}">
  <sheetPr codeName="Hoja10"/>
  <dimension ref="A1:BD89"/>
  <sheetViews>
    <sheetView topLeftCell="A69" workbookViewId="0">
      <selection activeCell="A29" sqref="A29:E89"/>
    </sheetView>
  </sheetViews>
  <sheetFormatPr baseColWidth="10" defaultRowHeight="15.75" x14ac:dyDescent="0.25"/>
  <cols>
    <col min="1" max="1" width="25.7109375" style="161" customWidth="1"/>
    <col min="2" max="2" width="15.7109375" style="161" customWidth="1"/>
    <col min="3" max="6" width="11.42578125" style="161"/>
    <col min="7" max="7" width="18.7109375" style="161" customWidth="1"/>
    <col min="8" max="18" width="11.42578125" style="161"/>
    <col min="19" max="19" width="15.7109375" style="161" customWidth="1"/>
    <col min="20" max="16384" width="11.42578125" style="161"/>
  </cols>
  <sheetData>
    <row r="1" spans="1:56" x14ac:dyDescent="0.25">
      <c r="C1" s="182" t="s">
        <v>99</v>
      </c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4"/>
      <c r="S1" s="174" t="s">
        <v>96</v>
      </c>
      <c r="T1" s="163">
        <v>1</v>
      </c>
      <c r="U1" s="164">
        <v>43012</v>
      </c>
      <c r="V1" s="165">
        <v>0.49722222222222223</v>
      </c>
      <c r="W1" s="164">
        <v>43012</v>
      </c>
      <c r="X1" s="166">
        <v>0.51458333333333328</v>
      </c>
    </row>
    <row r="2" spans="1:56" x14ac:dyDescent="0.25">
      <c r="A2" s="161">
        <v>3</v>
      </c>
      <c r="C2" s="185" t="s">
        <v>89</v>
      </c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7"/>
      <c r="S2" s="175" t="s">
        <v>97</v>
      </c>
      <c r="T2" s="162" t="s">
        <v>108</v>
      </c>
    </row>
    <row r="3" spans="1:56" x14ac:dyDescent="0.25">
      <c r="A3" s="161">
        <v>0</v>
      </c>
      <c r="C3" s="188" t="s">
        <v>90</v>
      </c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90"/>
      <c r="S3" s="176" t="s">
        <v>98</v>
      </c>
      <c r="T3" s="162" t="s">
        <v>108</v>
      </c>
    </row>
    <row r="4" spans="1:56" x14ac:dyDescent="0.25">
      <c r="S4" s="162" t="s">
        <v>92</v>
      </c>
      <c r="T4" s="162">
        <v>2</v>
      </c>
    </row>
    <row r="8" spans="1:56" x14ac:dyDescent="0.25">
      <c r="C8" s="162" t="s">
        <v>105</v>
      </c>
      <c r="D8" s="162" t="s">
        <v>106</v>
      </c>
      <c r="E8" s="162" t="s">
        <v>107</v>
      </c>
      <c r="G8" s="162"/>
    </row>
    <row r="9" spans="1:56" x14ac:dyDescent="0.25">
      <c r="B9" s="162" t="s">
        <v>93</v>
      </c>
      <c r="C9" s="162" t="s">
        <v>102</v>
      </c>
      <c r="D9" s="162" t="s">
        <v>103</v>
      </c>
      <c r="E9" s="162" t="s">
        <v>104</v>
      </c>
      <c r="G9" s="162" t="s">
        <v>111</v>
      </c>
    </row>
    <row r="10" spans="1:56" x14ac:dyDescent="0.25">
      <c r="B10" s="162" t="s">
        <v>94</v>
      </c>
      <c r="C10" s="167">
        <v>599.70000000000005</v>
      </c>
      <c r="D10" s="163">
        <v>595.6</v>
      </c>
      <c r="E10" s="168">
        <v>609.5</v>
      </c>
      <c r="G10" s="162">
        <v>601.6</v>
      </c>
      <c r="BB10" s="161">
        <v>599.70000000000005</v>
      </c>
      <c r="BC10" s="161">
        <v>595.6</v>
      </c>
      <c r="BD10" s="161">
        <v>609.5</v>
      </c>
    </row>
    <row r="11" spans="1:56" x14ac:dyDescent="0.25">
      <c r="B11" s="162" t="s">
        <v>9</v>
      </c>
      <c r="C11" s="167">
        <v>600.92999999999995</v>
      </c>
      <c r="D11" s="163">
        <v>599.37</v>
      </c>
      <c r="E11" s="168">
        <v>610.62</v>
      </c>
      <c r="G11" s="162">
        <v>610.62</v>
      </c>
      <c r="BB11" s="161">
        <v>600.92999999999995</v>
      </c>
      <c r="BC11" s="161">
        <v>599.37</v>
      </c>
      <c r="BD11" s="161">
        <v>610.62</v>
      </c>
    </row>
    <row r="12" spans="1:56" x14ac:dyDescent="0.25">
      <c r="B12" s="162" t="s">
        <v>95</v>
      </c>
      <c r="C12" s="167">
        <v>596.65</v>
      </c>
      <c r="D12" s="163">
        <v>587.69999999999993</v>
      </c>
      <c r="E12" s="168">
        <v>606.58999999999992</v>
      </c>
      <c r="G12" s="162">
        <v>587.69999999999993</v>
      </c>
      <c r="BB12" s="161">
        <v>596.65</v>
      </c>
      <c r="BC12" s="161">
        <v>587.69999999999993</v>
      </c>
      <c r="BD12" s="161">
        <v>606.58999999999992</v>
      </c>
    </row>
    <row r="13" spans="1:56" x14ac:dyDescent="0.25"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56" x14ac:dyDescent="0.25">
      <c r="B14" s="177"/>
      <c r="C14" s="177"/>
      <c r="D14" s="177"/>
      <c r="E14" s="177"/>
      <c r="F14" s="177"/>
      <c r="G14" s="177"/>
      <c r="H14" s="177"/>
      <c r="I14" s="177"/>
      <c r="J14" s="177"/>
    </row>
    <row r="15" spans="1:56" x14ac:dyDescent="0.25">
      <c r="B15" s="177"/>
      <c r="C15" s="177"/>
      <c r="D15" s="177"/>
      <c r="E15" s="177"/>
      <c r="F15" s="177"/>
      <c r="G15" s="177"/>
      <c r="H15" s="177"/>
      <c r="I15" s="177"/>
      <c r="J15" s="177"/>
    </row>
    <row r="16" spans="1:56" x14ac:dyDescent="0.25">
      <c r="B16" s="177"/>
      <c r="C16" s="162" t="s">
        <v>111</v>
      </c>
      <c r="D16" s="177"/>
      <c r="E16" s="177"/>
      <c r="F16" s="177"/>
      <c r="G16" s="177"/>
      <c r="H16" s="177"/>
      <c r="I16" s="177"/>
      <c r="J16" s="177"/>
    </row>
    <row r="17" spans="1:56" x14ac:dyDescent="0.25">
      <c r="B17" s="162" t="s">
        <v>94</v>
      </c>
      <c r="C17" s="162">
        <v>601.6</v>
      </c>
      <c r="D17" s="177"/>
      <c r="E17" s="177"/>
      <c r="F17" s="177"/>
      <c r="G17" s="177"/>
      <c r="H17" s="177"/>
      <c r="I17" s="177"/>
      <c r="J17" s="177"/>
    </row>
    <row r="18" spans="1:56" x14ac:dyDescent="0.25">
      <c r="B18" s="162" t="s">
        <v>9</v>
      </c>
      <c r="C18" s="162">
        <v>610.62</v>
      </c>
      <c r="D18" s="177"/>
      <c r="E18" s="177"/>
      <c r="F18" s="177"/>
      <c r="G18" s="177"/>
      <c r="H18" s="177"/>
      <c r="I18" s="177"/>
      <c r="J18" s="177"/>
    </row>
    <row r="19" spans="1:56" x14ac:dyDescent="0.25">
      <c r="B19" s="162" t="s">
        <v>95</v>
      </c>
      <c r="C19" s="162">
        <v>587.69999999999993</v>
      </c>
      <c r="D19" s="177"/>
      <c r="E19" s="177"/>
      <c r="F19" s="177"/>
      <c r="G19" s="177"/>
      <c r="H19" s="177"/>
      <c r="I19" s="177"/>
      <c r="J19" s="177"/>
      <c r="AZ19" s="161" t="s">
        <v>115</v>
      </c>
      <c r="BA19" s="161">
        <v>7</v>
      </c>
    </row>
    <row r="20" spans="1:56" x14ac:dyDescent="0.25">
      <c r="B20" s="162" t="s">
        <v>113</v>
      </c>
      <c r="C20" s="162">
        <v>18.889999999999986</v>
      </c>
    </row>
    <row r="21" spans="1:56" x14ac:dyDescent="0.25">
      <c r="AZ21" s="161" t="s">
        <v>114</v>
      </c>
      <c r="BA21" s="161">
        <v>0</v>
      </c>
    </row>
    <row r="24" spans="1:56" x14ac:dyDescent="0.25">
      <c r="G24" s="162" t="s">
        <v>113</v>
      </c>
    </row>
    <row r="25" spans="1:56" x14ac:dyDescent="0.25">
      <c r="G25" s="162">
        <v>18.889999999999986</v>
      </c>
    </row>
    <row r="28" spans="1:56" x14ac:dyDescent="0.25">
      <c r="C28" s="161" t="s">
        <v>110</v>
      </c>
      <c r="D28" s="161" t="s">
        <v>110</v>
      </c>
      <c r="E28" s="161" t="s">
        <v>110</v>
      </c>
      <c r="BB28" s="161" t="s">
        <v>110</v>
      </c>
      <c r="BC28" s="161" t="s">
        <v>110</v>
      </c>
      <c r="BD28" s="161" t="s">
        <v>110</v>
      </c>
    </row>
    <row r="29" spans="1:56" x14ac:dyDescent="0.25">
      <c r="A29" s="161" t="s">
        <v>91</v>
      </c>
      <c r="C29" s="161">
        <v>1</v>
      </c>
      <c r="D29" s="161">
        <v>2</v>
      </c>
      <c r="E29" s="161">
        <v>3</v>
      </c>
      <c r="BB29" s="161">
        <v>1</v>
      </c>
      <c r="BC29" s="161">
        <v>2</v>
      </c>
      <c r="BD29" s="161">
        <v>3</v>
      </c>
    </row>
    <row r="30" spans="1:56" x14ac:dyDescent="0.25">
      <c r="A30" s="146" t="s">
        <v>101</v>
      </c>
      <c r="B30" s="151" t="s">
        <v>109</v>
      </c>
      <c r="C30" s="146" t="s">
        <v>105</v>
      </c>
      <c r="D30" s="160" t="s">
        <v>106</v>
      </c>
      <c r="E30" s="146" t="s">
        <v>107</v>
      </c>
      <c r="G30" s="162" t="s">
        <v>112</v>
      </c>
      <c r="BB30" s="146" t="s">
        <v>105</v>
      </c>
      <c r="BC30" s="160" t="s">
        <v>106</v>
      </c>
      <c r="BD30" s="146" t="s">
        <v>107</v>
      </c>
    </row>
    <row r="31" spans="1:56" x14ac:dyDescent="0.25">
      <c r="A31" s="147">
        <v>43012</v>
      </c>
      <c r="B31" s="152">
        <v>0.48402777777777778</v>
      </c>
      <c r="C31" s="156">
        <v>16.100000000000001</v>
      </c>
      <c r="D31" s="156">
        <v>14.820000000000002</v>
      </c>
      <c r="E31" s="156">
        <v>15.580000000000002</v>
      </c>
      <c r="G31" s="170">
        <v>1.2799999999999994</v>
      </c>
      <c r="BB31" s="156">
        <v>16.100000000000001</v>
      </c>
      <c r="BC31" s="156">
        <v>14.820000000000002</v>
      </c>
      <c r="BD31" s="156">
        <v>15.580000000000002</v>
      </c>
    </row>
    <row r="32" spans="1:56" x14ac:dyDescent="0.25">
      <c r="A32" s="148">
        <v>43012</v>
      </c>
      <c r="B32" s="153">
        <v>0.48472222222222222</v>
      </c>
      <c r="C32" s="157">
        <v>16.45</v>
      </c>
      <c r="D32" s="157">
        <v>15.160000000000002</v>
      </c>
      <c r="E32" s="157">
        <v>15.75</v>
      </c>
      <c r="G32" s="171">
        <v>1.2899999999999974</v>
      </c>
      <c r="BB32" s="157">
        <v>16.45</v>
      </c>
      <c r="BC32" s="157">
        <v>15.160000000000002</v>
      </c>
      <c r="BD32" s="157">
        <v>15.75</v>
      </c>
    </row>
    <row r="33" spans="1:56" x14ac:dyDescent="0.25">
      <c r="A33" s="148">
        <v>43012</v>
      </c>
      <c r="B33" s="153">
        <v>0.485416666666667</v>
      </c>
      <c r="C33" s="157">
        <v>102.07</v>
      </c>
      <c r="D33" s="157">
        <v>98.550000000000011</v>
      </c>
      <c r="E33" s="157">
        <v>84.95</v>
      </c>
      <c r="G33" s="171">
        <v>17.11999999999999</v>
      </c>
      <c r="BB33" s="157">
        <v>102.07</v>
      </c>
      <c r="BC33" s="157">
        <v>98.550000000000011</v>
      </c>
      <c r="BD33" s="157">
        <v>84.95</v>
      </c>
    </row>
    <row r="34" spans="1:56" x14ac:dyDescent="0.25">
      <c r="A34" s="148">
        <v>43012</v>
      </c>
      <c r="B34" s="153">
        <v>0.48611111111111099</v>
      </c>
      <c r="C34" s="157">
        <v>137.74</v>
      </c>
      <c r="D34" s="157">
        <v>135.51000000000002</v>
      </c>
      <c r="E34" s="157">
        <v>135.26000000000002</v>
      </c>
      <c r="G34" s="171">
        <v>2.4799999999999898</v>
      </c>
      <c r="BB34" s="157">
        <v>137.74</v>
      </c>
      <c r="BC34" s="157">
        <v>135.51000000000002</v>
      </c>
      <c r="BD34" s="157">
        <v>135.26000000000002</v>
      </c>
    </row>
    <row r="35" spans="1:56" x14ac:dyDescent="0.25">
      <c r="A35" s="148">
        <v>43012</v>
      </c>
      <c r="B35" s="153">
        <v>0.48680555555555599</v>
      </c>
      <c r="C35" s="157">
        <v>281.89</v>
      </c>
      <c r="D35" s="157">
        <v>275.34999999999997</v>
      </c>
      <c r="E35" s="157">
        <v>303.73</v>
      </c>
      <c r="G35" s="171">
        <v>28.380000000000052</v>
      </c>
      <c r="BB35" s="157">
        <v>281.89</v>
      </c>
      <c r="BC35" s="157">
        <v>275.34999999999997</v>
      </c>
      <c r="BD35" s="157">
        <v>303.73</v>
      </c>
    </row>
    <row r="36" spans="1:56" x14ac:dyDescent="0.25">
      <c r="A36" s="148">
        <v>43012</v>
      </c>
      <c r="B36" s="153">
        <v>0.48749999999999999</v>
      </c>
      <c r="C36" s="157">
        <v>354.84</v>
      </c>
      <c r="D36" s="157">
        <v>335.84999999999997</v>
      </c>
      <c r="E36" s="157">
        <v>370.98</v>
      </c>
      <c r="G36" s="171">
        <v>35.130000000000052</v>
      </c>
      <c r="BB36" s="157">
        <v>354.84</v>
      </c>
      <c r="BC36" s="157">
        <v>335.84999999999997</v>
      </c>
      <c r="BD36" s="157">
        <v>370.98</v>
      </c>
    </row>
    <row r="37" spans="1:56" x14ac:dyDescent="0.25">
      <c r="A37" s="148">
        <v>43012</v>
      </c>
      <c r="B37" s="153">
        <v>0.48819444444444399</v>
      </c>
      <c r="C37" s="157">
        <v>440.44</v>
      </c>
      <c r="D37" s="157">
        <v>414.63</v>
      </c>
      <c r="E37" s="157">
        <v>453.7</v>
      </c>
      <c r="G37" s="171">
        <v>39.069999999999993</v>
      </c>
      <c r="BB37" s="157">
        <v>440.44</v>
      </c>
      <c r="BC37" s="157">
        <v>414.63</v>
      </c>
      <c r="BD37" s="157">
        <v>453.7</v>
      </c>
    </row>
    <row r="38" spans="1:56" x14ac:dyDescent="0.25">
      <c r="A38" s="148">
        <v>43012</v>
      </c>
      <c r="B38" s="153">
        <v>0.48888888888888898</v>
      </c>
      <c r="C38" s="157">
        <v>500.48</v>
      </c>
      <c r="D38" s="157">
        <v>475.38</v>
      </c>
      <c r="E38" s="157">
        <v>514.32999999999993</v>
      </c>
      <c r="G38" s="171">
        <v>38.949999999999932</v>
      </c>
      <c r="BB38" s="157">
        <v>500.48</v>
      </c>
      <c r="BC38" s="157">
        <v>475.38</v>
      </c>
      <c r="BD38" s="157">
        <v>514.32999999999993</v>
      </c>
    </row>
    <row r="39" spans="1:56" x14ac:dyDescent="0.25">
      <c r="A39" s="148">
        <v>43012</v>
      </c>
      <c r="B39" s="153">
        <v>0.48958333333333298</v>
      </c>
      <c r="C39" s="157">
        <v>550.74</v>
      </c>
      <c r="D39" s="157">
        <v>526.37</v>
      </c>
      <c r="E39" s="157">
        <v>564.16</v>
      </c>
      <c r="G39" s="171">
        <v>37.789999999999964</v>
      </c>
      <c r="BB39" s="157">
        <v>550.74</v>
      </c>
      <c r="BC39" s="157">
        <v>526.37</v>
      </c>
      <c r="BD39" s="157">
        <v>564.16</v>
      </c>
    </row>
    <row r="40" spans="1:56" x14ac:dyDescent="0.25">
      <c r="A40" s="148">
        <v>43012</v>
      </c>
      <c r="B40" s="153">
        <v>0.49027777777777798</v>
      </c>
      <c r="C40" s="157">
        <v>558.16</v>
      </c>
      <c r="D40" s="157">
        <v>537.59</v>
      </c>
      <c r="E40" s="157">
        <v>575.1099999999999</v>
      </c>
      <c r="G40" s="171">
        <v>37.519999999999868</v>
      </c>
      <c r="BB40" s="157">
        <v>558.16</v>
      </c>
      <c r="BC40" s="157">
        <v>537.59</v>
      </c>
      <c r="BD40" s="157">
        <v>575.1099999999999</v>
      </c>
    </row>
    <row r="41" spans="1:56" x14ac:dyDescent="0.25">
      <c r="A41" s="148">
        <v>43012</v>
      </c>
      <c r="B41" s="153">
        <v>0.49097222222222198</v>
      </c>
      <c r="C41" s="157">
        <v>571.99</v>
      </c>
      <c r="D41" s="157">
        <v>552.47</v>
      </c>
      <c r="E41" s="157">
        <v>586.02</v>
      </c>
      <c r="G41" s="171">
        <v>33.549999999999955</v>
      </c>
      <c r="BB41" s="157">
        <v>571.99</v>
      </c>
      <c r="BC41" s="157">
        <v>552.47</v>
      </c>
      <c r="BD41" s="157">
        <v>586.02</v>
      </c>
    </row>
    <row r="42" spans="1:56" x14ac:dyDescent="0.25">
      <c r="A42" s="148">
        <v>43012</v>
      </c>
      <c r="B42" s="153">
        <v>0.49166666666666697</v>
      </c>
      <c r="C42" s="157">
        <v>583.24</v>
      </c>
      <c r="D42" s="157">
        <v>563.66999999999996</v>
      </c>
      <c r="E42" s="157">
        <v>594.30999999999995</v>
      </c>
      <c r="G42" s="171">
        <v>30.639999999999986</v>
      </c>
      <c r="BB42" s="157">
        <v>583.24</v>
      </c>
      <c r="BC42" s="157">
        <v>563.66999999999996</v>
      </c>
      <c r="BD42" s="157">
        <v>594.30999999999995</v>
      </c>
    </row>
    <row r="43" spans="1:56" x14ac:dyDescent="0.25">
      <c r="A43" s="148">
        <v>43012</v>
      </c>
      <c r="B43" s="153">
        <v>0.49236111111111103</v>
      </c>
      <c r="C43" s="157">
        <v>582.92999999999995</v>
      </c>
      <c r="D43" s="157">
        <v>569.55999999999995</v>
      </c>
      <c r="E43" s="157">
        <v>599.05999999999995</v>
      </c>
      <c r="G43" s="171">
        <v>29.5</v>
      </c>
      <c r="BB43" s="157">
        <v>582.92999999999995</v>
      </c>
      <c r="BC43" s="157">
        <v>569.55999999999995</v>
      </c>
      <c r="BD43" s="157">
        <v>599.05999999999995</v>
      </c>
    </row>
    <row r="44" spans="1:56" x14ac:dyDescent="0.25">
      <c r="A44" s="148">
        <v>43012</v>
      </c>
      <c r="B44" s="153">
        <v>0.49305555555555602</v>
      </c>
      <c r="C44" s="157">
        <v>590.96</v>
      </c>
      <c r="D44" s="157">
        <v>575.65</v>
      </c>
      <c r="E44" s="157">
        <v>601.89</v>
      </c>
      <c r="G44" s="171">
        <v>26.240000000000009</v>
      </c>
      <c r="BB44" s="157">
        <v>590.96</v>
      </c>
      <c r="BC44" s="157">
        <v>575.65</v>
      </c>
      <c r="BD44" s="157">
        <v>601.89</v>
      </c>
    </row>
    <row r="45" spans="1:56" x14ac:dyDescent="0.25">
      <c r="A45" s="148">
        <v>43012</v>
      </c>
      <c r="B45" s="153">
        <v>0.49375000000000002</v>
      </c>
      <c r="C45" s="157">
        <v>592.23</v>
      </c>
      <c r="D45" s="157">
        <v>578.94999999999993</v>
      </c>
      <c r="E45" s="157">
        <v>603.71999999999991</v>
      </c>
      <c r="G45" s="171">
        <v>24.769999999999982</v>
      </c>
      <c r="BB45" s="157">
        <v>592.23</v>
      </c>
      <c r="BC45" s="157">
        <v>578.94999999999993</v>
      </c>
      <c r="BD45" s="157">
        <v>603.71999999999991</v>
      </c>
    </row>
    <row r="46" spans="1:56" x14ac:dyDescent="0.25">
      <c r="A46" s="148">
        <v>43012</v>
      </c>
      <c r="B46" s="153">
        <v>0.49444444444444402</v>
      </c>
      <c r="C46" s="157">
        <v>589.41999999999996</v>
      </c>
      <c r="D46" s="157">
        <v>579.25</v>
      </c>
      <c r="E46" s="157">
        <v>603.04</v>
      </c>
      <c r="G46" s="171">
        <v>23.789999999999964</v>
      </c>
      <c r="BB46" s="157">
        <v>589.41999999999996</v>
      </c>
      <c r="BC46" s="157">
        <v>579.25</v>
      </c>
      <c r="BD46" s="157">
        <v>603.04</v>
      </c>
    </row>
    <row r="47" spans="1:56" x14ac:dyDescent="0.25">
      <c r="A47" s="148">
        <v>43012</v>
      </c>
      <c r="B47" s="153">
        <v>0.49513888888888902</v>
      </c>
      <c r="C47" s="157">
        <v>586.20000000000005</v>
      </c>
      <c r="D47" s="157">
        <v>580.04999999999995</v>
      </c>
      <c r="E47" s="157">
        <v>604.46999999999991</v>
      </c>
      <c r="G47" s="171">
        <v>24.419999999999959</v>
      </c>
      <c r="BB47" s="157">
        <v>586.20000000000005</v>
      </c>
      <c r="BC47" s="157">
        <v>580.04999999999995</v>
      </c>
      <c r="BD47" s="157">
        <v>604.46999999999991</v>
      </c>
    </row>
    <row r="48" spans="1:56" x14ac:dyDescent="0.25">
      <c r="A48" s="148">
        <v>43012</v>
      </c>
      <c r="B48" s="153">
        <v>0.49583333333333302</v>
      </c>
      <c r="C48" s="157">
        <v>594.70000000000005</v>
      </c>
      <c r="D48" s="157">
        <v>584.18999999999994</v>
      </c>
      <c r="E48" s="157">
        <v>604.89</v>
      </c>
      <c r="G48" s="171">
        <v>20.700000000000045</v>
      </c>
      <c r="BB48" s="157">
        <v>594.70000000000005</v>
      </c>
      <c r="BC48" s="157">
        <v>584.18999999999994</v>
      </c>
      <c r="BD48" s="157">
        <v>604.89</v>
      </c>
    </row>
    <row r="49" spans="1:56" x14ac:dyDescent="0.25">
      <c r="A49" s="148">
        <v>43012</v>
      </c>
      <c r="B49" s="153">
        <v>0.49652777777777801</v>
      </c>
      <c r="C49" s="157">
        <v>594.01</v>
      </c>
      <c r="D49" s="157">
        <v>585.98</v>
      </c>
      <c r="E49" s="157">
        <v>606.18999999999994</v>
      </c>
      <c r="G49" s="171">
        <v>20.209999999999923</v>
      </c>
      <c r="BB49" s="157">
        <v>594.01</v>
      </c>
      <c r="BC49" s="157">
        <v>585.98</v>
      </c>
      <c r="BD49" s="157">
        <v>606.18999999999994</v>
      </c>
    </row>
    <row r="50" spans="1:56" x14ac:dyDescent="0.25">
      <c r="A50" s="149">
        <v>43012</v>
      </c>
      <c r="B50" s="154">
        <v>0.49722222222222201</v>
      </c>
      <c r="C50" s="158">
        <v>596.65</v>
      </c>
      <c r="D50" s="158">
        <v>587.69999999999993</v>
      </c>
      <c r="E50" s="158">
        <v>606.58999999999992</v>
      </c>
      <c r="G50" s="172">
        <v>18.889999999999986</v>
      </c>
      <c r="BB50" s="157">
        <v>596.65</v>
      </c>
      <c r="BC50" s="157">
        <v>587.69999999999993</v>
      </c>
      <c r="BD50" s="157">
        <v>606.58999999999992</v>
      </c>
    </row>
    <row r="51" spans="1:56" x14ac:dyDescent="0.25">
      <c r="A51" s="149">
        <v>43012</v>
      </c>
      <c r="B51" s="154">
        <v>0.49791666666666701</v>
      </c>
      <c r="C51" s="158">
        <v>597.14</v>
      </c>
      <c r="D51" s="158">
        <v>588.30999999999995</v>
      </c>
      <c r="E51" s="158">
        <v>606.75</v>
      </c>
      <c r="G51" s="172">
        <v>18.440000000000055</v>
      </c>
      <c r="BB51" s="157">
        <v>597.14</v>
      </c>
      <c r="BC51" s="157">
        <v>588.30999999999995</v>
      </c>
      <c r="BD51" s="157">
        <v>606.75</v>
      </c>
    </row>
    <row r="52" spans="1:56" x14ac:dyDescent="0.25">
      <c r="A52" s="149">
        <v>43012</v>
      </c>
      <c r="B52" s="154">
        <v>0.49861111111111101</v>
      </c>
      <c r="C52" s="158">
        <v>598.42999999999995</v>
      </c>
      <c r="D52" s="158">
        <v>590.15</v>
      </c>
      <c r="E52" s="158">
        <v>607.94999999999993</v>
      </c>
      <c r="G52" s="172">
        <v>17.799999999999955</v>
      </c>
      <c r="BB52" s="157">
        <v>598.42999999999995</v>
      </c>
      <c r="BC52" s="157">
        <v>590.15</v>
      </c>
      <c r="BD52" s="157">
        <v>607.94999999999993</v>
      </c>
    </row>
    <row r="53" spans="1:56" x14ac:dyDescent="0.25">
      <c r="A53" s="149">
        <v>43012</v>
      </c>
      <c r="B53" s="154">
        <v>0.499305555555556</v>
      </c>
      <c r="C53" s="158">
        <v>598.53</v>
      </c>
      <c r="D53" s="158">
        <v>590.92999999999995</v>
      </c>
      <c r="E53" s="158">
        <v>607.92999999999995</v>
      </c>
      <c r="G53" s="172">
        <v>17</v>
      </c>
      <c r="BB53" s="157">
        <v>598.53</v>
      </c>
      <c r="BC53" s="157">
        <v>590.92999999999995</v>
      </c>
      <c r="BD53" s="157">
        <v>607.92999999999995</v>
      </c>
    </row>
    <row r="54" spans="1:56" x14ac:dyDescent="0.25">
      <c r="A54" s="149">
        <v>43012</v>
      </c>
      <c r="B54" s="154">
        <v>0.5</v>
      </c>
      <c r="C54" s="158">
        <v>599.94000000000005</v>
      </c>
      <c r="D54" s="158">
        <v>592.80999999999995</v>
      </c>
      <c r="E54" s="158">
        <v>609.3599999999999</v>
      </c>
      <c r="G54" s="172">
        <v>16.549999999999955</v>
      </c>
      <c r="BB54" s="157">
        <v>599.94000000000005</v>
      </c>
      <c r="BC54" s="157">
        <v>592.80999999999995</v>
      </c>
      <c r="BD54" s="157">
        <v>609.3599999999999</v>
      </c>
    </row>
    <row r="55" spans="1:56" x14ac:dyDescent="0.25">
      <c r="A55" s="149">
        <v>43012</v>
      </c>
      <c r="B55" s="154">
        <v>0.500694444444444</v>
      </c>
      <c r="C55" s="158">
        <v>599.91999999999996</v>
      </c>
      <c r="D55" s="158">
        <v>593.35</v>
      </c>
      <c r="E55" s="158">
        <v>609.29</v>
      </c>
      <c r="G55" s="172">
        <v>15.939999999999941</v>
      </c>
      <c r="BB55" s="157">
        <v>599.91999999999996</v>
      </c>
      <c r="BC55" s="157">
        <v>593.35</v>
      </c>
      <c r="BD55" s="157">
        <v>609.29</v>
      </c>
    </row>
    <row r="56" spans="1:56" x14ac:dyDescent="0.25">
      <c r="A56" s="149">
        <v>43012</v>
      </c>
      <c r="B56" s="154">
        <v>0.50138888888888899</v>
      </c>
      <c r="C56" s="158">
        <v>599.23</v>
      </c>
      <c r="D56" s="158">
        <v>593.69999999999993</v>
      </c>
      <c r="E56" s="158">
        <v>609.25</v>
      </c>
      <c r="G56" s="172">
        <v>15.550000000000068</v>
      </c>
      <c r="BB56" s="157">
        <v>599.23</v>
      </c>
      <c r="BC56" s="157">
        <v>593.69999999999993</v>
      </c>
      <c r="BD56" s="157">
        <v>609.25</v>
      </c>
    </row>
    <row r="57" spans="1:56" x14ac:dyDescent="0.25">
      <c r="A57" s="149">
        <v>43012</v>
      </c>
      <c r="B57" s="154">
        <v>0.50208333333333299</v>
      </c>
      <c r="C57" s="158">
        <v>598.98</v>
      </c>
      <c r="D57" s="158">
        <v>593.61</v>
      </c>
      <c r="E57" s="158">
        <v>608.55999999999995</v>
      </c>
      <c r="G57" s="172">
        <v>14.949999999999932</v>
      </c>
      <c r="BB57" s="157">
        <v>598.98</v>
      </c>
      <c r="BC57" s="157">
        <v>593.61</v>
      </c>
      <c r="BD57" s="157">
        <v>608.55999999999995</v>
      </c>
    </row>
    <row r="58" spans="1:56" x14ac:dyDescent="0.25">
      <c r="A58" s="149">
        <v>43012</v>
      </c>
      <c r="B58" s="154">
        <v>0.50277777777777799</v>
      </c>
      <c r="C58" s="158">
        <v>600.13</v>
      </c>
      <c r="D58" s="158">
        <v>595.09</v>
      </c>
      <c r="E58" s="158">
        <v>609.79</v>
      </c>
      <c r="G58" s="172">
        <v>14.699999999999932</v>
      </c>
      <c r="BB58" s="157">
        <v>600.13</v>
      </c>
      <c r="BC58" s="157">
        <v>595.09</v>
      </c>
      <c r="BD58" s="157">
        <v>609.79</v>
      </c>
    </row>
    <row r="59" spans="1:56" x14ac:dyDescent="0.25">
      <c r="A59" s="149">
        <v>43012</v>
      </c>
      <c r="B59" s="154">
        <v>0.50347222222222199</v>
      </c>
      <c r="C59" s="158">
        <v>600.1</v>
      </c>
      <c r="D59" s="158">
        <v>595.75</v>
      </c>
      <c r="E59" s="158">
        <v>610.02</v>
      </c>
      <c r="G59" s="172">
        <v>14.269999999999982</v>
      </c>
      <c r="BB59" s="157">
        <v>600.1</v>
      </c>
      <c r="BC59" s="157">
        <v>595.75</v>
      </c>
      <c r="BD59" s="157">
        <v>610.02</v>
      </c>
    </row>
    <row r="60" spans="1:56" x14ac:dyDescent="0.25">
      <c r="A60" s="149">
        <v>43012</v>
      </c>
      <c r="B60" s="154">
        <v>0.50416666666666698</v>
      </c>
      <c r="C60" s="158">
        <v>599.67999999999995</v>
      </c>
      <c r="D60" s="158">
        <v>595.87</v>
      </c>
      <c r="E60" s="158">
        <v>609.74</v>
      </c>
      <c r="G60" s="172">
        <v>13.870000000000005</v>
      </c>
      <c r="BB60" s="157">
        <v>599.67999999999995</v>
      </c>
      <c r="BC60" s="157">
        <v>595.87</v>
      </c>
      <c r="BD60" s="157">
        <v>609.74</v>
      </c>
    </row>
    <row r="61" spans="1:56" x14ac:dyDescent="0.25">
      <c r="A61" s="149">
        <v>43012</v>
      </c>
      <c r="B61" s="154">
        <v>0.50486111111111098</v>
      </c>
      <c r="C61" s="158">
        <v>599.85</v>
      </c>
      <c r="D61" s="158">
        <v>596.54999999999995</v>
      </c>
      <c r="E61" s="158">
        <v>610.09999999999991</v>
      </c>
      <c r="G61" s="172">
        <v>13.549999999999955</v>
      </c>
      <c r="BB61" s="157">
        <v>599.85</v>
      </c>
      <c r="BC61" s="157">
        <v>596.54999999999995</v>
      </c>
      <c r="BD61" s="157">
        <v>610.09999999999991</v>
      </c>
    </row>
    <row r="62" spans="1:56" x14ac:dyDescent="0.25">
      <c r="A62" s="149">
        <v>43012</v>
      </c>
      <c r="B62" s="154">
        <v>0.50555555555555598</v>
      </c>
      <c r="C62" s="158">
        <v>599.87</v>
      </c>
      <c r="D62" s="158">
        <v>596.68999999999994</v>
      </c>
      <c r="E62" s="158">
        <v>609.96999999999991</v>
      </c>
      <c r="G62" s="172">
        <v>13.279999999999973</v>
      </c>
      <c r="BB62" s="157">
        <v>599.87</v>
      </c>
      <c r="BC62" s="157">
        <v>596.68999999999994</v>
      </c>
      <c r="BD62" s="157">
        <v>609.96999999999991</v>
      </c>
    </row>
    <row r="63" spans="1:56" x14ac:dyDescent="0.25">
      <c r="A63" s="149">
        <v>43012</v>
      </c>
      <c r="B63" s="154">
        <v>0.50624999999999998</v>
      </c>
      <c r="C63" s="158">
        <v>599.49</v>
      </c>
      <c r="D63" s="158">
        <v>596.54999999999995</v>
      </c>
      <c r="E63" s="158">
        <v>609.54999999999995</v>
      </c>
      <c r="G63" s="172">
        <v>13</v>
      </c>
      <c r="BB63" s="157">
        <v>599.49</v>
      </c>
      <c r="BC63" s="157">
        <v>596.54999999999995</v>
      </c>
      <c r="BD63" s="157">
        <v>609.54999999999995</v>
      </c>
    </row>
    <row r="64" spans="1:56" x14ac:dyDescent="0.25">
      <c r="A64" s="149">
        <v>43012</v>
      </c>
      <c r="B64" s="154">
        <v>0.50694444444444398</v>
      </c>
      <c r="C64" s="158">
        <v>600.53</v>
      </c>
      <c r="D64" s="158">
        <v>597.67999999999995</v>
      </c>
      <c r="E64" s="158">
        <v>610.62</v>
      </c>
      <c r="G64" s="172">
        <v>12.940000000000055</v>
      </c>
      <c r="BB64" s="157">
        <v>600.53</v>
      </c>
      <c r="BC64" s="157">
        <v>597.67999999999995</v>
      </c>
      <c r="BD64" s="157">
        <v>610.62</v>
      </c>
    </row>
    <row r="65" spans="1:56" x14ac:dyDescent="0.25">
      <c r="A65" s="149">
        <v>43012</v>
      </c>
      <c r="B65" s="154">
        <v>0.50763888888888897</v>
      </c>
      <c r="C65" s="158">
        <v>600.44000000000005</v>
      </c>
      <c r="D65" s="158">
        <v>597.63</v>
      </c>
      <c r="E65" s="158">
        <v>610.29</v>
      </c>
      <c r="G65" s="172">
        <v>12.659999999999968</v>
      </c>
      <c r="BB65" s="157">
        <v>600.44000000000005</v>
      </c>
      <c r="BC65" s="157">
        <v>597.63</v>
      </c>
      <c r="BD65" s="157">
        <v>610.29</v>
      </c>
    </row>
    <row r="66" spans="1:56" x14ac:dyDescent="0.25">
      <c r="A66" s="149">
        <v>43012</v>
      </c>
      <c r="B66" s="154">
        <v>0.50833333333333297</v>
      </c>
      <c r="C66" s="158">
        <v>600.6</v>
      </c>
      <c r="D66" s="158">
        <v>597.95999999999992</v>
      </c>
      <c r="E66" s="158">
        <v>610.44999999999993</v>
      </c>
      <c r="G66" s="172">
        <v>12.490000000000009</v>
      </c>
      <c r="BB66" s="157">
        <v>600.6</v>
      </c>
      <c r="BC66" s="157">
        <v>597.95999999999992</v>
      </c>
      <c r="BD66" s="157">
        <v>610.44999999999993</v>
      </c>
    </row>
    <row r="67" spans="1:56" x14ac:dyDescent="0.25">
      <c r="A67" s="149">
        <v>43012</v>
      </c>
      <c r="B67" s="154">
        <v>0.50902777777777797</v>
      </c>
      <c r="C67" s="158">
        <v>600.37</v>
      </c>
      <c r="D67" s="158">
        <v>597.72</v>
      </c>
      <c r="E67" s="158">
        <v>610.04999999999995</v>
      </c>
      <c r="G67" s="172">
        <v>12.329999999999927</v>
      </c>
      <c r="BB67" s="157">
        <v>600.37</v>
      </c>
      <c r="BC67" s="157">
        <v>597.72</v>
      </c>
      <c r="BD67" s="157">
        <v>610.04999999999995</v>
      </c>
    </row>
    <row r="68" spans="1:56" x14ac:dyDescent="0.25">
      <c r="A68" s="149">
        <v>43012</v>
      </c>
      <c r="B68" s="154">
        <v>0.50972222222222197</v>
      </c>
      <c r="C68" s="158">
        <v>599.21</v>
      </c>
      <c r="D68" s="158">
        <v>597.13</v>
      </c>
      <c r="E68" s="158">
        <v>609.13</v>
      </c>
      <c r="G68" s="172">
        <v>12</v>
      </c>
      <c r="BB68" s="157">
        <v>599.21</v>
      </c>
      <c r="BC68" s="157">
        <v>597.13</v>
      </c>
      <c r="BD68" s="157">
        <v>609.13</v>
      </c>
    </row>
    <row r="69" spans="1:56" x14ac:dyDescent="0.25">
      <c r="A69" s="149">
        <v>43012</v>
      </c>
      <c r="B69" s="154">
        <v>0.51041666666666696</v>
      </c>
      <c r="C69" s="158">
        <v>600.15</v>
      </c>
      <c r="D69" s="158">
        <v>597.81999999999994</v>
      </c>
      <c r="E69" s="158">
        <v>609.68999999999994</v>
      </c>
      <c r="G69" s="172">
        <v>11.870000000000005</v>
      </c>
      <c r="BB69" s="157">
        <v>600.15</v>
      </c>
      <c r="BC69" s="157">
        <v>597.81999999999994</v>
      </c>
      <c r="BD69" s="157">
        <v>609.68999999999994</v>
      </c>
    </row>
    <row r="70" spans="1:56" x14ac:dyDescent="0.25">
      <c r="A70" s="149">
        <v>43012</v>
      </c>
      <c r="B70" s="154">
        <v>0.51111111111111096</v>
      </c>
      <c r="C70" s="158">
        <v>600.72</v>
      </c>
      <c r="D70" s="158">
        <v>598.54999999999995</v>
      </c>
      <c r="E70" s="158">
        <v>610.30999999999995</v>
      </c>
      <c r="G70" s="172">
        <v>11.759999999999991</v>
      </c>
      <c r="BB70" s="157">
        <v>600.72</v>
      </c>
      <c r="BC70" s="157">
        <v>598.54999999999995</v>
      </c>
      <c r="BD70" s="157">
        <v>610.30999999999995</v>
      </c>
    </row>
    <row r="71" spans="1:56" x14ac:dyDescent="0.25">
      <c r="A71" s="149">
        <v>43012</v>
      </c>
      <c r="B71" s="154">
        <v>0.51180555555555596</v>
      </c>
      <c r="C71" s="158">
        <v>600.92999999999995</v>
      </c>
      <c r="D71" s="158">
        <v>598.99</v>
      </c>
      <c r="E71" s="158">
        <v>610.56999999999994</v>
      </c>
      <c r="G71" s="172">
        <v>11.579999999999927</v>
      </c>
      <c r="BB71" s="157">
        <v>600.92999999999995</v>
      </c>
      <c r="BC71" s="157">
        <v>598.99</v>
      </c>
      <c r="BD71" s="157">
        <v>610.56999999999994</v>
      </c>
    </row>
    <row r="72" spans="1:56" x14ac:dyDescent="0.25">
      <c r="A72" s="149">
        <v>43012</v>
      </c>
      <c r="B72" s="154">
        <v>0.51249999999999996</v>
      </c>
      <c r="C72" s="158">
        <v>600.70000000000005</v>
      </c>
      <c r="D72" s="158">
        <v>598.76</v>
      </c>
      <c r="E72" s="158">
        <v>610.04999999999995</v>
      </c>
      <c r="G72" s="172">
        <v>11.289999999999964</v>
      </c>
      <c r="BB72" s="157">
        <v>600.70000000000005</v>
      </c>
      <c r="BC72" s="157">
        <v>598.76</v>
      </c>
      <c r="BD72" s="157">
        <v>610.04999999999995</v>
      </c>
    </row>
    <row r="73" spans="1:56" x14ac:dyDescent="0.25">
      <c r="A73" s="149">
        <v>43012</v>
      </c>
      <c r="B73" s="154">
        <v>0.51319444444444395</v>
      </c>
      <c r="C73" s="158">
        <v>600.91</v>
      </c>
      <c r="D73" s="158">
        <v>599.28</v>
      </c>
      <c r="E73" s="158">
        <v>610.52</v>
      </c>
      <c r="G73" s="172">
        <v>11.240000000000009</v>
      </c>
      <c r="BB73" s="157">
        <v>600.91</v>
      </c>
      <c r="BC73" s="157">
        <v>599.28</v>
      </c>
      <c r="BD73" s="157">
        <v>610.52</v>
      </c>
    </row>
    <row r="74" spans="1:56" x14ac:dyDescent="0.25">
      <c r="A74" s="149">
        <v>43012</v>
      </c>
      <c r="B74" s="154">
        <v>0.51388888888888895</v>
      </c>
      <c r="C74" s="158">
        <v>600.20000000000005</v>
      </c>
      <c r="D74" s="158">
        <v>598.85</v>
      </c>
      <c r="E74" s="158">
        <v>609.57999999999993</v>
      </c>
      <c r="G74" s="172">
        <v>10.729999999999905</v>
      </c>
      <c r="BB74" s="157">
        <v>600.20000000000005</v>
      </c>
      <c r="BC74" s="157">
        <v>598.85</v>
      </c>
      <c r="BD74" s="157">
        <v>609.57999999999993</v>
      </c>
    </row>
    <row r="75" spans="1:56" x14ac:dyDescent="0.25">
      <c r="A75" s="149">
        <v>43012</v>
      </c>
      <c r="B75" s="154">
        <v>0.51458333333333295</v>
      </c>
      <c r="C75" s="158">
        <v>600.66999999999996</v>
      </c>
      <c r="D75" s="158">
        <v>599.37</v>
      </c>
      <c r="E75" s="158">
        <v>610.29</v>
      </c>
      <c r="G75" s="172">
        <v>10.919999999999959</v>
      </c>
      <c r="BB75" s="157">
        <v>600.66999999999996</v>
      </c>
      <c r="BC75" s="157">
        <v>599.37</v>
      </c>
      <c r="BD75" s="157">
        <v>610.29</v>
      </c>
    </row>
    <row r="76" spans="1:56" x14ac:dyDescent="0.25">
      <c r="A76" s="148">
        <v>43012</v>
      </c>
      <c r="B76" s="153">
        <v>0.51527777777777795</v>
      </c>
      <c r="C76" s="157">
        <v>579.79999999999995</v>
      </c>
      <c r="D76" s="157">
        <v>577.47</v>
      </c>
      <c r="E76" s="157">
        <v>585.29</v>
      </c>
      <c r="G76" s="171">
        <v>7.8199999999999363</v>
      </c>
      <c r="BB76" s="157">
        <v>579.79999999999995</v>
      </c>
      <c r="BC76" s="157">
        <v>577.47</v>
      </c>
      <c r="BD76" s="157">
        <v>585.29</v>
      </c>
    </row>
    <row r="77" spans="1:56" x14ac:dyDescent="0.25">
      <c r="A77" s="148">
        <v>43012</v>
      </c>
      <c r="B77" s="153">
        <v>0.51597222222222205</v>
      </c>
      <c r="C77" s="157">
        <v>559.67999999999995</v>
      </c>
      <c r="D77" s="157">
        <v>557.38</v>
      </c>
      <c r="E77" s="157">
        <v>562.67999999999995</v>
      </c>
      <c r="G77" s="171">
        <v>5.2999999999999545</v>
      </c>
      <c r="BB77" s="157">
        <v>559.67999999999995</v>
      </c>
      <c r="BC77" s="157">
        <v>557.38</v>
      </c>
      <c r="BD77" s="157">
        <v>562.67999999999995</v>
      </c>
    </row>
    <row r="78" spans="1:56" x14ac:dyDescent="0.25">
      <c r="A78" s="148">
        <v>43012</v>
      </c>
      <c r="B78" s="153">
        <v>0.51666666666666705</v>
      </c>
      <c r="C78" s="157">
        <v>545.91</v>
      </c>
      <c r="D78" s="157">
        <v>543.5</v>
      </c>
      <c r="E78" s="157">
        <v>548.16999999999996</v>
      </c>
      <c r="G78" s="171">
        <v>4.6699999999999591</v>
      </c>
      <c r="BB78" s="157">
        <v>545.91</v>
      </c>
      <c r="BC78" s="157">
        <v>543.5</v>
      </c>
      <c r="BD78" s="157">
        <v>548.16999999999996</v>
      </c>
    </row>
    <row r="79" spans="1:56" x14ac:dyDescent="0.25">
      <c r="A79" s="148">
        <v>43012</v>
      </c>
      <c r="B79" s="153">
        <v>0.51736111111111105</v>
      </c>
      <c r="C79" s="157">
        <v>534.08000000000004</v>
      </c>
      <c r="D79" s="157">
        <v>531.61</v>
      </c>
      <c r="E79" s="157">
        <v>535.70999999999992</v>
      </c>
      <c r="G79" s="171">
        <v>4.0999999999999091</v>
      </c>
      <c r="BB79" s="157">
        <v>534.08000000000004</v>
      </c>
      <c r="BC79" s="157">
        <v>531.61</v>
      </c>
      <c r="BD79" s="157">
        <v>535.70999999999992</v>
      </c>
    </row>
    <row r="80" spans="1:56" x14ac:dyDescent="0.25">
      <c r="A80" s="148">
        <v>43012</v>
      </c>
      <c r="B80" s="153">
        <v>0.51805555555555505</v>
      </c>
      <c r="C80" s="157">
        <v>523.37</v>
      </c>
      <c r="D80" s="157">
        <v>520.97</v>
      </c>
      <c r="E80" s="157">
        <v>524.49</v>
      </c>
      <c r="G80" s="171">
        <v>3.5199999999999818</v>
      </c>
      <c r="BB80" s="157">
        <v>523.37</v>
      </c>
      <c r="BC80" s="157">
        <v>520.97</v>
      </c>
      <c r="BD80" s="157">
        <v>524.49</v>
      </c>
    </row>
    <row r="81" spans="1:56" x14ac:dyDescent="0.25">
      <c r="A81" s="148">
        <v>43012</v>
      </c>
      <c r="B81" s="153">
        <v>0.51875000000000004</v>
      </c>
      <c r="C81" s="157">
        <v>397.32</v>
      </c>
      <c r="D81" s="157">
        <v>286.82</v>
      </c>
      <c r="E81" s="157">
        <v>325.45</v>
      </c>
      <c r="G81" s="171">
        <v>110.5</v>
      </c>
      <c r="BB81" s="157">
        <v>397.32</v>
      </c>
      <c r="BC81" s="157">
        <v>286.82</v>
      </c>
      <c r="BD81" s="157">
        <v>325.45</v>
      </c>
    </row>
    <row r="82" spans="1:56" x14ac:dyDescent="0.25">
      <c r="A82" s="148">
        <v>43012</v>
      </c>
      <c r="B82" s="153">
        <v>0.51944444444444404</v>
      </c>
      <c r="C82" s="157">
        <v>357.98</v>
      </c>
      <c r="D82" s="157">
        <v>256.81</v>
      </c>
      <c r="E82" s="157">
        <v>280.44</v>
      </c>
      <c r="G82" s="171">
        <v>101.17000000000002</v>
      </c>
      <c r="BB82" s="157">
        <v>357.98</v>
      </c>
      <c r="BC82" s="157">
        <v>256.81</v>
      </c>
      <c r="BD82" s="157">
        <v>280.44</v>
      </c>
    </row>
    <row r="83" spans="1:56" x14ac:dyDescent="0.25">
      <c r="A83" s="148">
        <v>43012</v>
      </c>
      <c r="B83" s="153">
        <v>0.52013888888888904</v>
      </c>
      <c r="C83" s="157">
        <v>329.89</v>
      </c>
      <c r="D83" s="157">
        <v>231.09</v>
      </c>
      <c r="E83" s="157">
        <v>260.12</v>
      </c>
      <c r="G83" s="171">
        <v>98.799999999999983</v>
      </c>
      <c r="BB83" s="157">
        <v>329.89</v>
      </c>
      <c r="BC83" s="157">
        <v>231.09</v>
      </c>
      <c r="BD83" s="157">
        <v>260.12</v>
      </c>
    </row>
    <row r="84" spans="1:56" x14ac:dyDescent="0.25">
      <c r="A84" s="148">
        <v>43012</v>
      </c>
      <c r="B84" s="153">
        <v>0.52083333333333304</v>
      </c>
      <c r="C84" s="157">
        <v>311.52</v>
      </c>
      <c r="D84" s="157">
        <v>211.12</v>
      </c>
      <c r="E84" s="157">
        <v>244.63000000000002</v>
      </c>
      <c r="G84" s="171">
        <v>100.39999999999998</v>
      </c>
      <c r="BB84" s="157">
        <v>311.52</v>
      </c>
      <c r="BC84" s="157">
        <v>211.12</v>
      </c>
      <c r="BD84" s="157">
        <v>244.63000000000002</v>
      </c>
    </row>
    <row r="85" spans="1:56" x14ac:dyDescent="0.25">
      <c r="A85" s="148">
        <v>43012</v>
      </c>
      <c r="B85" s="153">
        <v>0.52152777777777803</v>
      </c>
      <c r="C85" s="157">
        <v>295.14</v>
      </c>
      <c r="D85" s="157">
        <v>206.56</v>
      </c>
      <c r="E85" s="157">
        <v>219.85000000000002</v>
      </c>
      <c r="G85" s="171">
        <v>88.579999999999984</v>
      </c>
      <c r="BB85" s="157">
        <v>295.14</v>
      </c>
      <c r="BC85" s="157">
        <v>206.56</v>
      </c>
      <c r="BD85" s="157">
        <v>219.85000000000002</v>
      </c>
    </row>
    <row r="86" spans="1:56" x14ac:dyDescent="0.25">
      <c r="A86" s="148">
        <v>43012</v>
      </c>
      <c r="B86" s="153">
        <v>0.52222222222222203</v>
      </c>
      <c r="C86" s="157">
        <v>280.73</v>
      </c>
      <c r="D86" s="157">
        <v>195.49</v>
      </c>
      <c r="E86" s="157">
        <v>202.79000000000002</v>
      </c>
      <c r="G86" s="171">
        <v>85.240000000000009</v>
      </c>
      <c r="BB86" s="157">
        <v>280.73</v>
      </c>
      <c r="BC86" s="157">
        <v>195.49</v>
      </c>
      <c r="BD86" s="157">
        <v>202.79000000000002</v>
      </c>
    </row>
    <row r="87" spans="1:56" x14ac:dyDescent="0.25">
      <c r="A87" s="148">
        <v>43012</v>
      </c>
      <c r="B87" s="153">
        <v>0.52291666666666703</v>
      </c>
      <c r="C87" s="157">
        <v>275.26</v>
      </c>
      <c r="D87" s="157">
        <v>190.82</v>
      </c>
      <c r="E87" s="157">
        <v>188.65</v>
      </c>
      <c r="G87" s="171">
        <v>86.609999999999985</v>
      </c>
      <c r="BB87" s="157">
        <v>275.26</v>
      </c>
      <c r="BC87" s="157">
        <v>190.82</v>
      </c>
      <c r="BD87" s="157">
        <v>188.65</v>
      </c>
    </row>
    <row r="88" spans="1:56" x14ac:dyDescent="0.25">
      <c r="A88" s="148">
        <v>43012</v>
      </c>
      <c r="B88" s="153">
        <v>0.52361111111111103</v>
      </c>
      <c r="C88" s="157">
        <v>262.63</v>
      </c>
      <c r="D88" s="157">
        <v>183.68</v>
      </c>
      <c r="E88" s="157">
        <v>180.20000000000002</v>
      </c>
      <c r="G88" s="171">
        <v>82.429999999999978</v>
      </c>
      <c r="BB88" s="157">
        <v>262.63</v>
      </c>
      <c r="BC88" s="157">
        <v>183.68</v>
      </c>
      <c r="BD88" s="157">
        <v>180.20000000000002</v>
      </c>
    </row>
    <row r="89" spans="1:56" x14ac:dyDescent="0.25">
      <c r="A89" s="150">
        <v>43012</v>
      </c>
      <c r="B89" s="155">
        <v>0.52430555555555503</v>
      </c>
      <c r="C89" s="159">
        <v>255.49</v>
      </c>
      <c r="D89" s="159">
        <v>177.64000000000001</v>
      </c>
      <c r="E89" s="159">
        <v>175.74</v>
      </c>
      <c r="G89" s="173">
        <v>79.75</v>
      </c>
      <c r="BB89" s="159">
        <v>255.49</v>
      </c>
      <c r="BC89" s="159">
        <v>177.64000000000001</v>
      </c>
      <c r="BD89" s="159">
        <v>175.74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0C65F-41A9-42EA-9CBF-FA682B47C84B}">
  <sheetPr codeName="Hoja11"/>
  <dimension ref="A1:BD89"/>
  <sheetViews>
    <sheetView workbookViewId="0">
      <selection activeCell="G10" sqref="G10"/>
    </sheetView>
  </sheetViews>
  <sheetFormatPr baseColWidth="10" defaultRowHeight="15.75" x14ac:dyDescent="0.25"/>
  <cols>
    <col min="1" max="1" width="25.7109375" style="161" customWidth="1"/>
    <col min="2" max="2" width="15.7109375" style="161" customWidth="1"/>
    <col min="3" max="6" width="11.42578125" style="161"/>
    <col min="7" max="7" width="18.7109375" style="161" customWidth="1"/>
    <col min="8" max="8" width="11.42578125" style="161"/>
    <col min="9" max="9" width="27.7109375" style="161" customWidth="1"/>
    <col min="10" max="18" width="11.42578125" style="161"/>
    <col min="19" max="19" width="15.7109375" style="161" customWidth="1"/>
    <col min="20" max="16384" width="11.42578125" style="161"/>
  </cols>
  <sheetData>
    <row r="1" spans="1:56" x14ac:dyDescent="0.25">
      <c r="C1" s="182" t="s">
        <v>100</v>
      </c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4"/>
      <c r="S1" s="174" t="s">
        <v>96</v>
      </c>
      <c r="T1" s="163">
        <v>1</v>
      </c>
      <c r="U1" s="164">
        <v>43012</v>
      </c>
      <c r="V1" s="165">
        <v>0.49722222222222223</v>
      </c>
      <c r="W1" s="164">
        <v>43012</v>
      </c>
      <c r="X1" s="166">
        <v>0.51458333333333328</v>
      </c>
    </row>
    <row r="2" spans="1:56" x14ac:dyDescent="0.25">
      <c r="A2" s="161">
        <v>3</v>
      </c>
      <c r="C2" s="185" t="s">
        <v>89</v>
      </c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7"/>
      <c r="S2" s="175" t="s">
        <v>97</v>
      </c>
      <c r="T2" s="162" t="s">
        <v>108</v>
      </c>
    </row>
    <row r="3" spans="1:56" x14ac:dyDescent="0.25">
      <c r="A3" s="161">
        <v>0</v>
      </c>
      <c r="C3" s="188" t="s">
        <v>90</v>
      </c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90"/>
      <c r="S3" s="176" t="s">
        <v>98</v>
      </c>
      <c r="T3" s="162" t="s">
        <v>108</v>
      </c>
    </row>
    <row r="4" spans="1:56" x14ac:dyDescent="0.25">
      <c r="S4" s="162" t="s">
        <v>92</v>
      </c>
      <c r="T4" s="162">
        <v>3</v>
      </c>
    </row>
    <row r="8" spans="1:56" x14ac:dyDescent="0.25">
      <c r="C8" s="90" t="s">
        <v>105</v>
      </c>
      <c r="D8" s="162" t="s">
        <v>106</v>
      </c>
      <c r="E8" s="162" t="s">
        <v>107</v>
      </c>
      <c r="G8" s="162"/>
    </row>
    <row r="9" spans="1:56" x14ac:dyDescent="0.25">
      <c r="B9" s="162" t="s">
        <v>93</v>
      </c>
      <c r="C9" s="90" t="s">
        <v>102</v>
      </c>
      <c r="D9" s="162" t="s">
        <v>103</v>
      </c>
      <c r="E9" s="162" t="s">
        <v>104</v>
      </c>
      <c r="G9" s="162" t="s">
        <v>111</v>
      </c>
    </row>
    <row r="10" spans="1:56" x14ac:dyDescent="0.25">
      <c r="B10" s="162" t="s">
        <v>94</v>
      </c>
      <c r="C10" s="179">
        <v>599.70000000000005</v>
      </c>
      <c r="D10" s="163">
        <v>595.6</v>
      </c>
      <c r="E10" s="168">
        <v>609.5</v>
      </c>
      <c r="G10" s="162">
        <v>601.6</v>
      </c>
      <c r="I10" s="90" t="s">
        <v>116</v>
      </c>
      <c r="J10" s="162">
        <v>463.9</v>
      </c>
      <c r="BB10" s="161">
        <v>599.70000000000005</v>
      </c>
      <c r="BC10" s="161">
        <v>595.6</v>
      </c>
      <c r="BD10" s="161">
        <v>609.5</v>
      </c>
    </row>
    <row r="11" spans="1:56" x14ac:dyDescent="0.25">
      <c r="B11" s="162" t="s">
        <v>9</v>
      </c>
      <c r="C11" s="179">
        <v>600.92999999999995</v>
      </c>
      <c r="D11" s="163">
        <v>599.37</v>
      </c>
      <c r="E11" s="168">
        <v>610.62</v>
      </c>
      <c r="G11" s="162">
        <v>610.62</v>
      </c>
      <c r="BB11" s="161">
        <v>600.92999999999995</v>
      </c>
      <c r="BC11" s="161">
        <v>599.37</v>
      </c>
      <c r="BD11" s="161">
        <v>610.62</v>
      </c>
    </row>
    <row r="12" spans="1:56" x14ac:dyDescent="0.25">
      <c r="B12" s="162" t="s">
        <v>95</v>
      </c>
      <c r="C12" s="179">
        <v>596.65</v>
      </c>
      <c r="D12" s="163">
        <v>587.69999999999993</v>
      </c>
      <c r="E12" s="168">
        <v>606.58999999999992</v>
      </c>
      <c r="G12" s="162">
        <v>587.69999999999993</v>
      </c>
      <c r="BB12" s="161">
        <v>596.65</v>
      </c>
      <c r="BC12" s="161">
        <v>587.69999999999993</v>
      </c>
      <c r="BD12" s="161">
        <v>606.58999999999992</v>
      </c>
    </row>
    <row r="13" spans="1:56" x14ac:dyDescent="0.25">
      <c r="B13" s="177"/>
      <c r="C13" s="177"/>
      <c r="D13" s="177"/>
      <c r="E13" s="177"/>
      <c r="F13" s="177"/>
      <c r="G13" s="177"/>
      <c r="H13" s="177"/>
      <c r="I13" s="177"/>
      <c r="J13" s="177"/>
    </row>
    <row r="14" spans="1:56" x14ac:dyDescent="0.25">
      <c r="B14" s="177"/>
      <c r="C14" s="177"/>
      <c r="D14" s="177"/>
      <c r="E14" s="177"/>
      <c r="F14" s="177"/>
      <c r="G14" s="177"/>
      <c r="H14" s="177"/>
      <c r="I14" s="177"/>
      <c r="J14" s="177"/>
    </row>
    <row r="15" spans="1:56" x14ac:dyDescent="0.25">
      <c r="B15" s="177"/>
      <c r="C15" s="177"/>
      <c r="D15" s="177"/>
      <c r="E15" s="177"/>
      <c r="F15" s="177"/>
      <c r="G15" s="177"/>
      <c r="H15" s="177"/>
      <c r="I15" s="177"/>
      <c r="J15" s="177"/>
    </row>
    <row r="16" spans="1:56" x14ac:dyDescent="0.25">
      <c r="B16" s="177"/>
      <c r="C16" s="162" t="s">
        <v>111</v>
      </c>
      <c r="D16" s="177"/>
      <c r="E16" s="177"/>
      <c r="F16" s="177"/>
      <c r="G16" s="177"/>
      <c r="H16" s="177"/>
      <c r="I16" s="177"/>
      <c r="J16" s="177"/>
    </row>
    <row r="17" spans="1:56" x14ac:dyDescent="0.25">
      <c r="B17" s="162" t="s">
        <v>94</v>
      </c>
      <c r="C17" s="162">
        <v>601.6</v>
      </c>
      <c r="D17" s="177"/>
      <c r="E17" s="177"/>
      <c r="F17" s="177"/>
      <c r="G17" s="177"/>
      <c r="H17" s="177"/>
      <c r="I17" s="177"/>
      <c r="J17" s="177"/>
    </row>
    <row r="18" spans="1:56" x14ac:dyDescent="0.25">
      <c r="B18" s="162" t="s">
        <v>9</v>
      </c>
      <c r="C18" s="162">
        <v>610.62</v>
      </c>
      <c r="D18" s="177"/>
      <c r="E18" s="177"/>
      <c r="F18" s="177"/>
      <c r="G18" s="177"/>
      <c r="H18" s="177"/>
      <c r="I18" s="177"/>
      <c r="J18" s="177"/>
    </row>
    <row r="19" spans="1:56" x14ac:dyDescent="0.25">
      <c r="B19" s="162" t="s">
        <v>95</v>
      </c>
      <c r="C19" s="162">
        <v>587.69999999999993</v>
      </c>
      <c r="D19" s="177"/>
      <c r="E19" s="177"/>
      <c r="F19" s="177"/>
      <c r="G19" s="177"/>
      <c r="H19" s="177"/>
      <c r="I19" s="177"/>
      <c r="J19" s="177"/>
      <c r="AZ19" s="161" t="s">
        <v>115</v>
      </c>
      <c r="BA19" s="161">
        <v>7</v>
      </c>
    </row>
    <row r="20" spans="1:56" x14ac:dyDescent="0.25">
      <c r="B20" s="162" t="s">
        <v>113</v>
      </c>
      <c r="C20" s="162">
        <v>18.889999999999986</v>
      </c>
    </row>
    <row r="21" spans="1:56" x14ac:dyDescent="0.25">
      <c r="AZ21" s="161" t="s">
        <v>114</v>
      </c>
      <c r="BA21" s="161">
        <v>1</v>
      </c>
    </row>
    <row r="22" spans="1:56" x14ac:dyDescent="0.25">
      <c r="AZ22" s="161">
        <v>0</v>
      </c>
      <c r="BA22" s="161">
        <v>1</v>
      </c>
    </row>
    <row r="24" spans="1:56" x14ac:dyDescent="0.25">
      <c r="G24" s="162" t="s">
        <v>113</v>
      </c>
    </row>
    <row r="25" spans="1:56" x14ac:dyDescent="0.25">
      <c r="G25" s="162">
        <v>18.889999999999986</v>
      </c>
    </row>
    <row r="28" spans="1:56" x14ac:dyDescent="0.25">
      <c r="C28" s="161" t="s">
        <v>110</v>
      </c>
      <c r="D28" s="161" t="s">
        <v>110</v>
      </c>
      <c r="E28" s="161" t="s">
        <v>110</v>
      </c>
      <c r="BB28" s="161" t="s">
        <v>110</v>
      </c>
      <c r="BC28" s="161" t="s">
        <v>110</v>
      </c>
      <c r="BD28" s="161" t="s">
        <v>110</v>
      </c>
    </row>
    <row r="29" spans="1:56" x14ac:dyDescent="0.25">
      <c r="A29" s="161" t="s">
        <v>91</v>
      </c>
      <c r="C29" s="161">
        <v>1</v>
      </c>
      <c r="D29" s="161">
        <v>2</v>
      </c>
      <c r="E29" s="161">
        <v>3</v>
      </c>
      <c r="BB29" s="161">
        <v>1</v>
      </c>
      <c r="BC29" s="161">
        <v>2</v>
      </c>
      <c r="BD29" s="161">
        <v>3</v>
      </c>
    </row>
    <row r="30" spans="1:56" x14ac:dyDescent="0.25">
      <c r="A30" s="146" t="s">
        <v>101</v>
      </c>
      <c r="B30" s="151" t="s">
        <v>109</v>
      </c>
      <c r="C30" s="146" t="s">
        <v>105</v>
      </c>
      <c r="D30" s="160" t="s">
        <v>106</v>
      </c>
      <c r="E30" s="146" t="s">
        <v>107</v>
      </c>
      <c r="G30" s="162" t="s">
        <v>112</v>
      </c>
      <c r="BB30" s="146" t="s">
        <v>105</v>
      </c>
      <c r="BC30" s="160" t="s">
        <v>106</v>
      </c>
      <c r="BD30" s="146" t="s">
        <v>107</v>
      </c>
    </row>
    <row r="31" spans="1:56" x14ac:dyDescent="0.25">
      <c r="A31" s="147">
        <v>43012</v>
      </c>
      <c r="B31" s="152">
        <v>0.48402777777777778</v>
      </c>
      <c r="C31" s="156">
        <v>16.100000000000001</v>
      </c>
      <c r="D31" s="156">
        <v>14.820000000000002</v>
      </c>
      <c r="E31" s="156">
        <v>15.580000000000002</v>
      </c>
      <c r="G31" s="170">
        <v>1.2799999999999994</v>
      </c>
      <c r="BB31" s="156">
        <v>16.100000000000001</v>
      </c>
      <c r="BC31" s="156">
        <v>14.820000000000002</v>
      </c>
      <c r="BD31" s="156">
        <v>15.580000000000002</v>
      </c>
    </row>
    <row r="32" spans="1:56" x14ac:dyDescent="0.25">
      <c r="A32" s="148">
        <v>43012</v>
      </c>
      <c r="B32" s="153">
        <v>0.48472222222222222</v>
      </c>
      <c r="C32" s="157">
        <v>16.45</v>
      </c>
      <c r="D32" s="157">
        <v>15.160000000000002</v>
      </c>
      <c r="E32" s="157">
        <v>15.75</v>
      </c>
      <c r="G32" s="171">
        <v>1.2899999999999974</v>
      </c>
      <c r="BB32" s="157">
        <v>16.45</v>
      </c>
      <c r="BC32" s="157">
        <v>15.160000000000002</v>
      </c>
      <c r="BD32" s="157">
        <v>15.75</v>
      </c>
    </row>
    <row r="33" spans="1:56" x14ac:dyDescent="0.25">
      <c r="A33" s="148">
        <v>43012</v>
      </c>
      <c r="B33" s="153">
        <v>0.485416666666667</v>
      </c>
      <c r="C33" s="157">
        <v>102.07</v>
      </c>
      <c r="D33" s="157">
        <v>98.550000000000011</v>
      </c>
      <c r="E33" s="157">
        <v>84.95</v>
      </c>
      <c r="G33" s="171">
        <v>17.11999999999999</v>
      </c>
      <c r="BB33" s="157">
        <v>102.07</v>
      </c>
      <c r="BC33" s="157">
        <v>98.550000000000011</v>
      </c>
      <c r="BD33" s="157">
        <v>84.95</v>
      </c>
    </row>
    <row r="34" spans="1:56" x14ac:dyDescent="0.25">
      <c r="A34" s="148">
        <v>43012</v>
      </c>
      <c r="B34" s="153">
        <v>0.48611111111111099</v>
      </c>
      <c r="C34" s="157">
        <v>137.74</v>
      </c>
      <c r="D34" s="157">
        <v>135.51000000000002</v>
      </c>
      <c r="E34" s="157">
        <v>135.26000000000002</v>
      </c>
      <c r="G34" s="171">
        <v>2.4799999999999898</v>
      </c>
      <c r="BB34" s="157">
        <v>137.74</v>
      </c>
      <c r="BC34" s="157">
        <v>135.51000000000002</v>
      </c>
      <c r="BD34" s="157">
        <v>135.26000000000002</v>
      </c>
    </row>
    <row r="35" spans="1:56" x14ac:dyDescent="0.25">
      <c r="A35" s="148">
        <v>43012</v>
      </c>
      <c r="B35" s="153">
        <v>0.48680555555555599</v>
      </c>
      <c r="C35" s="157">
        <v>281.89</v>
      </c>
      <c r="D35" s="157">
        <v>275.34999999999997</v>
      </c>
      <c r="E35" s="157">
        <v>303.73</v>
      </c>
      <c r="G35" s="171">
        <v>28.380000000000052</v>
      </c>
      <c r="BB35" s="157">
        <v>281.89</v>
      </c>
      <c r="BC35" s="157">
        <v>275.34999999999997</v>
      </c>
      <c r="BD35" s="157">
        <v>303.73</v>
      </c>
    </row>
    <row r="36" spans="1:56" x14ac:dyDescent="0.25">
      <c r="A36" s="148">
        <v>43012</v>
      </c>
      <c r="B36" s="153">
        <v>0.48749999999999999</v>
      </c>
      <c r="C36" s="157">
        <v>354.84</v>
      </c>
      <c r="D36" s="157">
        <v>335.84999999999997</v>
      </c>
      <c r="E36" s="157">
        <v>370.98</v>
      </c>
      <c r="G36" s="171">
        <v>35.130000000000052</v>
      </c>
      <c r="BB36" s="157">
        <v>354.84</v>
      </c>
      <c r="BC36" s="157">
        <v>335.84999999999997</v>
      </c>
      <c r="BD36" s="157">
        <v>370.98</v>
      </c>
    </row>
    <row r="37" spans="1:56" x14ac:dyDescent="0.25">
      <c r="A37" s="148">
        <v>43012</v>
      </c>
      <c r="B37" s="153">
        <v>0.48819444444444399</v>
      </c>
      <c r="C37" s="157">
        <v>440.44</v>
      </c>
      <c r="D37" s="157">
        <v>414.63</v>
      </c>
      <c r="E37" s="157">
        <v>453.7</v>
      </c>
      <c r="G37" s="171">
        <v>39.069999999999993</v>
      </c>
      <c r="BB37" s="157">
        <v>440.44</v>
      </c>
      <c r="BC37" s="157">
        <v>414.63</v>
      </c>
      <c r="BD37" s="157">
        <v>453.7</v>
      </c>
    </row>
    <row r="38" spans="1:56" x14ac:dyDescent="0.25">
      <c r="A38" s="148">
        <v>43012</v>
      </c>
      <c r="B38" s="153">
        <v>0.48888888888888898</v>
      </c>
      <c r="C38" s="157">
        <v>500.48</v>
      </c>
      <c r="D38" s="157">
        <v>475.38</v>
      </c>
      <c r="E38" s="157">
        <v>514.32999999999993</v>
      </c>
      <c r="G38" s="171">
        <v>38.949999999999932</v>
      </c>
      <c r="BB38" s="157">
        <v>500.48</v>
      </c>
      <c r="BC38" s="157">
        <v>475.38</v>
      </c>
      <c r="BD38" s="157">
        <v>514.32999999999993</v>
      </c>
    </row>
    <row r="39" spans="1:56" x14ac:dyDescent="0.25">
      <c r="A39" s="148">
        <v>43012</v>
      </c>
      <c r="B39" s="153">
        <v>0.48958333333333298</v>
      </c>
      <c r="C39" s="157">
        <v>550.74</v>
      </c>
      <c r="D39" s="157">
        <v>526.37</v>
      </c>
      <c r="E39" s="157">
        <v>564.16</v>
      </c>
      <c r="G39" s="171">
        <v>37.789999999999964</v>
      </c>
      <c r="BB39" s="157">
        <v>550.74</v>
      </c>
      <c r="BC39" s="157">
        <v>526.37</v>
      </c>
      <c r="BD39" s="157">
        <v>564.16</v>
      </c>
    </row>
    <row r="40" spans="1:56" x14ac:dyDescent="0.25">
      <c r="A40" s="148">
        <v>43012</v>
      </c>
      <c r="B40" s="153">
        <v>0.49027777777777798</v>
      </c>
      <c r="C40" s="157">
        <v>558.16</v>
      </c>
      <c r="D40" s="157">
        <v>537.59</v>
      </c>
      <c r="E40" s="157">
        <v>575.1099999999999</v>
      </c>
      <c r="G40" s="171">
        <v>37.519999999999868</v>
      </c>
      <c r="BB40" s="157">
        <v>558.16</v>
      </c>
      <c r="BC40" s="157">
        <v>537.59</v>
      </c>
      <c r="BD40" s="157">
        <v>575.1099999999999</v>
      </c>
    </row>
    <row r="41" spans="1:56" x14ac:dyDescent="0.25">
      <c r="A41" s="148">
        <v>43012</v>
      </c>
      <c r="B41" s="153">
        <v>0.49097222222222198</v>
      </c>
      <c r="C41" s="157">
        <v>571.99</v>
      </c>
      <c r="D41" s="157">
        <v>552.47</v>
      </c>
      <c r="E41" s="157">
        <v>586.02</v>
      </c>
      <c r="G41" s="171">
        <v>33.549999999999955</v>
      </c>
      <c r="BB41" s="157">
        <v>571.99</v>
      </c>
      <c r="BC41" s="157">
        <v>552.47</v>
      </c>
      <c r="BD41" s="157">
        <v>586.02</v>
      </c>
    </row>
    <row r="42" spans="1:56" x14ac:dyDescent="0.25">
      <c r="A42" s="148">
        <v>43012</v>
      </c>
      <c r="B42" s="153">
        <v>0.49166666666666697</v>
      </c>
      <c r="C42" s="157">
        <v>583.24</v>
      </c>
      <c r="D42" s="157">
        <v>563.66999999999996</v>
      </c>
      <c r="E42" s="157">
        <v>594.30999999999995</v>
      </c>
      <c r="G42" s="171">
        <v>30.639999999999986</v>
      </c>
      <c r="BB42" s="157">
        <v>583.24</v>
      </c>
      <c r="BC42" s="157">
        <v>563.66999999999996</v>
      </c>
      <c r="BD42" s="157">
        <v>594.30999999999995</v>
      </c>
    </row>
    <row r="43" spans="1:56" x14ac:dyDescent="0.25">
      <c r="A43" s="148">
        <v>43012</v>
      </c>
      <c r="B43" s="153">
        <v>0.49236111111111103</v>
      </c>
      <c r="C43" s="157">
        <v>582.92999999999995</v>
      </c>
      <c r="D43" s="157">
        <v>569.55999999999995</v>
      </c>
      <c r="E43" s="157">
        <v>599.05999999999995</v>
      </c>
      <c r="G43" s="171">
        <v>29.5</v>
      </c>
      <c r="BB43" s="157">
        <v>582.92999999999995</v>
      </c>
      <c r="BC43" s="157">
        <v>569.55999999999995</v>
      </c>
      <c r="BD43" s="157">
        <v>599.05999999999995</v>
      </c>
    </row>
    <row r="44" spans="1:56" x14ac:dyDescent="0.25">
      <c r="A44" s="148">
        <v>43012</v>
      </c>
      <c r="B44" s="153">
        <v>0.49305555555555602</v>
      </c>
      <c r="C44" s="157">
        <v>590.96</v>
      </c>
      <c r="D44" s="157">
        <v>575.65</v>
      </c>
      <c r="E44" s="157">
        <v>601.89</v>
      </c>
      <c r="G44" s="171">
        <v>26.240000000000009</v>
      </c>
      <c r="BB44" s="157">
        <v>590.96</v>
      </c>
      <c r="BC44" s="157">
        <v>575.65</v>
      </c>
      <c r="BD44" s="157">
        <v>601.89</v>
      </c>
    </row>
    <row r="45" spans="1:56" x14ac:dyDescent="0.25">
      <c r="A45" s="148">
        <v>43012</v>
      </c>
      <c r="B45" s="153">
        <v>0.49375000000000002</v>
      </c>
      <c r="C45" s="157">
        <v>592.23</v>
      </c>
      <c r="D45" s="157">
        <v>578.94999999999993</v>
      </c>
      <c r="E45" s="157">
        <v>603.71999999999991</v>
      </c>
      <c r="G45" s="171">
        <v>24.769999999999982</v>
      </c>
      <c r="BB45" s="157">
        <v>592.23</v>
      </c>
      <c r="BC45" s="157">
        <v>578.94999999999993</v>
      </c>
      <c r="BD45" s="157">
        <v>603.71999999999991</v>
      </c>
    </row>
    <row r="46" spans="1:56" x14ac:dyDescent="0.25">
      <c r="A46" s="148">
        <v>43012</v>
      </c>
      <c r="B46" s="153">
        <v>0.49444444444444402</v>
      </c>
      <c r="C46" s="157">
        <v>589.41999999999996</v>
      </c>
      <c r="D46" s="157">
        <v>579.25</v>
      </c>
      <c r="E46" s="157">
        <v>603.04</v>
      </c>
      <c r="G46" s="171">
        <v>23.789999999999964</v>
      </c>
      <c r="BB46" s="157">
        <v>589.41999999999996</v>
      </c>
      <c r="BC46" s="157">
        <v>579.25</v>
      </c>
      <c r="BD46" s="157">
        <v>603.04</v>
      </c>
    </row>
    <row r="47" spans="1:56" x14ac:dyDescent="0.25">
      <c r="A47" s="148">
        <v>43012</v>
      </c>
      <c r="B47" s="153">
        <v>0.49513888888888902</v>
      </c>
      <c r="C47" s="157">
        <v>586.20000000000005</v>
      </c>
      <c r="D47" s="157">
        <v>580.04999999999995</v>
      </c>
      <c r="E47" s="157">
        <v>604.46999999999991</v>
      </c>
      <c r="G47" s="171">
        <v>24.419999999999959</v>
      </c>
      <c r="BB47" s="157">
        <v>586.20000000000005</v>
      </c>
      <c r="BC47" s="157">
        <v>580.04999999999995</v>
      </c>
      <c r="BD47" s="157">
        <v>604.46999999999991</v>
      </c>
    </row>
    <row r="48" spans="1:56" x14ac:dyDescent="0.25">
      <c r="A48" s="148">
        <v>43012</v>
      </c>
      <c r="B48" s="153">
        <v>0.49583333333333302</v>
      </c>
      <c r="C48" s="157">
        <v>594.70000000000005</v>
      </c>
      <c r="D48" s="157">
        <v>584.18999999999994</v>
      </c>
      <c r="E48" s="157">
        <v>604.89</v>
      </c>
      <c r="G48" s="171">
        <v>20.700000000000045</v>
      </c>
      <c r="BB48" s="157">
        <v>594.70000000000005</v>
      </c>
      <c r="BC48" s="157">
        <v>584.18999999999994</v>
      </c>
      <c r="BD48" s="157">
        <v>604.89</v>
      </c>
    </row>
    <row r="49" spans="1:56" x14ac:dyDescent="0.25">
      <c r="A49" s="148">
        <v>43012</v>
      </c>
      <c r="B49" s="153">
        <v>0.49652777777777801</v>
      </c>
      <c r="C49" s="157">
        <v>594.01</v>
      </c>
      <c r="D49" s="157">
        <v>585.98</v>
      </c>
      <c r="E49" s="157">
        <v>606.18999999999994</v>
      </c>
      <c r="G49" s="171">
        <v>20.209999999999923</v>
      </c>
      <c r="BB49" s="157">
        <v>594.01</v>
      </c>
      <c r="BC49" s="157">
        <v>585.98</v>
      </c>
      <c r="BD49" s="157">
        <v>606.18999999999994</v>
      </c>
    </row>
    <row r="50" spans="1:56" x14ac:dyDescent="0.25">
      <c r="A50" s="149">
        <v>43012</v>
      </c>
      <c r="B50" s="154">
        <v>0.49722222222222201</v>
      </c>
      <c r="C50" s="158">
        <v>596.65</v>
      </c>
      <c r="D50" s="158">
        <v>587.69999999999993</v>
      </c>
      <c r="E50" s="158">
        <v>606.58999999999992</v>
      </c>
      <c r="G50" s="172">
        <v>18.889999999999986</v>
      </c>
      <c r="BB50" s="157">
        <v>596.65</v>
      </c>
      <c r="BC50" s="157">
        <v>587.69999999999993</v>
      </c>
      <c r="BD50" s="157">
        <v>606.58999999999992</v>
      </c>
    </row>
    <row r="51" spans="1:56" x14ac:dyDescent="0.25">
      <c r="A51" s="149">
        <v>43012</v>
      </c>
      <c r="B51" s="154">
        <v>0.49791666666666701</v>
      </c>
      <c r="C51" s="158">
        <v>597.14</v>
      </c>
      <c r="D51" s="158">
        <v>588.30999999999995</v>
      </c>
      <c r="E51" s="158">
        <v>606.75</v>
      </c>
      <c r="G51" s="172">
        <v>18.440000000000055</v>
      </c>
      <c r="BB51" s="157">
        <v>597.14</v>
      </c>
      <c r="BC51" s="157">
        <v>588.30999999999995</v>
      </c>
      <c r="BD51" s="157">
        <v>606.75</v>
      </c>
    </row>
    <row r="52" spans="1:56" x14ac:dyDescent="0.25">
      <c r="A52" s="149">
        <v>43012</v>
      </c>
      <c r="B52" s="154">
        <v>0.49861111111111101</v>
      </c>
      <c r="C52" s="158">
        <v>598.42999999999995</v>
      </c>
      <c r="D52" s="158">
        <v>590.15</v>
      </c>
      <c r="E52" s="158">
        <v>607.94999999999993</v>
      </c>
      <c r="G52" s="172">
        <v>17.799999999999955</v>
      </c>
      <c r="BB52" s="157">
        <v>598.42999999999995</v>
      </c>
      <c r="BC52" s="157">
        <v>590.15</v>
      </c>
      <c r="BD52" s="157">
        <v>607.94999999999993</v>
      </c>
    </row>
    <row r="53" spans="1:56" x14ac:dyDescent="0.25">
      <c r="A53" s="149">
        <v>43012</v>
      </c>
      <c r="B53" s="154">
        <v>0.499305555555556</v>
      </c>
      <c r="C53" s="158">
        <v>598.53</v>
      </c>
      <c r="D53" s="158">
        <v>590.92999999999995</v>
      </c>
      <c r="E53" s="158">
        <v>607.92999999999995</v>
      </c>
      <c r="G53" s="172">
        <v>17</v>
      </c>
      <c r="BB53" s="157">
        <v>598.53</v>
      </c>
      <c r="BC53" s="157">
        <v>590.92999999999995</v>
      </c>
      <c r="BD53" s="157">
        <v>607.92999999999995</v>
      </c>
    </row>
    <row r="54" spans="1:56" x14ac:dyDescent="0.25">
      <c r="A54" s="149">
        <v>43012</v>
      </c>
      <c r="B54" s="154">
        <v>0.5</v>
      </c>
      <c r="C54" s="158">
        <v>599.94000000000005</v>
      </c>
      <c r="D54" s="158">
        <v>592.80999999999995</v>
      </c>
      <c r="E54" s="158">
        <v>609.3599999999999</v>
      </c>
      <c r="G54" s="172">
        <v>16.549999999999955</v>
      </c>
      <c r="BB54" s="157">
        <v>599.94000000000005</v>
      </c>
      <c r="BC54" s="157">
        <v>592.80999999999995</v>
      </c>
      <c r="BD54" s="157">
        <v>609.3599999999999</v>
      </c>
    </row>
    <row r="55" spans="1:56" x14ac:dyDescent="0.25">
      <c r="A55" s="149">
        <v>43012</v>
      </c>
      <c r="B55" s="154">
        <v>0.500694444444444</v>
      </c>
      <c r="C55" s="158">
        <v>599.91999999999996</v>
      </c>
      <c r="D55" s="158">
        <v>593.35</v>
      </c>
      <c r="E55" s="158">
        <v>609.29</v>
      </c>
      <c r="G55" s="172">
        <v>15.939999999999941</v>
      </c>
      <c r="BB55" s="157">
        <v>599.91999999999996</v>
      </c>
      <c r="BC55" s="157">
        <v>593.35</v>
      </c>
      <c r="BD55" s="157">
        <v>609.29</v>
      </c>
    </row>
    <row r="56" spans="1:56" x14ac:dyDescent="0.25">
      <c r="A56" s="149">
        <v>43012</v>
      </c>
      <c r="B56" s="154">
        <v>0.50138888888888899</v>
      </c>
      <c r="C56" s="158">
        <v>599.23</v>
      </c>
      <c r="D56" s="158">
        <v>593.69999999999993</v>
      </c>
      <c r="E56" s="158">
        <v>609.25</v>
      </c>
      <c r="G56" s="172">
        <v>15.550000000000068</v>
      </c>
      <c r="BB56" s="157">
        <v>599.23</v>
      </c>
      <c r="BC56" s="157">
        <v>593.69999999999993</v>
      </c>
      <c r="BD56" s="157">
        <v>609.25</v>
      </c>
    </row>
    <row r="57" spans="1:56" x14ac:dyDescent="0.25">
      <c r="A57" s="149">
        <v>43012</v>
      </c>
      <c r="B57" s="154">
        <v>0.50208333333333299</v>
      </c>
      <c r="C57" s="158">
        <v>598.98</v>
      </c>
      <c r="D57" s="158">
        <v>593.61</v>
      </c>
      <c r="E57" s="158">
        <v>608.55999999999995</v>
      </c>
      <c r="G57" s="172">
        <v>14.949999999999932</v>
      </c>
      <c r="BB57" s="157">
        <v>598.98</v>
      </c>
      <c r="BC57" s="157">
        <v>593.61</v>
      </c>
      <c r="BD57" s="157">
        <v>608.55999999999995</v>
      </c>
    </row>
    <row r="58" spans="1:56" x14ac:dyDescent="0.25">
      <c r="A58" s="149">
        <v>43012</v>
      </c>
      <c r="B58" s="154">
        <v>0.50277777777777799</v>
      </c>
      <c r="C58" s="158">
        <v>600.13</v>
      </c>
      <c r="D58" s="158">
        <v>595.09</v>
      </c>
      <c r="E58" s="158">
        <v>609.79</v>
      </c>
      <c r="G58" s="172">
        <v>14.699999999999932</v>
      </c>
      <c r="BB58" s="157">
        <v>600.13</v>
      </c>
      <c r="BC58" s="157">
        <v>595.09</v>
      </c>
      <c r="BD58" s="157">
        <v>609.79</v>
      </c>
    </row>
    <row r="59" spans="1:56" x14ac:dyDescent="0.25">
      <c r="A59" s="149">
        <v>43012</v>
      </c>
      <c r="B59" s="154">
        <v>0.50347222222222199</v>
      </c>
      <c r="C59" s="158">
        <v>600.1</v>
      </c>
      <c r="D59" s="158">
        <v>595.75</v>
      </c>
      <c r="E59" s="158">
        <v>610.02</v>
      </c>
      <c r="G59" s="172">
        <v>14.269999999999982</v>
      </c>
      <c r="BB59" s="157">
        <v>600.1</v>
      </c>
      <c r="BC59" s="157">
        <v>595.75</v>
      </c>
      <c r="BD59" s="157">
        <v>610.02</v>
      </c>
    </row>
    <row r="60" spans="1:56" x14ac:dyDescent="0.25">
      <c r="A60" s="149">
        <v>43012</v>
      </c>
      <c r="B60" s="154">
        <v>0.50416666666666698</v>
      </c>
      <c r="C60" s="158">
        <v>599.67999999999995</v>
      </c>
      <c r="D60" s="158">
        <v>595.87</v>
      </c>
      <c r="E60" s="158">
        <v>609.74</v>
      </c>
      <c r="G60" s="172">
        <v>13.870000000000005</v>
      </c>
      <c r="BB60" s="157">
        <v>599.67999999999995</v>
      </c>
      <c r="BC60" s="157">
        <v>595.87</v>
      </c>
      <c r="BD60" s="157">
        <v>609.74</v>
      </c>
    </row>
    <row r="61" spans="1:56" x14ac:dyDescent="0.25">
      <c r="A61" s="149">
        <v>43012</v>
      </c>
      <c r="B61" s="154">
        <v>0.50486111111111098</v>
      </c>
      <c r="C61" s="158">
        <v>599.85</v>
      </c>
      <c r="D61" s="158">
        <v>596.54999999999995</v>
      </c>
      <c r="E61" s="158">
        <v>610.09999999999991</v>
      </c>
      <c r="G61" s="172">
        <v>13.549999999999955</v>
      </c>
      <c r="BB61" s="157">
        <v>599.85</v>
      </c>
      <c r="BC61" s="157">
        <v>596.54999999999995</v>
      </c>
      <c r="BD61" s="157">
        <v>610.09999999999991</v>
      </c>
    </row>
    <row r="62" spans="1:56" x14ac:dyDescent="0.25">
      <c r="A62" s="149">
        <v>43012</v>
      </c>
      <c r="B62" s="154">
        <v>0.50555555555555598</v>
      </c>
      <c r="C62" s="158">
        <v>599.87</v>
      </c>
      <c r="D62" s="158">
        <v>596.68999999999994</v>
      </c>
      <c r="E62" s="158">
        <v>609.96999999999991</v>
      </c>
      <c r="G62" s="172">
        <v>13.279999999999973</v>
      </c>
      <c r="BB62" s="157">
        <v>599.87</v>
      </c>
      <c r="BC62" s="157">
        <v>596.68999999999994</v>
      </c>
      <c r="BD62" s="157">
        <v>609.96999999999991</v>
      </c>
    </row>
    <row r="63" spans="1:56" x14ac:dyDescent="0.25">
      <c r="A63" s="149">
        <v>43012</v>
      </c>
      <c r="B63" s="154">
        <v>0.50624999999999998</v>
      </c>
      <c r="C63" s="158">
        <v>599.49</v>
      </c>
      <c r="D63" s="158">
        <v>596.54999999999995</v>
      </c>
      <c r="E63" s="158">
        <v>609.54999999999995</v>
      </c>
      <c r="G63" s="172">
        <v>13</v>
      </c>
      <c r="BB63" s="157">
        <v>599.49</v>
      </c>
      <c r="BC63" s="157">
        <v>596.54999999999995</v>
      </c>
      <c r="BD63" s="157">
        <v>609.54999999999995</v>
      </c>
    </row>
    <row r="64" spans="1:56" x14ac:dyDescent="0.25">
      <c r="A64" s="149">
        <v>43012</v>
      </c>
      <c r="B64" s="154">
        <v>0.50694444444444398</v>
      </c>
      <c r="C64" s="158">
        <v>600.53</v>
      </c>
      <c r="D64" s="158">
        <v>597.67999999999995</v>
      </c>
      <c r="E64" s="158">
        <v>610.62</v>
      </c>
      <c r="G64" s="172">
        <v>12.940000000000055</v>
      </c>
      <c r="BB64" s="157">
        <v>600.53</v>
      </c>
      <c r="BC64" s="157">
        <v>597.67999999999995</v>
      </c>
      <c r="BD64" s="157">
        <v>610.62</v>
      </c>
    </row>
    <row r="65" spans="1:56" x14ac:dyDescent="0.25">
      <c r="A65" s="149">
        <v>43012</v>
      </c>
      <c r="B65" s="154">
        <v>0.50763888888888897</v>
      </c>
      <c r="C65" s="158">
        <v>600.44000000000005</v>
      </c>
      <c r="D65" s="158">
        <v>597.63</v>
      </c>
      <c r="E65" s="158">
        <v>610.29</v>
      </c>
      <c r="G65" s="172">
        <v>12.659999999999968</v>
      </c>
      <c r="BB65" s="157">
        <v>600.44000000000005</v>
      </c>
      <c r="BC65" s="157">
        <v>597.63</v>
      </c>
      <c r="BD65" s="157">
        <v>610.29</v>
      </c>
    </row>
    <row r="66" spans="1:56" x14ac:dyDescent="0.25">
      <c r="A66" s="149">
        <v>43012</v>
      </c>
      <c r="B66" s="154">
        <v>0.50833333333333297</v>
      </c>
      <c r="C66" s="158">
        <v>600.6</v>
      </c>
      <c r="D66" s="158">
        <v>597.95999999999992</v>
      </c>
      <c r="E66" s="158">
        <v>610.44999999999993</v>
      </c>
      <c r="G66" s="172">
        <v>12.490000000000009</v>
      </c>
      <c r="BB66" s="157">
        <v>600.6</v>
      </c>
      <c r="BC66" s="157">
        <v>597.95999999999992</v>
      </c>
      <c r="BD66" s="157">
        <v>610.44999999999993</v>
      </c>
    </row>
    <row r="67" spans="1:56" x14ac:dyDescent="0.25">
      <c r="A67" s="149">
        <v>43012</v>
      </c>
      <c r="B67" s="154">
        <v>0.50902777777777797</v>
      </c>
      <c r="C67" s="158">
        <v>600.37</v>
      </c>
      <c r="D67" s="158">
        <v>597.72</v>
      </c>
      <c r="E67" s="158">
        <v>610.04999999999995</v>
      </c>
      <c r="G67" s="172">
        <v>12.329999999999927</v>
      </c>
      <c r="BB67" s="157">
        <v>600.37</v>
      </c>
      <c r="BC67" s="157">
        <v>597.72</v>
      </c>
      <c r="BD67" s="157">
        <v>610.04999999999995</v>
      </c>
    </row>
    <row r="68" spans="1:56" x14ac:dyDescent="0.25">
      <c r="A68" s="149">
        <v>43012</v>
      </c>
      <c r="B68" s="154">
        <v>0.50972222222222197</v>
      </c>
      <c r="C68" s="158">
        <v>599.21</v>
      </c>
      <c r="D68" s="158">
        <v>597.13</v>
      </c>
      <c r="E68" s="158">
        <v>609.13</v>
      </c>
      <c r="G68" s="172">
        <v>12</v>
      </c>
      <c r="BB68" s="157">
        <v>599.21</v>
      </c>
      <c r="BC68" s="157">
        <v>597.13</v>
      </c>
      <c r="BD68" s="157">
        <v>609.13</v>
      </c>
    </row>
    <row r="69" spans="1:56" x14ac:dyDescent="0.25">
      <c r="A69" s="149">
        <v>43012</v>
      </c>
      <c r="B69" s="154">
        <v>0.51041666666666696</v>
      </c>
      <c r="C69" s="158">
        <v>600.15</v>
      </c>
      <c r="D69" s="158">
        <v>597.81999999999994</v>
      </c>
      <c r="E69" s="158">
        <v>609.68999999999994</v>
      </c>
      <c r="G69" s="172">
        <v>11.870000000000005</v>
      </c>
      <c r="BB69" s="157">
        <v>600.15</v>
      </c>
      <c r="BC69" s="157">
        <v>597.81999999999994</v>
      </c>
      <c r="BD69" s="157">
        <v>609.68999999999994</v>
      </c>
    </row>
    <row r="70" spans="1:56" x14ac:dyDescent="0.25">
      <c r="A70" s="149">
        <v>43012</v>
      </c>
      <c r="B70" s="154">
        <v>0.51111111111111096</v>
      </c>
      <c r="C70" s="158">
        <v>600.72</v>
      </c>
      <c r="D70" s="158">
        <v>598.54999999999995</v>
      </c>
      <c r="E70" s="158">
        <v>610.30999999999995</v>
      </c>
      <c r="G70" s="172">
        <v>11.759999999999991</v>
      </c>
      <c r="BB70" s="157">
        <v>600.72</v>
      </c>
      <c r="BC70" s="157">
        <v>598.54999999999995</v>
      </c>
      <c r="BD70" s="157">
        <v>610.30999999999995</v>
      </c>
    </row>
    <row r="71" spans="1:56" x14ac:dyDescent="0.25">
      <c r="A71" s="149">
        <v>43012</v>
      </c>
      <c r="B71" s="154">
        <v>0.51180555555555596</v>
      </c>
      <c r="C71" s="158">
        <v>600.92999999999995</v>
      </c>
      <c r="D71" s="158">
        <v>598.99</v>
      </c>
      <c r="E71" s="158">
        <v>610.56999999999994</v>
      </c>
      <c r="G71" s="172">
        <v>11.579999999999927</v>
      </c>
      <c r="BB71" s="157">
        <v>600.92999999999995</v>
      </c>
      <c r="BC71" s="157">
        <v>598.99</v>
      </c>
      <c r="BD71" s="157">
        <v>610.56999999999994</v>
      </c>
    </row>
    <row r="72" spans="1:56" x14ac:dyDescent="0.25">
      <c r="A72" s="149">
        <v>43012</v>
      </c>
      <c r="B72" s="154">
        <v>0.51249999999999996</v>
      </c>
      <c r="C72" s="158">
        <v>600.70000000000005</v>
      </c>
      <c r="D72" s="158">
        <v>598.76</v>
      </c>
      <c r="E72" s="158">
        <v>610.04999999999995</v>
      </c>
      <c r="G72" s="172">
        <v>11.289999999999964</v>
      </c>
      <c r="BB72" s="157">
        <v>600.70000000000005</v>
      </c>
      <c r="BC72" s="157">
        <v>598.76</v>
      </c>
      <c r="BD72" s="157">
        <v>610.04999999999995</v>
      </c>
    </row>
    <row r="73" spans="1:56" x14ac:dyDescent="0.25">
      <c r="A73" s="149">
        <v>43012</v>
      </c>
      <c r="B73" s="154">
        <v>0.51319444444444395</v>
      </c>
      <c r="C73" s="158">
        <v>600.91</v>
      </c>
      <c r="D73" s="158">
        <v>599.28</v>
      </c>
      <c r="E73" s="158">
        <v>610.52</v>
      </c>
      <c r="G73" s="172">
        <v>11.240000000000009</v>
      </c>
      <c r="BB73" s="157">
        <v>600.91</v>
      </c>
      <c r="BC73" s="157">
        <v>599.28</v>
      </c>
      <c r="BD73" s="157">
        <v>610.52</v>
      </c>
    </row>
    <row r="74" spans="1:56" x14ac:dyDescent="0.25">
      <c r="A74" s="149">
        <v>43012</v>
      </c>
      <c r="B74" s="154">
        <v>0.51388888888888895</v>
      </c>
      <c r="C74" s="158">
        <v>600.20000000000005</v>
      </c>
      <c r="D74" s="158">
        <v>598.85</v>
      </c>
      <c r="E74" s="158">
        <v>609.57999999999993</v>
      </c>
      <c r="G74" s="172">
        <v>10.729999999999905</v>
      </c>
      <c r="BB74" s="157">
        <v>600.20000000000005</v>
      </c>
      <c r="BC74" s="157">
        <v>598.85</v>
      </c>
      <c r="BD74" s="157">
        <v>609.57999999999993</v>
      </c>
    </row>
    <row r="75" spans="1:56" x14ac:dyDescent="0.25">
      <c r="A75" s="149">
        <v>43012</v>
      </c>
      <c r="B75" s="154">
        <v>0.51458333333333295</v>
      </c>
      <c r="C75" s="158">
        <v>600.66999999999996</v>
      </c>
      <c r="D75" s="158">
        <v>599.37</v>
      </c>
      <c r="E75" s="158">
        <v>610.29</v>
      </c>
      <c r="G75" s="172">
        <v>10.919999999999959</v>
      </c>
      <c r="BB75" s="157">
        <v>600.66999999999996</v>
      </c>
      <c r="BC75" s="157">
        <v>599.37</v>
      </c>
      <c r="BD75" s="157">
        <v>610.29</v>
      </c>
    </row>
    <row r="76" spans="1:56" x14ac:dyDescent="0.25">
      <c r="A76" s="148">
        <v>43012</v>
      </c>
      <c r="B76" s="153">
        <v>0.51527777777777795</v>
      </c>
      <c r="C76" s="157">
        <v>579.79999999999995</v>
      </c>
      <c r="D76" s="157">
        <v>577.47</v>
      </c>
      <c r="E76" s="157">
        <v>585.29</v>
      </c>
      <c r="G76" s="171">
        <v>7.8199999999999363</v>
      </c>
      <c r="BB76" s="157">
        <v>579.79999999999995</v>
      </c>
      <c r="BC76" s="157">
        <v>577.47</v>
      </c>
      <c r="BD76" s="157">
        <v>585.29</v>
      </c>
    </row>
    <row r="77" spans="1:56" x14ac:dyDescent="0.25">
      <c r="A77" s="148">
        <v>43012</v>
      </c>
      <c r="B77" s="153">
        <v>0.51597222222222205</v>
      </c>
      <c r="C77" s="157">
        <v>559.67999999999995</v>
      </c>
      <c r="D77" s="157">
        <v>557.38</v>
      </c>
      <c r="E77" s="157">
        <v>562.67999999999995</v>
      </c>
      <c r="G77" s="171">
        <v>5.2999999999999545</v>
      </c>
      <c r="BB77" s="157">
        <v>559.67999999999995</v>
      </c>
      <c r="BC77" s="157">
        <v>557.38</v>
      </c>
      <c r="BD77" s="157">
        <v>562.67999999999995</v>
      </c>
    </row>
    <row r="78" spans="1:56" x14ac:dyDescent="0.25">
      <c r="A78" s="148">
        <v>43012</v>
      </c>
      <c r="B78" s="153">
        <v>0.51666666666666705</v>
      </c>
      <c r="C78" s="157">
        <v>545.91</v>
      </c>
      <c r="D78" s="157">
        <v>543.5</v>
      </c>
      <c r="E78" s="157">
        <v>548.16999999999996</v>
      </c>
      <c r="G78" s="171">
        <v>4.6699999999999591</v>
      </c>
      <c r="BB78" s="157">
        <v>545.91</v>
      </c>
      <c r="BC78" s="157">
        <v>543.5</v>
      </c>
      <c r="BD78" s="157">
        <v>548.16999999999996</v>
      </c>
    </row>
    <row r="79" spans="1:56" x14ac:dyDescent="0.25">
      <c r="A79" s="148">
        <v>43012</v>
      </c>
      <c r="B79" s="153">
        <v>0.51736111111111105</v>
      </c>
      <c r="C79" s="157">
        <v>534.08000000000004</v>
      </c>
      <c r="D79" s="157">
        <v>531.61</v>
      </c>
      <c r="E79" s="157">
        <v>535.70999999999992</v>
      </c>
      <c r="G79" s="171">
        <v>4.0999999999999091</v>
      </c>
      <c r="BB79" s="157">
        <v>534.08000000000004</v>
      </c>
      <c r="BC79" s="157">
        <v>531.61</v>
      </c>
      <c r="BD79" s="157">
        <v>535.70999999999992</v>
      </c>
    </row>
    <row r="80" spans="1:56" x14ac:dyDescent="0.25">
      <c r="A80" s="148">
        <v>43012</v>
      </c>
      <c r="B80" s="153">
        <v>0.51805555555555505</v>
      </c>
      <c r="C80" s="157">
        <v>523.37</v>
      </c>
      <c r="D80" s="157">
        <v>520.97</v>
      </c>
      <c r="E80" s="157">
        <v>524.49</v>
      </c>
      <c r="G80" s="171">
        <v>3.5199999999999818</v>
      </c>
      <c r="BB80" s="157">
        <v>523.37</v>
      </c>
      <c r="BC80" s="157">
        <v>520.97</v>
      </c>
      <c r="BD80" s="157">
        <v>524.49</v>
      </c>
    </row>
    <row r="81" spans="1:56" x14ac:dyDescent="0.25">
      <c r="A81" s="148">
        <v>43012</v>
      </c>
      <c r="B81" s="153">
        <v>0.51875000000000004</v>
      </c>
      <c r="C81" s="157">
        <v>397.32</v>
      </c>
      <c r="D81" s="157">
        <v>286.82</v>
      </c>
      <c r="E81" s="157">
        <v>325.45</v>
      </c>
      <c r="G81" s="171">
        <v>110.5</v>
      </c>
      <c r="BB81" s="157">
        <v>397.32</v>
      </c>
      <c r="BC81" s="157">
        <v>286.82</v>
      </c>
      <c r="BD81" s="157">
        <v>325.45</v>
      </c>
    </row>
    <row r="82" spans="1:56" x14ac:dyDescent="0.25">
      <c r="A82" s="148">
        <v>43012</v>
      </c>
      <c r="B82" s="153">
        <v>0.51944444444444404</v>
      </c>
      <c r="C82" s="157">
        <v>357.98</v>
      </c>
      <c r="D82" s="157">
        <v>256.81</v>
      </c>
      <c r="E82" s="157">
        <v>280.44</v>
      </c>
      <c r="G82" s="171">
        <v>101.17000000000002</v>
      </c>
      <c r="BB82" s="157">
        <v>357.98</v>
      </c>
      <c r="BC82" s="157">
        <v>256.81</v>
      </c>
      <c r="BD82" s="157">
        <v>280.44</v>
      </c>
    </row>
    <row r="83" spans="1:56" x14ac:dyDescent="0.25">
      <c r="A83" s="148">
        <v>43012</v>
      </c>
      <c r="B83" s="153">
        <v>0.52013888888888904</v>
      </c>
      <c r="C83" s="157">
        <v>329.89</v>
      </c>
      <c r="D83" s="157">
        <v>231.09</v>
      </c>
      <c r="E83" s="157">
        <v>260.12</v>
      </c>
      <c r="G83" s="171">
        <v>98.799999999999983</v>
      </c>
      <c r="BB83" s="157">
        <v>329.89</v>
      </c>
      <c r="BC83" s="157">
        <v>231.09</v>
      </c>
      <c r="BD83" s="157">
        <v>260.12</v>
      </c>
    </row>
    <row r="84" spans="1:56" x14ac:dyDescent="0.25">
      <c r="A84" s="148">
        <v>43012</v>
      </c>
      <c r="B84" s="153">
        <v>0.52083333333333304</v>
      </c>
      <c r="C84" s="157">
        <v>311.52</v>
      </c>
      <c r="D84" s="157">
        <v>211.12</v>
      </c>
      <c r="E84" s="157">
        <v>244.63000000000002</v>
      </c>
      <c r="G84" s="171">
        <v>100.39999999999998</v>
      </c>
      <c r="BB84" s="157">
        <v>311.52</v>
      </c>
      <c r="BC84" s="157">
        <v>211.12</v>
      </c>
      <c r="BD84" s="157">
        <v>244.63000000000002</v>
      </c>
    </row>
    <row r="85" spans="1:56" x14ac:dyDescent="0.25">
      <c r="A85" s="148">
        <v>43012</v>
      </c>
      <c r="B85" s="153">
        <v>0.52152777777777803</v>
      </c>
      <c r="C85" s="157">
        <v>295.14</v>
      </c>
      <c r="D85" s="157">
        <v>206.56</v>
      </c>
      <c r="E85" s="157">
        <v>219.85000000000002</v>
      </c>
      <c r="G85" s="171">
        <v>88.579999999999984</v>
      </c>
      <c r="BB85" s="157">
        <v>295.14</v>
      </c>
      <c r="BC85" s="157">
        <v>206.56</v>
      </c>
      <c r="BD85" s="157">
        <v>219.85000000000002</v>
      </c>
    </row>
    <row r="86" spans="1:56" x14ac:dyDescent="0.25">
      <c r="A86" s="148">
        <v>43012</v>
      </c>
      <c r="B86" s="153">
        <v>0.52222222222222203</v>
      </c>
      <c r="C86" s="157">
        <v>280.73</v>
      </c>
      <c r="D86" s="157">
        <v>195.49</v>
      </c>
      <c r="E86" s="157">
        <v>202.79000000000002</v>
      </c>
      <c r="G86" s="171">
        <v>85.240000000000009</v>
      </c>
      <c r="BB86" s="157">
        <v>280.73</v>
      </c>
      <c r="BC86" s="157">
        <v>195.49</v>
      </c>
      <c r="BD86" s="157">
        <v>202.79000000000002</v>
      </c>
    </row>
    <row r="87" spans="1:56" x14ac:dyDescent="0.25">
      <c r="A87" s="148">
        <v>43012</v>
      </c>
      <c r="B87" s="153">
        <v>0.52291666666666703</v>
      </c>
      <c r="C87" s="157">
        <v>275.26</v>
      </c>
      <c r="D87" s="157">
        <v>190.82</v>
      </c>
      <c r="E87" s="157">
        <v>188.65</v>
      </c>
      <c r="G87" s="171">
        <v>86.609999999999985</v>
      </c>
      <c r="BB87" s="157">
        <v>275.26</v>
      </c>
      <c r="BC87" s="157">
        <v>190.82</v>
      </c>
      <c r="BD87" s="157">
        <v>188.65</v>
      </c>
    </row>
    <row r="88" spans="1:56" x14ac:dyDescent="0.25">
      <c r="A88" s="148">
        <v>43012</v>
      </c>
      <c r="B88" s="153">
        <v>0.52361111111111103</v>
      </c>
      <c r="C88" s="157">
        <v>262.63</v>
      </c>
      <c r="D88" s="157">
        <v>183.68</v>
      </c>
      <c r="E88" s="157">
        <v>180.20000000000002</v>
      </c>
      <c r="G88" s="171">
        <v>82.429999999999978</v>
      </c>
      <c r="BB88" s="157">
        <v>262.63</v>
      </c>
      <c r="BC88" s="157">
        <v>183.68</v>
      </c>
      <c r="BD88" s="157">
        <v>180.20000000000002</v>
      </c>
    </row>
    <row r="89" spans="1:56" x14ac:dyDescent="0.25">
      <c r="A89" s="150">
        <v>43012</v>
      </c>
      <c r="B89" s="155">
        <v>0.52430555555555503</v>
      </c>
      <c r="C89" s="159">
        <v>255.49</v>
      </c>
      <c r="D89" s="159">
        <v>177.64000000000001</v>
      </c>
      <c r="E89" s="159">
        <v>175.74</v>
      </c>
      <c r="G89" s="173">
        <v>79.75</v>
      </c>
      <c r="BB89" s="159">
        <v>255.49</v>
      </c>
      <c r="BC89" s="159">
        <v>177.64000000000001</v>
      </c>
      <c r="BD89" s="159">
        <v>175.74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Gráficos</vt:lpstr>
      </vt:variant>
      <vt:variant>
        <vt:i4>6</vt:i4>
      </vt:variant>
    </vt:vector>
  </HeadingPairs>
  <TitlesOfParts>
    <vt:vector size="13" baseType="lpstr">
      <vt:lpstr>Index</vt:lpstr>
      <vt:lpstr>Comparar</vt:lpstr>
      <vt:lpstr>VELOCIDADES</vt:lpstr>
      <vt:lpstr>DATASENSOR</vt:lpstr>
      <vt:lpstr>OPERACIONAL 1</vt:lpstr>
      <vt:lpstr>OPERACIONAL 2</vt:lpstr>
      <vt:lpstr>OPERACIONAL 3</vt:lpstr>
      <vt:lpstr>Grafica OPERACIONAL 1</vt:lpstr>
      <vt:lpstr>Periodo E OPERACIONAL 1</vt:lpstr>
      <vt:lpstr>Grafica OPERACIONAL 2</vt:lpstr>
      <vt:lpstr>Periodo E OPERACIONAL 2</vt:lpstr>
      <vt:lpstr>Grafica OPERACIONAL 3</vt:lpstr>
      <vt:lpstr>Periodo E OPERACIONAL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2018-01-10T21:23:22Z</dcterms:modified>
</cp:coreProperties>
</file>